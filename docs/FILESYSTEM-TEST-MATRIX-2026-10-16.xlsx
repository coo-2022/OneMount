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26e6de233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总览" sheetId="1" r:id="R5389885ec84a453a"/>
    <x:sheet xmlns:r="http://schemas.openxmlformats.org/officeDocument/2006/relationships" name="用例矩阵" sheetId="2" r:id="R7f93922670204fef"/>
    <x:sheet xmlns:r="http://schemas.openxmlformats.org/officeDocument/2006/relationships" name="执行范围与依据" sheetId="3" r:id="R955b466f0dea4b1b"/>
    <x:sheet xmlns:r="http://schemas.openxmlformats.org/officeDocument/2006/relationships" name="历史执行明细" sheetId="4" r:id="R736d47d752634b08"/>
    <x:sheet xmlns:r="http://schemas.openxmlformats.org/officeDocument/2006/relationships" name="JuiceFS 上游目录" sheetId="5" r:id="R44c2569d297b42a0"/>
    <x:sheet xmlns:r="http://schemas.openxmlformats.org/officeDocument/2006/relationships" name="JuiceFS CI 范围" sheetId="6" r:id="R32a632705e1c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0"/>
  </x:numFmts>
  <x:fonts count="7">
    <x:font>
      <x:sz val="11"/>
      <x:name val="Carlito"/>
    </x:font>
    <x:font>
      <x:sz val="10"/>
      <x:color rgb="FF172B4D"/>
      <x:name val="Microsoft YaHei"/>
    </x:font>
    <x:font>
      <x:b/>
      <x:sz val="16"/>
      <x:color rgb="FF172B4D"/>
      <x:name val="Microsoft YaHei"/>
    </x:font>
    <x:font>
      <x:sz val="10"/>
      <x:color rgb="FF5B677A"/>
      <x:name val="Microsoft YaHei"/>
    </x:font>
    <x:font>
      <x:b/>
      <x:sz val="10"/>
      <x:color rgb="FFFFFFFF"/>
      <x:name val="Microsoft YaHei"/>
    </x:font>
    <x:font>
      <x:b/>
      <x:sz val="10"/>
      <x:color rgb="FF172B4D"/>
      <x:name val="Microsoft YaHei"/>
    </x:font>
    <x:font>
      <x:sz val="10"/>
      <x:color rgb="FFB4231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23653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color rgb="FF8A5300"/>
      </x:font>
      <x:fill>
        <x:patternFill patternType="solid">
          <x:bgColor rgb="FFFFF0C2"/>
        </x:patternFill>
      </x:fill>
    </x:dxf>
    <x:dxf>
      <x:font>
        <x:color rgb="FF7A8699"/>
      </x:font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ba17aaa824de3" /><Relationship Type="http://schemas.openxmlformats.org/officeDocument/2006/relationships/theme" Target="/xl/theme/theme1.xml" Id="R142ce5617aed4d29" /><Relationship Type="http://schemas.openxmlformats.org/officeDocument/2006/relationships/sharedStrings" Target="/xl/sharedStrings.xml" Id="R757e7f4e91974779" /><Relationship Type="http://schemas.openxmlformats.org/officeDocument/2006/relationships/worksheet" Target="/xl/worksheets/sheet1.xml" Id="R5389885ec84a453a" /><Relationship Type="http://schemas.openxmlformats.org/officeDocument/2006/relationships/worksheet" Target="/xl/worksheets/sheet2.xml" Id="R7f93922670204fef" /><Relationship Type="http://schemas.openxmlformats.org/officeDocument/2006/relationships/worksheet" Target="/xl/worksheets/sheet3.xml" Id="R955b466f0dea4b1b" /><Relationship Type="http://schemas.openxmlformats.org/officeDocument/2006/relationships/worksheet" Target="/xl/worksheets/sheet4.xml" Id="R736d47d752634b08" /><Relationship Type="http://schemas.openxmlformats.org/officeDocument/2006/relationships/worksheet" Target="/xl/worksheets/sheet5.xml" Id="R44c2569d297b42a0" /><Relationship Type="http://schemas.openxmlformats.org/officeDocument/2006/relationships/worksheet" Target="/xl/worksheets/sheet6.xml" Id="R32a632705e1c452a" /></Relationships>
</file>

<file path=xl/tables/table1.xml><?xml version="1.0" encoding="utf-8"?>
<x:table xmlns:x="http://schemas.openxmlformats.org/spreadsheetml/2006/main" id="1" name="TestCaseMatrix" displayName="TestCaseMatrix" ref="A5:P369" headerRowCount="1" totalsRowCount="0" totalsRowShown="0">
  <x:autoFilter ref="A5:P369"/>
  <x:tableColumns count="16">
    <x:tableColumn id="1" name="用例 ID"/>
    <x:tableColumn id="2" name="重要级"/>
    <x:tableColumn id="3" name="功能分类"/>
    <x:tableColumn id="4" name="测试项"/>
    <x:tableColumn id="5" name="用例来源"/>
    <x:tableColumn id="6" name="历史状态"/>
    <x:tableColumn id="7" name="已测／计划范围"/>
    <x:tableColumn id="8" name="验收要点"/>
    <x:tableColumn id="9" name="原始用例／脚本"/>
    <x:tableColumn id="10" name="证据编号"/>
    <x:tableColumn id="11" name="记录粒度"/>
    <x:tableColumn id="12" name="下一步与覆盖边界"/>
    <x:tableColumn id="13" name="基准版本与参数"/>
    <x:tableColumn id="14" name="适用条件"/>
    <x:tableColumn id="15" name="本轮执行情况"/>
    <x:tableColumn id="16" name="目录分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History" displayName="ExecutionHistory" ref="A5:N1009" headerRowCount="1" totalsRowCount="0" totalsRowShown="0">
  <x:autoFilter ref="A5:N1009"/>
  <x:tableColumns count="14">
    <x:tableColumn id="1" name="运行 ID"/>
    <x:tableColumn id="2" name="用例 ID"/>
    <x:tableColumn id="3" name="原始入口"/>
    <x:tableColumn id="4" name="套件"/>
    <x:tableColumn id="5" name="后端"/>
    <x:tableColumn id="6" name="模式"/>
    <x:tableColumn id="7" name="日期"/>
    <x:tableColumn id="8" name="结果"/>
    <x:tableColumn id="9" name="耗时（秒）"/>
    <x:tableColumn id="10" name="引擎／工具版本"/>
    <x:tableColumn id="11" name="参数范围"/>
    <x:tableColumn id="12" name="产品版本"/>
    <x:tableColumn id="13" name="证据定位"/>
    <x:tableColumn id="14" name="失败或执行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pstreamInventory" displayName="UpstreamInventory" ref="A5:L849" headerRowCount="1" totalsRowCount="0" totalsRowShown="0">
  <x:autoFilter ref="A5:L849"/>
  <x:tableColumns count="12">
    <x:tableColumn id="1" name="目录 ID"/>
    <x:tableColumn id="2" name="建议重要级"/>
    <x:tableColumn id="3" name="功能分类"/>
    <x:tableColumn id="4" name="函数或文件入口"/>
    <x:tableColumn id="5" name="记录粒度"/>
    <x:tableColumn id="6" name="历史证据状态"/>
    <x:tableColumn id="7" name="平台与适用条件"/>
    <x:tableColumn id="8" name="原始文件与行"/>
    <x:tableColumn id="9" name="固定版本源码"/>
    <x:tableColumn id="10" name="主矩阵关联"/>
    <x:tableColumn id="11" name="编译／装饰器条件"/>
    <x:tableColumn id="12" name="边界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pstreamWorkflows" displayName="UpstreamWorkflows" ref="A5:I76" headerRowCount="1" totalsRowCount="0" totalsRowShown="0">
  <x:autoFilter ref="A5:I76"/>
  <x:tableColumns count="9">
    <x:tableColumn id="1" name="工作流文件"/>
    <x:tableColumn id="2" name="Job"/>
    <x:tableColumn id="3" name="运行环境"/>
    <x:tableColumn id="4" name="条件"/>
    <x:tableColumn id="5" name="参数矩阵（源码）"/>
    <x:tableColumn id="6" name="脚本引用"/>
    <x:tableColumn id="7" name="外部工具入口（源码）"/>
    <x:tableColumn id="8" name="本项目执行边界"/>
    <x:tableColumn id="9" name="固定版本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a337ba39dd49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2cbb52035ce49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7513f886d3749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f39bb4182f74d80" /></Relationships>
</file>

<file path=xl/worksheets/sheet1.xml><?xml version="1.0" encoding="utf-8"?>
<x:worksheet xmlns:x="http://schemas.openxmlformats.org/spreadsheetml/2006/main">
  <x:sheetPr>
    <x:tabColor rgb="FF223653"/>
  </x:sheetPr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3" t="str">
        <x:v>文件系统测试分类总览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Windows 单机 JuiceFS；当前引擎 1.3.0+30190ca。按风险定级，来源不决定级别。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 t="str">
        <x:v>当前验收状态</x:v>
      </x:c>
      <x:c r="B5" s="2" t="str">
        <x:f>IF(COUNTIFS('用例矩阵'!$B$6:$B$369,"L1",'用例矩阵'!$F$6:$F$369,"已失败")&gt;0,"存在 L1 失败","按范围逐项复核")</x:f>
        <x:v>存在 L1 失败</x:v>
      </x:c>
      <x:c r="C5" s="2"/>
      <x:c r="D5" s="2"/>
      <x:c r="E5" s="2"/>
      <x:c r="F5" s="2"/>
      <x:c r="G5" s="2"/>
      <x:c r="H5" s="2"/>
      <x:c r="I5" s="2"/>
      <x:c r="J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8" t="str">
        <x:v>重要级</x:v>
      </x:c>
      <x:c r="B7" s="8" t="str">
        <x:v>记录条数</x:v>
      </x:c>
      <x:c r="C7" s="8" t="str">
        <x:v>已通过</x:v>
      </x:c>
      <x:c r="D7" s="8" t="str">
        <x:v>已失败</x:v>
      </x:c>
      <x:c r="E7" s="8" t="str">
        <x:v>已超时</x:v>
      </x:c>
      <x:c r="F7" s="8" t="str">
        <x:v>已跳过</x:v>
      </x:c>
      <x:c r="G7" s="8" t="str">
        <x:v>待执行</x:v>
      </x:c>
      <x:c r="H7" s="8" t="str">
        <x:v>待补充</x:v>
      </x:c>
      <x:c r="I7" s="8" t="str">
        <x:v>范围外</x:v>
      </x:c>
      <x:c r="J7" s="8" t="str">
        <x:v>不适用</x:v>
      </x:c>
    </x:row>
    <x:row r="8" ht="24" customHeight="1">
      <x:c r="A8" s="2" t="str">
        <x:v>L1</x:v>
      </x:c>
      <x:c r="B8" s="14" t="n">
        <x:f>COUNTIF('用例矩阵'!$B$6:$B$369,A8)</x:f>
        <x:v>71</x:v>
      </x:c>
      <x:c r="C8" s="14" t="n">
        <x:f>COUNTIFS('用例矩阵'!$B$6:$B$369,$A8,'用例矩阵'!$F$6:$F$369,C$7)</x:f>
        <x:v>50</x:v>
      </x:c>
      <x:c r="D8" s="14" t="n">
        <x:f>COUNTIFS('用例矩阵'!$B$6:$B$369,$A8,'用例矩阵'!$F$6:$F$369,D$7)</x:f>
        <x:v>2</x:v>
      </x:c>
      <x:c r="E8" s="14" t="n">
        <x:f>COUNTIFS('用例矩阵'!$B$6:$B$369,$A8,'用例矩阵'!$F$6:$F$369,E$7)</x:f>
        <x:v>0</x:v>
      </x:c>
      <x:c r="F8" s="14" t="n">
        <x:f>COUNTIFS('用例矩阵'!$B$6:$B$369,$A8,'用例矩阵'!$F$6:$F$369,F$7)</x:f>
        <x:v>0</x:v>
      </x:c>
      <x:c r="G8" s="14" t="n">
        <x:f>COUNTIFS('用例矩阵'!$B$6:$B$369,$A8,'用例矩阵'!$F$6:$F$369,G$7)</x:f>
        <x:v>5</x:v>
      </x:c>
      <x:c r="H8" s="14" t="n">
        <x:f>COUNTIFS('用例矩阵'!$B$6:$B$369,$A8,'用例矩阵'!$F$6:$F$369,H$7)</x:f>
        <x:v>14</x:v>
      </x:c>
      <x:c r="I8" s="14" t="n">
        <x:f>COUNTIFS('用例矩阵'!$B$6:$B$369,$A8,'用例矩阵'!$F$6:$F$369,I$7)</x:f>
        <x:v>0</x:v>
      </x:c>
      <x:c r="J8" s="14" t="n">
        <x:f>COUNTIFS('用例矩阵'!$B$6:$B$369,$A8,'用例矩阵'!$F$6:$F$369,J$7)</x:f>
        <x:v>0</x:v>
      </x:c>
    </x:row>
    <x:row r="9" ht="24" customHeight="1">
      <x:c r="A9" s="2" t="str">
        <x:v>L2</x:v>
      </x:c>
      <x:c r="B9" s="14" t="n">
        <x:f>COUNTIF('用例矩阵'!$B$6:$B$369,A9)</x:f>
        <x:v>163</x:v>
      </x:c>
      <x:c r="C9" s="14" t="n">
        <x:f>COUNTIFS('用例矩阵'!$B$6:$B$369,$A9,'用例矩阵'!$F$6:$F$369,C$7)</x:f>
        <x:v>74</x:v>
      </x:c>
      <x:c r="D9" s="14" t="n">
        <x:f>COUNTIFS('用例矩阵'!$B$6:$B$369,$A9,'用例矩阵'!$F$6:$F$369,D$7)</x:f>
        <x:v>30</x:v>
      </x:c>
      <x:c r="E9" s="14" t="n">
        <x:f>COUNTIFS('用例矩阵'!$B$6:$B$369,$A9,'用例矩阵'!$F$6:$F$369,E$7)</x:f>
        <x:v>1</x:v>
      </x:c>
      <x:c r="F9" s="14" t="n">
        <x:f>COUNTIFS('用例矩阵'!$B$6:$B$369,$A9,'用例矩阵'!$F$6:$F$369,F$7)</x:f>
        <x:v>1</x:v>
      </x:c>
      <x:c r="G9" s="14" t="n">
        <x:f>COUNTIFS('用例矩阵'!$B$6:$B$369,$A9,'用例矩阵'!$F$6:$F$369,G$7)</x:f>
        <x:v>46</x:v>
      </x:c>
      <x:c r="H9" s="14" t="n">
        <x:f>COUNTIFS('用例矩阵'!$B$6:$B$369,$A9,'用例矩阵'!$F$6:$F$369,H$7)</x:f>
        <x:v>11</x:v>
      </x:c>
      <x:c r="I9" s="14" t="n">
        <x:f>COUNTIFS('用例矩阵'!$B$6:$B$369,$A9,'用例矩阵'!$F$6:$F$369,I$7)</x:f>
        <x:v>0</x:v>
      </x:c>
      <x:c r="J9" s="14" t="n">
        <x:f>COUNTIFS('用例矩阵'!$B$6:$B$369,$A9,'用例矩阵'!$F$6:$F$369,J$7)</x:f>
        <x:v>0</x:v>
      </x:c>
    </x:row>
    <x:row r="10" ht="24" customHeight="1">
      <x:c r="A10" s="2" t="str">
        <x:v>L3</x:v>
      </x:c>
      <x:c r="B10" s="14" t="n">
        <x:f>COUNTIF('用例矩阵'!$B$6:$B$369,A10)</x:f>
        <x:v>73</x:v>
      </x:c>
      <x:c r="C10" s="14" t="n">
        <x:f>COUNTIFS('用例矩阵'!$B$6:$B$369,$A10,'用例矩阵'!$F$6:$F$369,C$7)</x:f>
        <x:v>51</x:v>
      </x:c>
      <x:c r="D10" s="14" t="n">
        <x:f>COUNTIFS('用例矩阵'!$B$6:$B$369,$A10,'用例矩阵'!$F$6:$F$369,D$7)</x:f>
        <x:v>12</x:v>
      </x:c>
      <x:c r="E10" s="14" t="n">
        <x:f>COUNTIFS('用例矩阵'!$B$6:$B$369,$A10,'用例矩阵'!$F$6:$F$369,E$7)</x:f>
        <x:v>0</x:v>
      </x:c>
      <x:c r="F10" s="14" t="n">
        <x:f>COUNTIFS('用例矩阵'!$B$6:$B$369,$A10,'用例矩阵'!$F$6:$F$369,F$7)</x:f>
        <x:v>1</x:v>
      </x:c>
      <x:c r="G10" s="14" t="n">
        <x:f>COUNTIFS('用例矩阵'!$B$6:$B$369,$A10,'用例矩阵'!$F$6:$F$369,G$7)</x:f>
        <x:v>5</x:v>
      </x:c>
      <x:c r="H10" s="14" t="n">
        <x:f>COUNTIFS('用例矩阵'!$B$6:$B$369,$A10,'用例矩阵'!$F$6:$F$369,H$7)</x:f>
        <x:v>4</x:v>
      </x:c>
      <x:c r="I10" s="14" t="n">
        <x:f>COUNTIFS('用例矩阵'!$B$6:$B$369,$A10,'用例矩阵'!$F$6:$F$369,I$7)</x:f>
        <x:v>0</x:v>
      </x:c>
      <x:c r="J10" s="14" t="n">
        <x:f>COUNTIFS('用例矩阵'!$B$6:$B$369,$A10,'用例矩阵'!$F$6:$F$369,J$7)</x:f>
        <x:v>0</x:v>
      </x:c>
    </x:row>
    <x:row r="11" ht="24" customHeight="1">
      <x:c r="A11" s="2" t="str">
        <x:v>L4</x:v>
      </x:c>
      <x:c r="B11" s="14" t="n">
        <x:f>COUNTIF('用例矩阵'!$B$6:$B$369,A11)</x:f>
        <x:v>4</x:v>
      </x:c>
      <x:c r="C11" s="14" t="n">
        <x:f>COUNTIFS('用例矩阵'!$B$6:$B$369,$A11,'用例矩阵'!$F$6:$F$369,C$7)</x:f>
        <x:v>0</x:v>
      </x:c>
      <x:c r="D11" s="14" t="n">
        <x:f>COUNTIFS('用例矩阵'!$B$6:$B$369,$A11,'用例矩阵'!$F$6:$F$369,D$7)</x:f>
        <x:v>0</x:v>
      </x:c>
      <x:c r="E11" s="14" t="n">
        <x:f>COUNTIFS('用例矩阵'!$B$6:$B$369,$A11,'用例矩阵'!$F$6:$F$369,E$7)</x:f>
        <x:v>0</x:v>
      </x:c>
      <x:c r="F11" s="14" t="n">
        <x:f>COUNTIFS('用例矩阵'!$B$6:$B$369,$A11,'用例矩阵'!$F$6:$F$369,F$7)</x:f>
        <x:v>0</x:v>
      </x:c>
      <x:c r="G11" s="14" t="n">
        <x:f>COUNTIFS('用例矩阵'!$B$6:$B$369,$A11,'用例矩阵'!$F$6:$F$369,G$7)</x:f>
        <x:v>1</x:v>
      </x:c>
      <x:c r="H11" s="14" t="n">
        <x:f>COUNTIFS('用例矩阵'!$B$6:$B$369,$A11,'用例矩阵'!$F$6:$F$369,H$7)</x:f>
        <x:v>3</x:v>
      </x:c>
      <x:c r="I11" s="14" t="n">
        <x:f>COUNTIFS('用例矩阵'!$B$6:$B$369,$A11,'用例矩阵'!$F$6:$F$369,I$7)</x:f>
        <x:v>0</x:v>
      </x:c>
      <x:c r="J11" s="14" t="n">
        <x:f>COUNTIFS('用例矩阵'!$B$6:$B$369,$A11,'用例矩阵'!$F$6:$F$369,J$7)</x:f>
        <x:v>0</x:v>
      </x:c>
    </x:row>
    <x:row r="12" ht="24" customHeight="1">
      <x:c r="A12" s="2" t="str">
        <x:v>L5</x:v>
      </x:c>
      <x:c r="B12" s="14" t="n">
        <x:f>COUNTIF('用例矩阵'!$B$6:$B$369,A12)</x:f>
        <x:v>53</x:v>
      </x:c>
      <x:c r="C12" s="14" t="n">
        <x:f>COUNTIFS('用例矩阵'!$B$6:$B$369,$A12,'用例矩阵'!$F$6:$F$369,C$7)</x:f>
        <x:v>0</x:v>
      </x:c>
      <x:c r="D12" s="14" t="n">
        <x:f>COUNTIFS('用例矩阵'!$B$6:$B$369,$A12,'用例矩阵'!$F$6:$F$369,D$7)</x:f>
        <x:v>1</x:v>
      </x:c>
      <x:c r="E12" s="14" t="n">
        <x:f>COUNTIFS('用例矩阵'!$B$6:$B$369,$A12,'用例矩阵'!$F$6:$F$369,E$7)</x:f>
        <x:v>0</x:v>
      </x:c>
      <x:c r="F12" s="14" t="n">
        <x:f>COUNTIFS('用例矩阵'!$B$6:$B$369,$A12,'用例矩阵'!$F$6:$F$369,F$7)</x:f>
        <x:v>0</x:v>
      </x:c>
      <x:c r="G12" s="14" t="n">
        <x:f>COUNTIFS('用例矩阵'!$B$6:$B$369,$A12,'用例矩阵'!$F$6:$F$369,G$7)</x:f>
        <x:v>1</x:v>
      </x:c>
      <x:c r="H12" s="14" t="n">
        <x:f>COUNTIFS('用例矩阵'!$B$6:$B$369,$A12,'用例矩阵'!$F$6:$F$369,H$7)</x:f>
        <x:v>0</x:v>
      </x:c>
      <x:c r="I12" s="14" t="n">
        <x:f>COUNTIFS('用例矩阵'!$B$6:$B$369,$A12,'用例矩阵'!$F$6:$F$369,I$7)</x:f>
        <x:v>3</x:v>
      </x:c>
      <x:c r="J12" s="14" t="n">
        <x:f>COUNTIFS('用例矩阵'!$B$6:$B$369,$A12,'用例矩阵'!$F$6:$F$369,J$7)</x:f>
        <x:v>48</x:v>
      </x:c>
    </x:row>
    <x:row r="13" ht="24" customHeight="1">
      <x:c r="A13" s="12" t="str">
        <x:v>合计</x:v>
      </x:c>
      <x:c r="B13" s="15" t="n">
        <x:f>SUM(B8:B12)</x:f>
        <x:v>364</x:v>
      </x:c>
      <x:c r="C13" s="15" t="n">
        <x:f>SUM(C8:C12)</x:f>
        <x:v>175</x:v>
      </x:c>
      <x:c r="D13" s="15" t="n">
        <x:f>SUM(D8:D12)</x:f>
        <x:v>45</x:v>
      </x:c>
      <x:c r="E13" s="15" t="n">
        <x:f>SUM(E8:E12)</x:f>
        <x:v>1</x:v>
      </x:c>
      <x:c r="F13" s="15" t="n">
        <x:f>SUM(F8:F12)</x:f>
        <x:v>2</x:v>
      </x:c>
      <x:c r="G13" s="15" t="n">
        <x:f>SUM(G8:G12)</x:f>
        <x:v>58</x:v>
      </x:c>
      <x:c r="H13" s="15" t="n">
        <x:f>SUM(H8:H12)</x:f>
        <x:v>32</x:v>
      </x:c>
      <x:c r="I13" s="15" t="n">
        <x:f>SUM(I8:I12)</x:f>
        <x:v>3</x:v>
      </x:c>
      <x:c r="J13" s="15" t="n">
        <x:f>SUM(J8:J12)</x:f>
        <x:v>48</x:v>
      </x:c>
    </x:row>
    <x:row r="14" ht="24" customHeight="1">
      <x:c r="A14" s="2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 ht="24" customHeight="1">
      <x:c r="A15" s="12" t="str">
        <x:v>功能分类与重要级</x:v>
      </x:c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 ht="32" customHeight="1">
      <x:c r="A16" s="8" t="str">
        <x:v>功能分类</x:v>
      </x:c>
      <x:c r="B16" s="16" t="str">
        <x:v>L1</x:v>
      </x:c>
      <x:c r="C16" s="16" t="str">
        <x:v>L2</x:v>
      </x:c>
      <x:c r="D16" s="16" t="str">
        <x:v>L3</x:v>
      </x:c>
      <x:c r="E16" s="16" t="str">
        <x:v>L4</x:v>
      </x:c>
      <x:c r="F16" s="16" t="str">
        <x:v>L5</x:v>
      </x:c>
      <x:c r="G16" s="16" t="str">
        <x:v>合计</x:v>
      </x:c>
      <x:c r="H16" s="14"/>
      <x:c r="I16" s="14"/>
      <x:c r="J16" s="14"/>
    </x:row>
    <x:row r="17" ht="24" customHeight="1">
      <x:c r="A17" s="2" t="str">
        <x:v>文件读写与完整性</x:v>
      </x:c>
      <x:c r="B17" s="14" t="n">
        <x:f>COUNTIFS('用例矩阵'!$C$6:$C$369,$A17,'用例矩阵'!$B$6:$B$369,B$16)</x:f>
        <x:v>24</x:v>
      </x:c>
      <x:c r="C17" s="14" t="n">
        <x:f>COUNTIFS('用例矩阵'!$C$6:$C$369,$A17,'用例矩阵'!$B$6:$B$369,C$16)</x:f>
        <x:v>7</x:v>
      </x:c>
      <x:c r="D17" s="14" t="n">
        <x:f>COUNTIFS('用例矩阵'!$C$6:$C$369,$A17,'用例矩阵'!$B$6:$B$369,D$16)</x:f>
        <x:v>0</x:v>
      </x:c>
      <x:c r="E17" s="14" t="n">
        <x:f>COUNTIFS('用例矩阵'!$C$6:$C$369,$A17,'用例矩阵'!$B$6:$B$369,E$16)</x:f>
        <x:v>0</x:v>
      </x:c>
      <x:c r="F17" s="14" t="n">
        <x:f>COUNTIFS('用例矩阵'!$C$6:$C$369,$A17,'用例矩阵'!$B$6:$B$369,F$16)</x:f>
        <x:v>0</x:v>
      </x:c>
      <x:c r="G17" s="14" t="n">
        <x:f>SUM(B17:F17)</x:f>
        <x:v>31</x:v>
      </x:c>
      <x:c r="H17" s="14"/>
      <x:c r="I17" s="14"/>
      <x:c r="J17" s="14"/>
    </x:row>
    <x:row r="18" ht="24" customHeight="1">
      <x:c r="A18" s="2" t="str">
        <x:v>命名与目录</x:v>
      </x:c>
      <x:c r="B18" s="14" t="n">
        <x:f>COUNTIFS('用例矩阵'!$C$6:$C$369,$A18,'用例矩阵'!$B$6:$B$369,B$16)</x:f>
        <x:v>0</x:v>
      </x:c>
      <x:c r="C18" s="14" t="n">
        <x:f>COUNTIFS('用例矩阵'!$C$6:$C$369,$A18,'用例矩阵'!$B$6:$B$369,C$16)</x:f>
        <x:v>25</x:v>
      </x:c>
      <x:c r="D18" s="14" t="n">
        <x:f>COUNTIFS('用例矩阵'!$C$6:$C$369,$A18,'用例矩阵'!$B$6:$B$369,D$16)</x:f>
        <x:v>22</x:v>
      </x:c>
      <x:c r="E18" s="14" t="n">
        <x:f>COUNTIFS('用例矩阵'!$C$6:$C$369,$A18,'用例矩阵'!$B$6:$B$369,E$16)</x:f>
        <x:v>0</x:v>
      </x:c>
      <x:c r="F18" s="14" t="n">
        <x:f>COUNTIFS('用例矩阵'!$C$6:$C$369,$A18,'用例矩阵'!$B$6:$B$369,F$16)</x:f>
        <x:v>0</x:v>
      </x:c>
      <x:c r="G18" s="14" t="n">
        <x:f>SUM(B18:F18)</x:f>
        <x:v>47</x:v>
      </x:c>
      <x:c r="H18" s="14"/>
      <x:c r="I18" s="14"/>
      <x:c r="J18" s="14"/>
    </x:row>
    <x:row r="19" ht="24" customHeight="1">
      <x:c r="A19" s="2" t="str">
        <x:v>属性与权限</x:v>
      </x:c>
      <x:c r="B19" s="14" t="n">
        <x:f>COUNTIFS('用例矩阵'!$C$6:$C$369,$A19,'用例矩阵'!$B$6:$B$369,B$16)</x:f>
        <x:v>0</x:v>
      </x:c>
      <x:c r="C19" s="14" t="n">
        <x:f>COUNTIFS('用例矩阵'!$C$6:$C$369,$A19,'用例矩阵'!$B$6:$B$369,C$16)</x:f>
        <x:v>20</x:v>
      </x:c>
      <x:c r="D19" s="14" t="n">
        <x:f>COUNTIFS('用例矩阵'!$C$6:$C$369,$A19,'用例矩阵'!$B$6:$B$369,D$16)</x:f>
        <x:v>31</x:v>
      </x:c>
      <x:c r="E19" s="14" t="n">
        <x:f>COUNTIFS('用例矩阵'!$C$6:$C$369,$A19,'用例矩阵'!$B$6:$B$369,E$16)</x:f>
        <x:v>0</x:v>
      </x:c>
      <x:c r="F19" s="14" t="n">
        <x:f>COUNTIFS('用例矩阵'!$C$6:$C$369,$A19,'用例矩阵'!$B$6:$B$369,F$16)</x:f>
        <x:v>0</x:v>
      </x:c>
      <x:c r="G19" s="14" t="n">
        <x:f>SUM(B19:F19)</x:f>
        <x:v>51</x:v>
      </x:c>
      <x:c r="H19" s="14"/>
      <x:c r="I19" s="14"/>
      <x:c r="J19" s="14"/>
    </x:row>
    <x:row r="20" ht="24" customHeight="1">
      <x:c r="A20" s="2" t="str">
        <x:v>并发与文件锁</x:v>
      </x:c>
      <x:c r="B20" s="14" t="n">
        <x:f>COUNTIFS('用例矩阵'!$C$6:$C$369,$A20,'用例矩阵'!$B$6:$B$369,B$16)</x:f>
        <x:v>1</x:v>
      </x:c>
      <x:c r="C20" s="14" t="n">
        <x:f>COUNTIFS('用例矩阵'!$C$6:$C$369,$A20,'用例矩阵'!$B$6:$B$369,C$16)</x:f>
        <x:v>39</x:v>
      </x:c>
      <x:c r="D20" s="14" t="n">
        <x:f>COUNTIFS('用例矩阵'!$C$6:$C$369,$A20,'用例矩阵'!$B$6:$B$369,D$16)</x:f>
        <x:v>4</x:v>
      </x:c>
      <x:c r="E20" s="14" t="n">
        <x:f>COUNTIFS('用例矩阵'!$C$6:$C$369,$A20,'用例矩阵'!$B$6:$B$369,E$16)</x:f>
        <x:v>0</x:v>
      </x:c>
      <x:c r="F20" s="14" t="n">
        <x:f>COUNTIFS('用例矩阵'!$C$6:$C$369,$A20,'用例矩阵'!$B$6:$B$369,F$16)</x:f>
        <x:v>0</x:v>
      </x:c>
      <x:c r="G20" s="14" t="n">
        <x:f>SUM(B20:F20)</x:f>
        <x:v>44</x:v>
      </x:c>
      <x:c r="H20" s="14"/>
      <x:c r="I20" s="14"/>
      <x:c r="J20" s="14"/>
    </x:row>
    <x:row r="21" ht="24" customHeight="1">
      <x:c r="A21" s="2" t="str">
        <x:v>刷新与一致性</x:v>
      </x:c>
      <x:c r="B21" s="14" t="n">
        <x:f>COUNTIFS('用例矩阵'!$C$6:$C$369,$A21,'用例矩阵'!$B$6:$B$369,B$16)</x:f>
        <x:v>21</x:v>
      </x:c>
      <x:c r="C21" s="14" t="n">
        <x:f>COUNTIFS('用例矩阵'!$C$6:$C$369,$A21,'用例矩阵'!$B$6:$B$369,C$16)</x:f>
        <x:v>0</x:v>
      </x:c>
      <x:c r="D21" s="14" t="n">
        <x:f>COUNTIFS('用例矩阵'!$C$6:$C$369,$A21,'用例矩阵'!$B$6:$B$369,D$16)</x:f>
        <x:v>0</x:v>
      </x:c>
      <x:c r="E21" s="14" t="n">
        <x:f>COUNTIFS('用例矩阵'!$C$6:$C$369,$A21,'用例矩阵'!$B$6:$B$369,E$16)</x:f>
        <x:v>0</x:v>
      </x:c>
      <x:c r="F21" s="14" t="n">
        <x:f>COUNTIFS('用例矩阵'!$C$6:$C$369,$A21,'用例矩阵'!$B$6:$B$369,F$16)</x:f>
        <x:v>0</x:v>
      </x:c>
      <x:c r="G21" s="14" t="n">
        <x:f>SUM(B21:F21)</x:f>
        <x:v>21</x:v>
      </x:c>
      <x:c r="H21" s="14"/>
      <x:c r="I21" s="14"/>
      <x:c r="J21" s="14"/>
    </x:row>
    <x:row r="22" ht="24" customHeight="1">
      <x:c r="A22" s="2" t="str">
        <x:v>缓存与后台上传</x:v>
      </x:c>
      <x:c r="B22" s="14" t="n">
        <x:f>COUNTIFS('用例矩阵'!$C$6:$C$369,$A22,'用例矩阵'!$B$6:$B$369,B$16)</x:f>
        <x:v>3</x:v>
      </x:c>
      <x:c r="C22" s="14" t="n">
        <x:f>COUNTIFS('用例矩阵'!$C$6:$C$369,$A22,'用例矩阵'!$B$6:$B$369,C$16)</x:f>
        <x:v>5</x:v>
      </x:c>
      <x:c r="D22" s="14" t="n">
        <x:f>COUNTIFS('用例矩阵'!$C$6:$C$369,$A22,'用例矩阵'!$B$6:$B$369,D$16)</x:f>
        <x:v>0</x:v>
      </x:c>
      <x:c r="E22" s="14" t="n">
        <x:f>COUNTIFS('用例矩阵'!$C$6:$C$369,$A22,'用例矩阵'!$B$6:$B$369,E$16)</x:f>
        <x:v>1</x:v>
      </x:c>
      <x:c r="F22" s="14" t="n">
        <x:f>COUNTIFS('用例矩阵'!$C$6:$C$369,$A22,'用例矩阵'!$B$6:$B$369,F$16)</x:f>
        <x:v>0</x:v>
      </x:c>
      <x:c r="G22" s="14" t="n">
        <x:f>SUM(B22:F22)</x:f>
        <x:v>9</x:v>
      </x:c>
      <x:c r="H22" s="14"/>
      <x:c r="I22" s="14"/>
      <x:c r="J22" s="14"/>
    </x:row>
    <x:row r="23" ht="24" customHeight="1">
      <x:c r="A23" s="2" t="str">
        <x:v>挂载与元数据生命周期</x:v>
      </x:c>
      <x:c r="B23" s="14" t="n">
        <x:f>COUNTIFS('用例矩阵'!$C$6:$C$369,$A23,'用例矩阵'!$B$6:$B$369,B$16)</x:f>
        <x:v>12</x:v>
      </x:c>
      <x:c r="C23" s="14" t="n">
        <x:f>COUNTIFS('用例矩阵'!$C$6:$C$369,$A23,'用例矩阵'!$B$6:$B$369,C$16)</x:f>
        <x:v>14</x:v>
      </x:c>
      <x:c r="D23" s="14" t="n">
        <x:f>COUNTIFS('用例矩阵'!$C$6:$C$369,$A23,'用例矩阵'!$B$6:$B$369,D$16)</x:f>
        <x:v>1</x:v>
      </x:c>
      <x:c r="E23" s="14" t="n">
        <x:f>COUNTIFS('用例矩阵'!$C$6:$C$369,$A23,'用例矩阵'!$B$6:$B$369,E$16)</x:f>
        <x:v>1</x:v>
      </x:c>
      <x:c r="F23" s="14" t="n">
        <x:f>COUNTIFS('用例矩阵'!$C$6:$C$369,$A23,'用例矩阵'!$B$6:$B$369,F$16)</x:f>
        <x:v>1</x:v>
      </x:c>
      <x:c r="G23" s="14" t="n">
        <x:f>SUM(B23:F23)</x:f>
        <x:v>29</x:v>
      </x:c>
      <x:c r="H23" s="14"/>
      <x:c r="I23" s="14"/>
      <x:c r="J23" s="14"/>
    </x:row>
    <x:row r="24" ht="24" customHeight="1">
      <x:c r="A24" s="2" t="str">
        <x:v>网关与后端重试</x:v>
      </x:c>
      <x:c r="B24" s="14" t="n">
        <x:f>COUNTIFS('用例矩阵'!$C$6:$C$369,$A24,'用例矩阵'!$B$6:$B$369,B$16)</x:f>
        <x:v>5</x:v>
      </x:c>
      <x:c r="C24" s="14" t="n">
        <x:f>COUNTIFS('用例矩阵'!$C$6:$C$369,$A24,'用例矩阵'!$B$6:$B$369,C$16)</x:f>
        <x:v>3</x:v>
      </x:c>
      <x:c r="D24" s="14" t="n">
        <x:f>COUNTIFS('用例矩阵'!$C$6:$C$369,$A24,'用例矩阵'!$B$6:$B$369,D$16)</x:f>
        <x:v>0</x:v>
      </x:c>
      <x:c r="E24" s="14" t="n">
        <x:f>COUNTIFS('用例矩阵'!$C$6:$C$369,$A24,'用例矩阵'!$B$6:$B$369,E$16)</x:f>
        <x:v>0</x:v>
      </x:c>
      <x:c r="F24" s="14" t="n">
        <x:f>COUNTIFS('用例矩阵'!$C$6:$C$369,$A24,'用例矩阵'!$B$6:$B$369,F$16)</x:f>
        <x:v>7</x:v>
      </x:c>
      <x:c r="G24" s="14" t="n">
        <x:f>SUM(B24:F24)</x:f>
        <x:v>15</x:v>
      </x:c>
      <x:c r="H24" s="14"/>
      <x:c r="I24" s="14"/>
      <x:c r="J24" s="14"/>
    </x:row>
    <x:row r="25" ht="24" customHeight="1">
      <x:c r="A25" s="2" t="str">
        <x:v>崩溃与资源耗尽</x:v>
      </x:c>
      <x:c r="B25" s="14" t="n">
        <x:f>COUNTIFS('用例矩阵'!$C$6:$C$369,$A25,'用例矩阵'!$B$6:$B$369,B$16)</x:f>
        <x:v>5</x:v>
      </x:c>
      <x:c r="C25" s="14" t="n">
        <x:f>COUNTIFS('用例矩阵'!$C$6:$C$369,$A25,'用例矩阵'!$B$6:$B$369,C$16)</x:f>
        <x:v>5</x:v>
      </x:c>
      <x:c r="D25" s="14" t="n">
        <x:f>COUNTIFS('用例矩阵'!$C$6:$C$369,$A25,'用例矩阵'!$B$6:$B$369,D$16)</x:f>
        <x:v>0</x:v>
      </x:c>
      <x:c r="E25" s="14" t="n">
        <x:f>COUNTIFS('用例矩阵'!$C$6:$C$369,$A25,'用例矩阵'!$B$6:$B$369,E$16)</x:f>
        <x:v>0</x:v>
      </x:c>
      <x:c r="F25" s="14" t="n">
        <x:f>COUNTIFS('用例矩阵'!$C$6:$C$369,$A25,'用例矩阵'!$B$6:$B$369,F$16)</x:f>
        <x:v>0</x:v>
      </x:c>
      <x:c r="G25" s="14" t="n">
        <x:f>SUM(B25:F25)</x:f>
        <x:v>10</x:v>
      </x:c>
      <x:c r="H25" s="14"/>
      <x:c r="I25" s="14"/>
      <x:c r="J25" s="14"/>
    </x:row>
    <x:row r="26" ht="24" customHeight="1">
      <x:c r="A26" s="2" t="str">
        <x:v>应用与界面兼容</x:v>
      </x:c>
      <x:c r="B26" s="14" t="n">
        <x:f>COUNTIFS('用例矩阵'!$C$6:$C$369,$A26,'用例矩阵'!$B$6:$B$369,B$16)</x:f>
        <x:v>0</x:v>
      </x:c>
      <x:c r="C26" s="14" t="n">
        <x:f>COUNTIFS('用例矩阵'!$C$6:$C$369,$A26,'用例矩阵'!$B$6:$B$369,C$16)</x:f>
        <x:v>10</x:v>
      </x:c>
      <x:c r="D26" s="14" t="n">
        <x:f>COUNTIFS('用例矩阵'!$C$6:$C$369,$A26,'用例矩阵'!$B$6:$B$369,D$16)</x:f>
        <x:v>4</x:v>
      </x:c>
      <x:c r="E26" s="14" t="n">
        <x:f>COUNTIFS('用例矩阵'!$C$6:$C$369,$A26,'用例矩阵'!$B$6:$B$369,E$16)</x:f>
        <x:v>0</x:v>
      </x:c>
      <x:c r="F26" s="14" t="n">
        <x:f>COUNTIFS('用例矩阵'!$C$6:$C$369,$A26,'用例矩阵'!$B$6:$B$369,F$16)</x:f>
        <x:v>0</x:v>
      </x:c>
      <x:c r="G26" s="14" t="n">
        <x:f>SUM(B26:F26)</x:f>
        <x:v>14</x:v>
      </x:c>
      <x:c r="H26" s="14"/>
      <x:c r="I26" s="14"/>
      <x:c r="J26" s="14"/>
    </x:row>
    <x:row r="27" ht="24" customHeight="1">
      <x:c r="A27" s="2" t="str">
        <x:v>性能与规模</x:v>
      </x:c>
      <x:c r="B27" s="14" t="n">
        <x:f>COUNTIFS('用例矩阵'!$C$6:$C$369,$A27,'用例矩阵'!$B$6:$B$369,B$16)</x:f>
        <x:v>0</x:v>
      </x:c>
      <x:c r="C27" s="14" t="n">
        <x:f>COUNTIFS('用例矩阵'!$C$6:$C$369,$A27,'用例矩阵'!$B$6:$B$369,C$16)</x:f>
        <x:v>3</x:v>
      </x:c>
      <x:c r="D27" s="14" t="n">
        <x:f>COUNTIFS('用例矩阵'!$C$6:$C$369,$A27,'用例矩阵'!$B$6:$B$369,D$16)</x:f>
        <x:v>0</x:v>
      </x:c>
      <x:c r="E27" s="14" t="n">
        <x:f>COUNTIFS('用例矩阵'!$C$6:$C$369,$A27,'用例矩阵'!$B$6:$B$369,E$16)</x:f>
        <x:v>2</x:v>
      </x:c>
      <x:c r="F27" s="14" t="n">
        <x:f>COUNTIFS('用例矩阵'!$C$6:$C$369,$A27,'用例矩阵'!$B$6:$B$369,F$16)</x:f>
        <x:v>0</x:v>
      </x:c>
      <x:c r="G27" s="14" t="n">
        <x:f>SUM(B27:F27)</x:f>
        <x:v>5</x:v>
      </x:c>
      <x:c r="H27" s="14"/>
      <x:c r="I27" s="14"/>
      <x:c r="J27" s="14"/>
    </x:row>
    <x:row r="28" ht="24" customHeight="1">
      <x:c r="A28" s="2" t="str">
        <x:v>平台与扩展边界</x:v>
      </x:c>
      <x:c r="B28" s="14" t="n">
        <x:f>COUNTIFS('用例矩阵'!$C$6:$C$369,$A28,'用例矩阵'!$B$6:$B$369,B$16)</x:f>
        <x:v>0</x:v>
      </x:c>
      <x:c r="C28" s="14" t="n">
        <x:f>COUNTIFS('用例矩阵'!$C$6:$C$369,$A28,'用例矩阵'!$B$6:$B$369,C$16)</x:f>
        <x:v>32</x:v>
      </x:c>
      <x:c r="D28" s="14" t="n">
        <x:f>COUNTIFS('用例矩阵'!$C$6:$C$369,$A28,'用例矩阵'!$B$6:$B$369,D$16)</x:f>
        <x:v>11</x:v>
      </x:c>
      <x:c r="E28" s="14" t="n">
        <x:f>COUNTIFS('用例矩阵'!$C$6:$C$369,$A28,'用例矩阵'!$B$6:$B$369,E$16)</x:f>
        <x:v>0</x:v>
      </x:c>
      <x:c r="F28" s="14" t="n">
        <x:f>COUNTIFS('用例矩阵'!$C$6:$C$369,$A28,'用例矩阵'!$B$6:$B$369,F$16)</x:f>
        <x:v>45</x:v>
      </x:c>
      <x:c r="G28" s="14" t="n">
        <x:f>SUM(B28:F28)</x:f>
        <x:v>88</x:v>
      </x:c>
      <x:c r="H28" s="14"/>
      <x:c r="I28" s="14"/>
      <x:c r="J28" s="14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32" customHeight="1">
      <x:c r="A30" s="8" t="str">
        <x:v>用例来源</x:v>
      </x:c>
      <x:c r="B30" s="8" t="str">
        <x:v>记录条数</x:v>
      </x:c>
      <x:c r="C30" s="8" t="str">
        <x:v>已通过</x:v>
      </x:c>
      <x:c r="D30" s="8" t="str">
        <x:v>待补充</x:v>
      </x:c>
      <x:c r="E30" s="2"/>
      <x:c r="F30" s="2"/>
      <x:c r="G30" s="2"/>
      <x:c r="H30" s="2"/>
      <x:c r="I30" s="2"/>
      <x:c r="J30" s="2"/>
    </x:row>
    <x:row r="31" ht="37" customHeight="1">
      <x:c r="A31" s="9" t="str">
        <x:v>A JuiceFS 官方 Windows</x:v>
      </x:c>
      <x:c r="B31" s="2" t="n">
        <x:f>COUNTIF('用例矩阵'!$E$6:$E$369,A31)</x:f>
        <x:v>39</x:v>
      </x:c>
      <x:c r="C31" s="2" t="n">
        <x:f>COUNTIFS('用例矩阵'!$E$6:$E$369,$A31,'用例矩阵'!$F$6:$F$369,"已通过")</x:f>
        <x:v>9</x:v>
      </x:c>
      <x:c r="D31" s="2" t="n">
        <x:f>COUNTIFS('用例矩阵'!$E$6:$E$369,$A31,'用例矩阵'!$F$6:$F$369,"待补充")</x:f>
        <x:v>0</x:v>
      </x:c>
      <x:c r="E31" s="2"/>
      <x:c r="F31" s="2"/>
      <x:c r="G31" s="2"/>
      <x:c r="H31" s="2"/>
      <x:c r="I31" s="2"/>
      <x:c r="J31" s="2"/>
    </x:row>
    <x:row r="32" ht="37" customHeight="1">
      <x:c r="A32" s="9" t="str">
        <x:v>B Windows / WinFsp</x:v>
      </x:c>
      <x:c r="B32" s="2" t="n">
        <x:f>COUNTIF('用例矩阵'!$E$6:$E$369,A32)</x:f>
        <x:v>260</x:v>
      </x:c>
      <x:c r="C32" s="2" t="n">
        <x:f>COUNTIFS('用例矩阵'!$E$6:$E$369,$A32,'用例矩阵'!$F$6:$F$369,"已通过")</x:f>
        <x:v>137</x:v>
      </x:c>
      <x:c r="D32" s="2" t="n">
        <x:f>COUNTIFS('用例矩阵'!$E$6:$E$369,$A32,'用例矩阵'!$F$6:$F$369,"待补充")</x:f>
        <x:v>0</x:v>
      </x:c>
      <x:c r="E32" s="2"/>
      <x:c r="F32" s="2"/>
      <x:c r="G32" s="2"/>
      <x:c r="H32" s="2"/>
      <x:c r="I32" s="2"/>
      <x:c r="J32" s="2"/>
    </x:row>
    <x:row r="33" ht="37" customHeight="1">
      <x:c r="A33" s="9" t="str">
        <x:v>C 项目补充</x:v>
      </x:c>
      <x:c r="B33" s="2" t="n">
        <x:f>COUNTIF('用例矩阵'!$E$6:$E$369,A33)</x:f>
        <x:v>60</x:v>
      </x:c>
      <x:c r="C33" s="2" t="n">
        <x:f>COUNTIFS('用例矩阵'!$E$6:$E$369,$A33,'用例矩阵'!$F$6:$F$369,"已通过")</x:f>
        <x:v>29</x:v>
      </x:c>
      <x:c r="D33" s="2" t="n">
        <x:f>COUNTIFS('用例矩阵'!$E$6:$E$369,$A33,'用例矩阵'!$F$6:$F$369,"待补充")</x:f>
        <x:v>27</x:v>
      </x:c>
      <x:c r="E33" s="2"/>
      <x:c r="F33" s="2"/>
      <x:c r="G33" s="2"/>
      <x:c r="H33" s="2"/>
      <x:c r="I33" s="2"/>
      <x:c r="J33" s="2"/>
    </x:row>
    <x:row r="34" ht="37" customHeight="1">
      <x:c r="A34" s="9" t="str">
        <x:v>D 外部基准补充</x:v>
      </x:c>
      <x:c r="B34" s="2" t="n">
        <x:f>COUNTIF('用例矩阵'!$E$6:$E$369,A34)</x:f>
        <x:v>5</x:v>
      </x:c>
      <x:c r="C34" s="2" t="n">
        <x:f>COUNTIFS('用例矩阵'!$E$6:$E$369,$A34,'用例矩阵'!$F$6:$F$369,"已通过")</x:f>
        <x:v>0</x:v>
      </x:c>
      <x:c r="D34" s="2" t="n">
        <x:f>COUNTIFS('用例矩阵'!$E$6:$E$369,$A34,'用例矩阵'!$F$6:$F$369,"待补充")</x:f>
        <x:v>5</x:v>
      </x:c>
      <x:c r="E34" s="2"/>
      <x:c r="F34" s="2"/>
      <x:c r="G34" s="2"/>
      <x:c r="H34" s="2"/>
      <x:c r="I34" s="2"/>
      <x:c r="J34" s="2"/>
    </x:row>
    <x:row r="35" ht="24" customHeight="1">
      <x:c r="A35" s="4" t="str">
        <x:v>计数单位是矩阵记录，含单项用例、脚本组和待细化场景，不能当作断言数或通过率。</x:v>
      </x:c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4" customHeight="1">
      <x:c r="A37" s="4" t="str">
        <x:v>同一版本用例跨环境执行不增加目录项；原版与 fork 保留独立 ID，不把同名测试视作等价。</x:v>
      </x:c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4" customHeight="1">
      <x:c r="A39" s="13" t="str">
        <x:v>严格历史测试：JuiceFS 每模式 72 通过、44 失败、1 超时；子集通过不覆盖这些失败。</x:v>
      </x:c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4" customHeight="1">
      <x:c r="A41" s="4" t="str">
        <x:v>最新缓存设置改动仅完成单元、界面及本地挂载专项；发布版本八组复测仍待完成。</x:v>
      </x:c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4" customHeight="1">
      <x:c r="A43" s="4" t="str">
        <x:v>L1–L5 为建议风险优先级，不是测试层级。L5 范围纳入产品后须重新定级。</x:v>
      </x:c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32" customHeight="1">
      <x:c r="A46" s="8" t="str">
        <x:v>完整性核对</x:v>
      </x:c>
      <x:c r="B46" s="8" t="str">
        <x:v>目录／入口</x:v>
      </x:c>
      <x:c r="C46" s="8" t="str">
        <x:v>已逐项登记</x:v>
      </x:c>
      <x:c r="D46" s="8" t="str">
        <x:v>历史执行粒度</x:v>
      </x:c>
      <x:c r="E46" s="8" t="str">
        <x:v>当前构建</x:v>
      </x:c>
      <x:c r="F46" s="8" t="str">
        <x:v>来源</x:v>
      </x:c>
      <x:c r="G46" s="2"/>
      <x:c r="H46" s="2"/>
      <x:c r="I46" s="2"/>
      <x:c r="J46" s="2"/>
    </x:row>
    <x:row r="47" ht="66" customHeight="1">
      <x:c r="A47" s="9" t="str">
        <x:v>原版外部套件</x:v>
      </x:c>
      <x:c r="B47" s="23" t="n">
        <x:v>117</x:v>
      </x:c>
      <x:c r="C47" s="23" t="n">
        <x:f>COUNTIF('用例矩阵'!$P$6:$P$369,"原版外部套件")</x:f>
        <x:v>117</x:v>
      </x:c>
      <x:c r="D47" s="9" t="str">
        <x:v>4 组，468 条</x:v>
      </x:c>
      <x:c r="E47" s="9" t="str">
        <x:v>待复测</x:v>
      </x:c>
      <x:c r="F47" s="9" t="str">
        <x:v>S06 / S07</x:v>
      </x:c>
      <x:c r="G47" s="2"/>
      <x:c r="H47" s="2"/>
      <x:c r="I47" s="2"/>
      <x:c r="J47" s="2"/>
    </x:row>
    <x:row r="48" ht="66" customHeight="1">
      <x:c r="A48" s="9" t="str">
        <x:v>WinFsp 原版内部</x:v>
      </x:c>
      <x:c r="B48" s="23" t="n">
        <x:v>41</x:v>
      </x:c>
      <x:c r="C48" s="23" t="n">
        <x:f>COUNTIF('用例矩阵'!$P$6:$P$369,"WinFsp 内部")</x:f>
        <x:v>41</x:v>
      </x:c>
      <x:c r="D48" s="9" t="str">
        <x:v>未执行；不适用外部挂载</x:v>
      </x:c>
      <x:c r="E48" s="9" t="str">
        <x:v>不计通过</x:v>
      </x:c>
      <x:c r="F48" s="9" t="str">
        <x:v>S06</x:v>
      </x:c>
      <x:c r="G48" s="2"/>
      <x:c r="H48" s="2"/>
      <x:c r="I48" s="2"/>
      <x:c r="J48" s="2"/>
    </x:row>
    <x:row r="49" ht="66" customHeight="1">
      <x:c r="A49" s="9" t="str">
        <x:v>JuiceFS fork 外部</x:v>
      </x:c>
      <x:c r="B49" s="23" t="n">
        <x:v>91</x:v>
      </x:c>
      <x:c r="C49" s="23" t="n">
        <x:f>COUNTIF('用例矩阵'!$P$6:$P$369,"JuiceFS fork 外部")</x:f>
        <x:v>91</x:v>
      </x:c>
      <x:c r="D49" s="9" t="str">
        <x:v>54 已测；37 待执行</x:v>
      </x:c>
      <x:c r="E49" s="9" t="str">
        <x:v>待复测</x:v>
      </x:c>
      <x:c r="F49" s="9" t="str">
        <x:v>S04</x:v>
      </x:c>
      <x:c r="G49" s="2"/>
      <x:c r="H49" s="2"/>
      <x:c r="I49" s="2"/>
      <x:c r="J49" s="2"/>
    </x:row>
    <x:row r="50" ht="66" customHeight="1">
      <x:c r="A50" s="9" t="str">
        <x:v>Windows Python</x:v>
      </x:c>
      <x:c r="B50" s="23" t="n">
        <x:v>9</x:v>
      </x:c>
      <x:c r="C50" s="23" t="n">
        <x:f>COUNTIF('用例矩阵'!$P$6:$P$369,"Windows Python")</x:f>
        <x:v>9</x:v>
      </x:c>
      <x:c r="D50" s="9" t="str">
        <x:v>8 通过；1 跳过，各 8 组</x:v>
      </x:c>
      <x:c r="E50" s="9" t="str">
        <x:v>待复测</x:v>
      </x:c>
      <x:c r="F50" s="9" t="str">
        <x:v>S01</x:v>
      </x:c>
      <x:c r="G50" s="2"/>
      <x:c r="H50" s="2"/>
      <x:c r="I50" s="2"/>
      <x:c r="J50" s="2"/>
    </x:row>
    <x:row r="51" ht="66" customHeight="1">
      <x:c r="A51" s="9" t="str">
        <x:v>Windows CLI 函数</x:v>
      </x:c>
      <x:c r="B51" s="23" t="n">
        <x:v>24</x:v>
      </x:c>
      <x:c r="C51" s="23" t="n">
        <x:f>COUNTIF('用例矩阵'!$P$6:$P$369,"Windows CLI 函数")</x:f>
        <x:v>24</x:v>
      </x:c>
      <x:c r="D51" s="9" t="str">
        <x:v>16 待执行；1 跳过；7 不适用</x:v>
      </x:c>
      <x:c r="E51" s="9" t="str">
        <x:v>未执行</x:v>
      </x:c>
      <x:c r="F51" s="9" t="str">
        <x:v>S08</x:v>
      </x:c>
      <x:c r="G51" s="2"/>
      <x:c r="H51" s="2"/>
      <x:c r="I51" s="2"/>
      <x:c r="J51" s="2"/>
    </x:row>
    <x:row r="52" ht="66" customHeight="1">
      <x:c r="A52" s="9" t="str">
        <x:v>官方命令冒烟</x:v>
      </x:c>
      <x:c r="B52" s="23" t="n">
        <x:v>5</x:v>
      </x:c>
      <x:c r="C52" s="23" t="n">
        <x:f>COUNTIF('用例矩阵'!$P$6:$P$369,"官方命令冒烟")</x:f>
        <x:v>5</x:v>
      </x:c>
      <x:c r="D52" s="9" t="str">
        <x:v>完整官方步骤待执行</x:v>
      </x:c>
      <x:c r="E52" s="9" t="str">
        <x:v>未执行</x:v>
      </x:c>
      <x:c r="F52" s="9" t="str">
        <x:v>S08</x:v>
      </x:c>
      <x:c r="G52" s="2"/>
      <x:c r="H52" s="2"/>
      <x:c r="I52" s="2"/>
      <x:c r="J52" s="2"/>
    </x:row>
    <x:row r="53" ht="66" customHeight="1">
      <x:c r="A53" s="9" t="str">
        <x:v>JuiceFS 源码目录</x:v>
      </x:c>
      <x:c r="B53" s="23" t="n">
        <x:v>844</x:v>
      </x:c>
      <x:c r="C53" s="23" t="n">
        <x:f>COUNTA('JuiceFS 上游目录'!$A$6:$A$849)</x:f>
        <x:v>844</x:v>
      </x:c>
      <x:c r="D53" s="9" t="str">
        <x:v>含命名测试、子场景和支持文件</x:v>
      </x:c>
      <x:c r="E53" s="9" t="str">
        <x:v>见上游目录</x:v>
      </x:c>
      <x:c r="F53" s="9" t="str">
        <x:v>S08</x:v>
      </x:c>
      <x:c r="G53" s="2"/>
      <x:c r="H53" s="2"/>
      <x:c r="I53" s="2"/>
      <x:c r="J53" s="2"/>
    </x:row>
    <x:row r="54" ht="66" customHeight="1">
      <x:c r="A54" s="9" t="str">
        <x:v>JuiceFS CI Job</x:v>
      </x:c>
      <x:c r="B54" s="23" t="n">
        <x:v>71</x:v>
      </x:c>
      <x:c r="C54" s="23" t="n">
        <x:f>COUNTA('JuiceFS CI 范围'!$B$6:$B$76)</x:f>
        <x:v>71</x:v>
      </x:c>
      <x:c r="D54" s="9" t="str">
        <x:v>含构建／发布／扫描，不是用例数</x:v>
      </x:c>
      <x:c r="E54" s="9" t="str">
        <x:v>见 CI 范围</x:v>
      </x:c>
      <x:c r="F54" s="9" t="str">
        <x:v>S08</x:v>
      </x:c>
      <x:c r="G54" s="2"/>
      <x:c r="H54" s="2"/>
      <x:c r="I54" s="2"/>
      <x:c r="J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 ht="24" customHeight="1">
      <x:c r="A56" s="2" t="str">
        <x:v>主矩阵、上游目录、执行记录有明确关联且粒度不同，不相加计算“总测试数”或笼统通过率。</x:v>
      </x:c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4" customHeight="1">
      <x:c r="A58" s="2" t="str">
        <x:v>完整性范围固定在当前使用的版本；新版本、动态参数和外部下载套件需再次枚举。</x:v>
      </x:c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4" customHeight="1">
      <x:c r="A60" s="2" t="str">
        <x:v>Windows 完整语义目标仍保留失败项；不能因为当前 JuiceFS 不支持而自动判为范围外。</x:v>
      </x:c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</x:sheetData>
  <x:conditionalFormatting sqref="B5:H5">
    <x:cfRule type="expression" dxfId="3" priority="1">
      <x:formula>COUNTIFS('用例矩阵'!$B$6:$B$369,"L1",'用例矩阵'!$F$6:$F$369,"已失败")&gt;0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1647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8" hidden="0" customWidth="1"/>
    <x:col min="3" max="3" width="23" hidden="0" customWidth="1"/>
    <x:col min="4" max="4" width="40" hidden="0" customWidth="1"/>
    <x:col min="5" max="5" width="29" hidden="0" customWidth="1"/>
    <x:col min="6" max="6" width="13" hidden="0" customWidth="1"/>
    <x:col min="7" max="7" width="44" hidden="0" customWidth="1"/>
    <x:col min="8" max="8" width="60" hidden="0" customWidth="1"/>
    <x:col min="9" max="9" width="66" hidden="0" customWidth="1"/>
    <x:col min="10" max="10" width="19" hidden="0" customWidth="1"/>
    <x:col min="11" max="11" width="17" hidden="0" customWidth="1"/>
    <x:col min="12" max="12" width="65" hidden="0" customWidth="1"/>
    <x:col min="13" max="13" width="60" hidden="0" customWidth="1"/>
    <x:col min="14" max="14" width="44" hidden="0" customWidth="1"/>
    <x:col min="15" max="15" width="38" hidden="0" customWidth="1"/>
    <x:col min="16" max="16" width="2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3" t="str">
        <x:v>文件系统测试用例矩阵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4" t="str">
        <x:v>结果截止 2026-10-16；L1 最高。历史通过不等于当前构建已全量复测。可按级别、功能、来源和状态筛选。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8" t="str">
        <x:v>用例 ID</x:v>
      </x:c>
      <x:c r="B5" s="8" t="str">
        <x:v>重要级</x:v>
      </x:c>
      <x:c r="C5" s="8" t="str">
        <x:v>功能分类</x:v>
      </x:c>
      <x:c r="D5" s="8" t="str">
        <x:v>测试项</x:v>
      </x:c>
      <x:c r="E5" s="8" t="str">
        <x:v>用例来源</x:v>
      </x:c>
      <x:c r="F5" s="8" t="str">
        <x:v>历史状态</x:v>
      </x:c>
      <x:c r="G5" s="8" t="str">
        <x:v>已测／计划范围</x:v>
      </x:c>
      <x:c r="H5" s="8" t="str">
        <x:v>验收要点</x:v>
      </x:c>
      <x:c r="I5" s="8" t="str">
        <x:v>原始用例／脚本</x:v>
      </x:c>
      <x:c r="J5" s="8" t="str">
        <x:v>证据编号</x:v>
      </x:c>
      <x:c r="K5" s="8" t="str">
        <x:v>记录粒度</x:v>
      </x:c>
      <x:c r="L5" s="8" t="str">
        <x:v>下一步与覆盖边界</x:v>
      </x:c>
      <x:c r="M5" s="8" t="str">
        <x:v>基准版本与参数</x:v>
      </x:c>
      <x:c r="N5" s="8" t="str">
        <x:v>适用条件</x:v>
      </x:c>
      <x:c r="O5" s="8" t="str">
        <x:v>本轮执行情况</x:v>
      </x:c>
      <x:c r="P5" s="8" t="str">
        <x:v>目录分组</x:v>
      </x:c>
    </x:row>
    <x:row r="6" ht="44" customHeight="1">
      <x:c r="A6" s="10" t="str">
        <x:v>BASE-001</x:v>
      </x:c>
      <x:c r="B6" s="10" t="str">
        <x:v>L1</x:v>
      </x:c>
      <x:c r="C6" s="10" t="str">
        <x:v>文件读写与完整性</x:v>
      </x:c>
      <x:c r="D6" s="10" t="str">
        <x:v>fio 内容校验与冷重挂载</x:v>
      </x:c>
      <x:c r="E6" s="10" t="str">
        <x:v>D 外部基准补充</x:v>
      </x:c>
      <x:c r="F6" s="10" t="str">
        <x:v>待补充</x:v>
      </x:c>
      <x:c r="G6" s="10" t="str">
        <x:v>Windows fio；固定块大小、并发深度、种子</x:v>
      </x:c>
      <x:c r="H6" s="10" t="str">
        <x:v>写入后校验，排空后移走干净读缓存再校验；避免并发重叠写造成假阳性</x:v>
      </x:c>
      <x:c r="I6" s="10" t="str">
        <x:v>https://fio.readthedocs.io/en/latest/fio_doc.html#verification</x:v>
      </x:c>
      <x:c r="J6" s="10" t="str">
        <x:v>S09</x:v>
      </x:c>
      <x:c r="K6" s="10" t="str">
        <x:v>待细化场景</x:v>
      </x:c>
      <x:c r="L6" s="10" t="str">
        <x:v>此条为需实现的基准方案；无执行结果，不计作通过</x:v>
      </x:c>
      <x:c r="M6" s="10" t="str">
        <x:v>待固定工具版本与可执行配置</x:v>
      </x:c>
      <x:c r="N6" s="10" t="str">
        <x:v>按场景执行</x:v>
      </x:c>
      <x:c r="O6" s="10" t="str">
        <x:v>未实现完整入口</x:v>
      </x:c>
      <x:c r="P6" s="10" t="str">
        <x:v>新增基准方案</x:v>
      </x:c>
    </x:row>
    <x:row r="7" ht="44" customHeight="1">
      <x:c r="A7" s="11" t="str">
        <x:v>BASE-005</x:v>
      </x:c>
      <x:c r="B7" s="11" t="str">
        <x:v>L1</x:v>
      </x:c>
      <x:c r="C7" s="11" t="str">
        <x:v>文件读写与完整性</x:v>
      </x:c>
      <x:c r="D7" s="11" t="str">
        <x:v>独立 JuiceFS／网关／网盘分层对照</x:v>
      </x:c>
      <x:c r="E7" s="11" t="str">
        <x:v>D 外部基准补充</x:v>
      </x:c>
      <x:c r="F7" s="11" t="str">
        <x:v>待补充</x:v>
      </x:c>
      <x:c r="G7" s="11" t="str">
        <x:v>NTFS；独立 JuiceFS 本地；网关本地；三网盘</x:v>
      </x:c>
      <x:c r="H7" s="11" t="str">
        <x:v>同版本、同参数、同种子依次对照，定位上游、适配或后端差异；每种写入模式分别记录</x:v>
      </x:c>
      <x:c r="I7" s="11" t="str">
        <x:v>分层执行方案；复用 NATIVE-* 和 JFS-*</x:v>
      </x:c>
      <x:c r="J7" s="11" t="str">
        <x:v>S09</x:v>
      </x:c>
      <x:c r="K7" s="11" t="str">
        <x:v>待细化场景</x:v>
      </x:c>
      <x:c r="L7" s="11" t="str">
        <x:v>此条为需实现的基准方案；无执行结果，不计作通过</x:v>
      </x:c>
      <x:c r="M7" s="11" t="str">
        <x:v>待固定工具版本与可执行配置</x:v>
      </x:c>
      <x:c r="N7" s="11" t="str">
        <x:v>按场景执行</x:v>
      </x:c>
      <x:c r="O7" s="11" t="str">
        <x:v>未实现完整入口</x:v>
      </x:c>
      <x:c r="P7" s="11" t="str">
        <x:v>新增基准方案</x:v>
      </x:c>
    </x:row>
    <x:row r="8" ht="44" customHeight="1">
      <x:c r="A8" s="10" t="str">
        <x:v>CLOUD-001</x:v>
      </x:c>
      <x:c r="B8" s="10" t="str">
        <x:v>L1</x:v>
      </x:c>
      <x:c r="C8" s="10" t="str">
        <x:v>文件读写与完整性</x:v>
      </x:c>
      <x:c r="D8" s="10" t="str">
        <x:v>跨块随机内容与中文路径</x:v>
      </x:c>
      <x:c r="E8" s="10" t="str">
        <x:v>C 项目补充</x:v>
      </x:c>
      <x:c r="F8" s="10" t="str">
        <x:v>已通过</x:v>
      </x:c>
      <x:c r="G8" s="10" t="str">
        <x:v>百度、Google、OneDrive；同步/后台，共 6 组</x:v>
      </x:c>
      <x:c r="H8" s="10" t="str">
        <x:v>4 MiB + 137 字节随机内容 SHA256 相符</x:v>
      </x:c>
      <x:c r="I8" s="10" t="str">
        <x:v>windows-cloud-volume-integration.cjs</x:v>
      </x:c>
      <x:c r="J8" s="10" t="str">
        <x:v>E02</x:v>
      </x:c>
      <x:c r="K8" s="10" t="str">
        <x:v>场景组</x:v>
      </x:c>
      <x:c r="L8" s="10" t="str">
        <x:v>发布版本需复测；按已有范围解释结果</x:v>
      </x:c>
      <x:c r="M8" s="10" t="str">
        <x:v>项目代码与参数见对应证据</x:v>
      </x:c>
      <x:c r="N8" s="10" t="str">
        <x:v>Windows 单机产品；按已测范围解释</x:v>
      </x:c>
      <x:c r="O8" s="10" t="str">
        <x:v>本轮仅补充矩阵，未复测</x:v>
      </x:c>
      <x:c r="P8" s="10" t="str">
        <x:v>项目场景</x:v>
      </x:c>
    </x:row>
    <x:row r="9" ht="44" customHeight="1">
      <x:c r="A9" s="11" t="str">
        <x:v>CLOUD-003</x:v>
      </x:c>
      <x:c r="B9" s="11" t="str">
        <x:v>L1</x:v>
      </x:c>
      <x:c r="C9" s="11" t="str">
        <x:v>文件读写与完整性</x:v>
      </x:c>
      <x:c r="D9" s="11" t="str">
        <x:v>随机覆盖与追加</x:v>
      </x:c>
      <x:c r="E9" s="11" t="str">
        <x:v>C 项目补充</x:v>
      </x:c>
      <x:c r="F9" s="11" t="str">
        <x:v>已通过</x:v>
      </x:c>
      <x:c r="G9" s="11" t="str">
        <x:v>百度、Google、OneDrive；同步/后台，共 6 组</x:v>
      </x:c>
      <x:c r="H9" s="11" t="str">
        <x:v>修改后内容符合预期，长度正确</x:v>
      </x:c>
      <x:c r="I9" s="11" t="str">
        <x:v>windows-cloud-volume-integration.cjs</x:v>
      </x:c>
      <x:c r="J9" s="11" t="str">
        <x:v>E02</x:v>
      </x:c>
      <x:c r="K9" s="11" t="str">
        <x:v>场景组</x:v>
      </x:c>
      <x:c r="L9" s="11" t="str">
        <x:v>发布版本需复测；按已有范围解释结果</x:v>
      </x:c>
      <x:c r="M9" s="11" t="str">
        <x:v>项目代码与参数见对应证据</x:v>
      </x:c>
      <x:c r="N9" s="11" t="str">
        <x:v>Windows 单机产品；按已测范围解释</x:v>
      </x:c>
      <x:c r="O9" s="11" t="str">
        <x:v>本轮仅补充矩阵，未复测</x:v>
      </x:c>
      <x:c r="P9" s="11" t="str">
        <x:v>项目场景</x:v>
      </x:c>
    </x:row>
    <x:row r="10" ht="44" customHeight="1">
      <x:c r="A10" s="10" t="str">
        <x:v>NATIVE-036</x:v>
      </x:c>
      <x:c r="B10" s="10" t="str">
        <x:v>L1</x:v>
      </x:c>
      <x:c r="C10" s="10" t="str">
        <x:v>文件读写与完整性</x:v>
      </x:c>
      <x:c r="D10" s="10" t="str">
        <x:v>非缓存读写（原版）</x:v>
      </x:c>
      <x:c r="E10" s="10" t="str">
        <x:v>B Windows / WinFsp</x:v>
      </x:c>
      <x:c r="F10" s="10" t="str">
        <x:v>已通过</x:v>
      </x:c>
      <x:c r="G10" s="10" t="str">
        <x:v>本地后端 JuiceFS 同步／后台；NTFS 与直连结果在历史执行明细</x:v>
      </x:c>
      <x:c r="H10" s="10" t="str">
        <x:v>原版 WinFsp 2.1 外部模式的全部启用断言；与 NTFS 对照核对差异</x:v>
      </x:c>
      <x:c r="I10" s="10" t="str">
        <x:v>rdwr_noncached_test</x:v>
      </x:c>
      <x:c r="J10" s="10" t="str">
        <x:v>E09；S06；S07</x:v>
      </x:c>
      <x:c r="K10" s="10" t="str">
        <x:v>参数化用例</x:v>
      </x:c>
      <x:c r="L10" s="10" t="str">
        <x:v>2026-10-10 历史结果；当前构建及三网盘尚未按严格配置复测。</x:v>
      </x:c>
      <x:c r="M10" s="10" t="str">
        <x:v>WinFsp tests 2.1.25156；--external --resilient +*</x:v>
      </x:c>
      <x:c r="N10" s="10" t="str">
        <x:v>Windows 完整语义目标；失败不自动排除</x:v>
      </x:c>
      <x:c r="O10" s="10" t="str">
        <x:v>本轮未复测</x:v>
      </x:c>
      <x:c r="P10" s="10" t="str">
        <x:v>原版外部套件</x:v>
      </x:c>
    </x:row>
    <x:row r="11" ht="44" customHeight="1">
      <x:c r="A11" s="11" t="str">
        <x:v>NATIVE-037</x:v>
      </x:c>
      <x:c r="B11" s="11" t="str">
        <x:v>L1</x:v>
      </x:c>
      <x:c r="C11" s="11" t="str">
        <x:v>文件读写与完整性</x:v>
      </x:c>
      <x:c r="D11" s="11" t="str">
        <x:v>非缓存异步读写（原版）</x:v>
      </x:c>
      <x:c r="E11" s="11" t="str">
        <x:v>B Windows / WinFsp</x:v>
      </x:c>
      <x:c r="F11" s="11" t="str">
        <x:v>已通过</x:v>
      </x:c>
      <x:c r="G11" s="11" t="str">
        <x:v>本地后端 JuiceFS 同步／后台；NTFS 与直连结果在历史执行明细</x:v>
      </x:c>
      <x:c r="H11" s="11" t="str">
        <x:v>原版 WinFsp 2.1 外部模式的全部启用断言；与 NTFS 对照核对差异</x:v>
      </x:c>
      <x:c r="I11" s="11" t="str">
        <x:v>rdwr_noncached_overlapped_test</x:v>
      </x:c>
      <x:c r="J11" s="11" t="str">
        <x:v>E09；S06；S07</x:v>
      </x:c>
      <x:c r="K11" s="11" t="str">
        <x:v>参数化用例</x:v>
      </x:c>
      <x:c r="L11" s="11" t="str">
        <x:v>2026-10-10 历史结果；当前构建及三网盘尚未按严格配置复测。</x:v>
      </x:c>
      <x:c r="M11" s="11" t="str">
        <x:v>WinFsp tests 2.1.25156；--external --resilient +*</x:v>
      </x:c>
      <x:c r="N11" s="11" t="str">
        <x:v>Windows 完整语义目标；失败不自动排除</x:v>
      </x:c>
      <x:c r="O11" s="11" t="str">
        <x:v>本轮未复测</x:v>
      </x:c>
      <x:c r="P11" s="11" t="str">
        <x:v>原版外部套件</x:v>
      </x:c>
    </x:row>
    <x:row r="12" ht="44" customHeight="1">
      <x:c r="A12" s="10" t="str">
        <x:v>NATIVE-038</x:v>
      </x:c>
      <x:c r="B12" s="10" t="str">
        <x:v>L1</x:v>
      </x:c>
      <x:c r="C12" s="10" t="str">
        <x:v>文件读写与完整性</x:v>
      </x:c>
      <x:c r="D12" s="10" t="str">
        <x:v>缓存读写（原版）</x:v>
      </x:c>
      <x:c r="E12" s="10" t="str">
        <x:v>B Windows / WinFsp</x:v>
      </x:c>
      <x:c r="F12" s="10" t="str">
        <x:v>已通过</x:v>
      </x:c>
      <x:c r="G12" s="10" t="str">
        <x:v>本地后端 JuiceFS 同步／后台；NTFS 与直连结果在历史执行明细</x:v>
      </x:c>
      <x:c r="H12" s="10" t="str">
        <x:v>原版 WinFsp 2.1 外部模式的全部启用断言；与 NTFS 对照核对差异</x:v>
      </x:c>
      <x:c r="I12" s="10" t="str">
        <x:v>rdwr_cached_test</x:v>
      </x:c>
      <x:c r="J12" s="10" t="str">
        <x:v>E09；S06；S07</x:v>
      </x:c>
      <x:c r="K12" s="10" t="str">
        <x:v>参数化用例</x:v>
      </x:c>
      <x:c r="L12" s="10" t="str">
        <x:v>2026-10-10 历史结果；当前构建及三网盘尚未按严格配置复测。</x:v>
      </x:c>
      <x:c r="M12" s="10" t="str">
        <x:v>WinFsp tests 2.1.25156；--external --resilient +*</x:v>
      </x:c>
      <x:c r="N12" s="10" t="str">
        <x:v>Windows 完整语义目标；失败不自动排除</x:v>
      </x:c>
      <x:c r="O12" s="10" t="str">
        <x:v>本轮未复测</x:v>
      </x:c>
      <x:c r="P12" s="10" t="str">
        <x:v>原版外部套件</x:v>
      </x:c>
    </x:row>
    <x:row r="13" ht="44" customHeight="1">
      <x:c r="A13" s="11" t="str">
        <x:v>NATIVE-039</x:v>
      </x:c>
      <x:c r="B13" s="11" t="str">
        <x:v>L1</x:v>
      </x:c>
      <x:c r="C13" s="11" t="str">
        <x:v>文件读写与完整性</x:v>
      </x:c>
      <x:c r="D13" s="11" t="str">
        <x:v>缓存追加（原版）</x:v>
      </x:c>
      <x:c r="E13" s="11" t="str">
        <x:v>B Windows / WinFsp</x:v>
      </x:c>
      <x:c r="F13" s="11" t="str">
        <x:v>已通过</x:v>
      </x:c>
      <x:c r="G13" s="11" t="str">
        <x:v>本地后端 JuiceFS 同步／后台；NTFS 与直连结果在历史执行明细</x:v>
      </x:c>
      <x:c r="H13" s="11" t="str">
        <x:v>原版 WinFsp 2.1 外部模式的全部启用断言；与 NTFS 对照核对差异</x:v>
      </x:c>
      <x:c r="I13" s="11" t="str">
        <x:v>rdwr_cached_append_test</x:v>
      </x:c>
      <x:c r="J13" s="11" t="str">
        <x:v>E09；S06；S07</x:v>
      </x:c>
      <x:c r="K13" s="11" t="str">
        <x:v>参数化用例</x:v>
      </x:c>
      <x:c r="L13" s="11" t="str">
        <x:v>2026-10-10 历史结果；当前构建及三网盘尚未按严格配置复测。</x:v>
      </x:c>
      <x:c r="M13" s="11" t="str">
        <x:v>WinFsp tests 2.1.25156；--external --resilient +*</x:v>
      </x:c>
      <x:c r="N13" s="11" t="str">
        <x:v>Windows 完整语义目标；失败不自动排除</x:v>
      </x:c>
      <x:c r="O13" s="11" t="str">
        <x:v>本轮未复测</x:v>
      </x:c>
      <x:c r="P13" s="11" t="str">
        <x:v>原版外部套件</x:v>
      </x:c>
    </x:row>
    <x:row r="14" ht="44" customHeight="1">
      <x:c r="A14" s="10" t="str">
        <x:v>NATIVE-040</x:v>
      </x:c>
      <x:c r="B14" s="10" t="str">
        <x:v>L1</x:v>
      </x:c>
      <x:c r="C14" s="10" t="str">
        <x:v>文件读写与完整性</x:v>
      </x:c>
      <x:c r="D14" s="10" t="str">
        <x:v>缓存异步读写（原版）</x:v>
      </x:c>
      <x:c r="E14" s="10" t="str">
        <x:v>B Windows / WinFsp</x:v>
      </x:c>
      <x:c r="F14" s="10" t="str">
        <x:v>已通过</x:v>
      </x:c>
      <x:c r="G14" s="10" t="str">
        <x:v>本地后端 JuiceFS 同步／后台；NTFS 与直连结果在历史执行明细</x:v>
      </x:c>
      <x:c r="H14" s="10" t="str">
        <x:v>原版 WinFsp 2.1 外部模式的全部启用断言；与 NTFS 对照核对差异</x:v>
      </x:c>
      <x:c r="I14" s="10" t="str">
        <x:v>rdwr_cached_overlapped_test</x:v>
      </x:c>
      <x:c r="J14" s="10" t="str">
        <x:v>E09；S06；S07</x:v>
      </x:c>
      <x:c r="K14" s="10" t="str">
        <x:v>参数化用例</x:v>
      </x:c>
      <x:c r="L14" s="10" t="str">
        <x:v>2026-10-10 历史结果；当前构建及三网盘尚未按严格配置复测。</x:v>
      </x:c>
      <x:c r="M14" s="10" t="str">
        <x:v>WinFsp tests 2.1.25156；--external --resilient +*</x:v>
      </x:c>
      <x:c r="N14" s="10" t="str">
        <x:v>Windows 完整语义目标；失败不自动排除</x:v>
      </x:c>
      <x:c r="O14" s="10" t="str">
        <x:v>本轮未复测</x:v>
      </x:c>
      <x:c r="P14" s="10" t="str">
        <x:v>原版外部套件</x:v>
      </x:c>
    </x:row>
    <x:row r="15" ht="44" customHeight="1">
      <x:c r="A15" s="11" t="str">
        <x:v>NATIVE-041</x:v>
      </x:c>
      <x:c r="B15" s="11" t="str">
        <x:v>L1</x:v>
      </x:c>
      <x:c r="C15" s="11" t="str">
        <x:v>文件读写与完整性</x:v>
      </x:c>
      <x:c r="D15" s="11" t="str">
        <x:v>直写读写（原版）</x:v>
      </x:c>
      <x:c r="E15" s="11" t="str">
        <x:v>B Windows / WinFsp</x:v>
      </x:c>
      <x:c r="F15" s="11" t="str">
        <x:v>已通过</x:v>
      </x:c>
      <x:c r="G15" s="11" t="str">
        <x:v>本地后端 JuiceFS 同步／后台；NTFS 与直连结果在历史执行明细</x:v>
      </x:c>
      <x:c r="H15" s="11" t="str">
        <x:v>原版 WinFsp 2.1 外部模式的全部启用断言；与 NTFS 对照核对差异</x:v>
      </x:c>
      <x:c r="I15" s="11" t="str">
        <x:v>rdwr_writethru_test</x:v>
      </x:c>
      <x:c r="J15" s="11" t="str">
        <x:v>E09；S06；S07</x:v>
      </x:c>
      <x:c r="K15" s="11" t="str">
        <x:v>参数化用例</x:v>
      </x:c>
      <x:c r="L15" s="11" t="str">
        <x:v>2026-10-10 历史结果；当前构建及三网盘尚未按严格配置复测。</x:v>
      </x:c>
      <x:c r="M15" s="11" t="str">
        <x:v>WinFsp tests 2.1.25156；--external --resilient +*</x:v>
      </x:c>
      <x:c r="N15" s="11" t="str">
        <x:v>Windows 完整语义目标；失败不自动排除</x:v>
      </x:c>
      <x:c r="O15" s="11" t="str">
        <x:v>本轮未复测</x:v>
      </x:c>
      <x:c r="P15" s="11" t="str">
        <x:v>原版外部套件</x:v>
      </x:c>
    </x:row>
    <x:row r="16" ht="44" customHeight="1">
      <x:c r="A16" s="10" t="str">
        <x:v>NATIVE-042</x:v>
      </x:c>
      <x:c r="B16" s="10" t="str">
        <x:v>L1</x:v>
      </x:c>
      <x:c r="C16" s="10" t="str">
        <x:v>文件读写与完整性</x:v>
      </x:c>
      <x:c r="D16" s="10" t="str">
        <x:v>直写追加（原版）</x:v>
      </x:c>
      <x:c r="E16" s="10" t="str">
        <x:v>B Windows / WinFsp</x:v>
      </x:c>
      <x:c r="F16" s="10" t="str">
        <x:v>已通过</x:v>
      </x:c>
      <x:c r="G16" s="10" t="str">
        <x:v>本地后端 JuiceFS 同步／后台；NTFS 与直连结果在历史执行明细</x:v>
      </x:c>
      <x:c r="H16" s="10" t="str">
        <x:v>原版 WinFsp 2.1 外部模式的全部启用断言；与 NTFS 对照核对差异</x:v>
      </x:c>
      <x:c r="I16" s="10" t="str">
        <x:v>rdwr_writethru_append_test</x:v>
      </x:c>
      <x:c r="J16" s="10" t="str">
        <x:v>E09；S06；S07</x:v>
      </x:c>
      <x:c r="K16" s="10" t="str">
        <x:v>参数化用例</x:v>
      </x:c>
      <x:c r="L16" s="10" t="str">
        <x:v>2026-10-10 历史结果；当前构建及三网盘尚未按严格配置复测。</x:v>
      </x:c>
      <x:c r="M16" s="10" t="str">
        <x:v>WinFsp tests 2.1.25156；--external --resilient +*</x:v>
      </x:c>
      <x:c r="N16" s="10" t="str">
        <x:v>Windows 完整语义目标；失败不自动排除</x:v>
      </x:c>
      <x:c r="O16" s="10" t="str">
        <x:v>本轮未复测</x:v>
      </x:c>
      <x:c r="P16" s="10" t="str">
        <x:v>原版外部套件</x:v>
      </x:c>
    </x:row>
    <x:row r="17" ht="44" customHeight="1">
      <x:c r="A17" s="11" t="str">
        <x:v>NATIVE-043</x:v>
      </x:c>
      <x:c r="B17" s="11" t="str">
        <x:v>L1</x:v>
      </x:c>
      <x:c r="C17" s="11" t="str">
        <x:v>文件读写与完整性</x:v>
      </x:c>
      <x:c r="D17" s="11" t="str">
        <x:v>直写异步读写（原版）</x:v>
      </x:c>
      <x:c r="E17" s="11" t="str">
        <x:v>B Windows / WinFsp</x:v>
      </x:c>
      <x:c r="F17" s="11" t="str">
        <x:v>已通过</x:v>
      </x:c>
      <x:c r="G17" s="11" t="str">
        <x:v>本地后端 JuiceFS 同步／后台；NTFS 与直连结果在历史执行明细</x:v>
      </x:c>
      <x:c r="H17" s="11" t="str">
        <x:v>原版 WinFsp 2.1 外部模式的全部启用断言；与 NTFS 对照核对差异</x:v>
      </x:c>
      <x:c r="I17" s="11" t="str">
        <x:v>rdwr_writethru_overlapped_test</x:v>
      </x:c>
      <x:c r="J17" s="11" t="str">
        <x:v>E09；S06；S07</x:v>
      </x:c>
      <x:c r="K17" s="11" t="str">
        <x:v>参数化用例</x:v>
      </x:c>
      <x:c r="L17" s="11" t="str">
        <x:v>2026-10-10 历史结果；当前构建及三网盘尚未按严格配置复测。</x:v>
      </x:c>
      <x:c r="M17" s="11" t="str">
        <x:v>WinFsp tests 2.1.25156；--external --resilient +*</x:v>
      </x:c>
      <x:c r="N17" s="11" t="str">
        <x:v>Windows 完整语义目标；失败不自动排除</x:v>
      </x:c>
      <x:c r="O17" s="11" t="str">
        <x:v>本轮未复测</x:v>
      </x:c>
      <x:c r="P17" s="11" t="str">
        <x:v>原版外部套件</x:v>
      </x:c>
    </x:row>
    <x:row r="18" ht="44" customHeight="1">
      <x:c r="A18" s="10" t="str">
        <x:v>NATIVE-115</x:v>
      </x:c>
      <x:c r="B18" s="10" t="str">
        <x:v>L1</x:v>
      </x:c>
      <x:c r="C18" s="10" t="str">
        <x:v>文件读写与完整性</x:v>
      </x:c>
      <x:c r="D18" s="10" t="str">
        <x:v>FSX 普通读写与映射（原版）</x:v>
      </x:c>
      <x:c r="E18" s="10" t="str">
        <x:v>B Windows / WinFsp</x:v>
      </x:c>
      <x:c r="F18" s="10" t="str">
        <x:v>已通过</x:v>
      </x:c>
      <x:c r="G18" s="10" t="str">
        <x:v>本地后端 JuiceFS 同步／后台；NTFS 与直连结果在历史执行明细</x:v>
      </x:c>
      <x:c r="H18" s="10" t="str">
        <x:v>5,000 次操作、种子 20261010；内容符合 FSX 独立期望模型</x:v>
      </x:c>
      <x:c r="I18" s="10" t="str">
        <x:v>fsx-normal</x:v>
      </x:c>
      <x:c r="J18" s="10" t="str">
        <x:v>E09；S06；S07</x:v>
      </x:c>
      <x:c r="K18" s="10" t="str">
        <x:v>参数化用例</x:v>
      </x:c>
      <x:c r="L18" s="10" t="str">
        <x:v>2026-10-10 历史结果；当前构建及三网盘尚未按严格配置复测。</x:v>
      </x:c>
      <x:c r="M18" s="10" t="str">
        <x:v>secfs.test 6ac65cda46abc2be39c7b137debf9521052edbaf</x:v>
      </x:c>
      <x:c r="N18" s="10" t="str">
        <x:v>Windows 完整语义目标；失败不自动排除</x:v>
      </x:c>
      <x:c r="O18" s="10" t="str">
        <x:v>本轮未复测</x:v>
      </x:c>
      <x:c r="P18" s="10" t="str">
        <x:v>原版外部套件</x:v>
      </x:c>
    </x:row>
    <x:row r="19" ht="44" customHeight="1">
      <x:c r="A19" s="11" t="str">
        <x:v>NATIVE-116</x:v>
      </x:c>
      <x:c r="B19" s="11" t="str">
        <x:v>L1</x:v>
      </x:c>
      <x:c r="C19" s="11" t="str">
        <x:v>文件读写与完整性</x:v>
      </x:c>
      <x:c r="D19" s="11" t="str">
        <x:v>FSX 混合缓存／非缓存读写（原版）</x:v>
      </x:c>
      <x:c r="E19" s="11" t="str">
        <x:v>B Windows / WinFsp</x:v>
      </x:c>
      <x:c r="F19" s="11" t="str">
        <x:v>已通过</x:v>
      </x:c>
      <x:c r="G19" s="11" t="str">
        <x:v>本地后端 JuiceFS 同步／后台；NTFS 与直连结果在历史执行明细</x:v>
      </x:c>
      <x:c r="H19" s="11" t="str">
        <x:v>5,000 次操作、种子 20261010；内容符合 FSX 独立期望模型</x:v>
      </x:c>
      <x:c r="I19" s="11" t="str">
        <x:v>fsx-mixed</x:v>
      </x:c>
      <x:c r="J19" s="11" t="str">
        <x:v>E09；S06；S07</x:v>
      </x:c>
      <x:c r="K19" s="11" t="str">
        <x:v>参数化用例</x:v>
      </x:c>
      <x:c r="L19" s="11" t="str">
        <x:v>2026-10-10 历史结果；当前构建及三网盘尚未按严格配置复测。</x:v>
      </x:c>
      <x:c r="M19" s="11" t="str">
        <x:v>secfs.test 6ac65cda46abc2be39c7b137debf9521052edbaf</x:v>
      </x:c>
      <x:c r="N19" s="11" t="str">
        <x:v>Windows 完整语义目标；失败不自动排除</x:v>
      </x:c>
      <x:c r="O19" s="11" t="str">
        <x:v>本轮未复测</x:v>
      </x:c>
      <x:c r="P19" s="11" t="str">
        <x:v>原版外部套件</x:v>
      </x:c>
    </x:row>
    <x:row r="20" ht="44" customHeight="1">
      <x:c r="A20" s="10" t="str">
        <x:v>NATIVE-117</x:v>
      </x:c>
      <x:c r="B20" s="10" t="str">
        <x:v>L1</x:v>
      </x:c>
      <x:c r="C20" s="10" t="str">
        <x:v>文件读写与完整性</x:v>
      </x:c>
      <x:c r="D20" s="10" t="str">
        <x:v>FSX 命名流随机读写（原版）</x:v>
      </x:c>
      <x:c r="E20" s="10" t="str">
        <x:v>B Windows / WinFsp</x:v>
      </x:c>
      <x:c r="F20" s="10" t="str">
        <x:v>已失败</x:v>
      </x:c>
      <x:c r="G20" s="10" t="str">
        <x:v>本地后端 JuiceFS 同步／后台；NTFS 与直连结果在历史执行明细</x:v>
      </x:c>
      <x:c r="H20" s="10" t="str">
        <x:v>5,000 次操作、种子 20261010；内容符合 FSX 独立期望模型</x:v>
      </x:c>
      <x:c r="I20" s="10" t="str">
        <x:v>fsx-stream</x:v>
      </x:c>
      <x:c r="J20" s="10" t="str">
        <x:v>E09；S06；S07</x:v>
      </x:c>
      <x:c r="K20" s="10" t="str">
        <x:v>参数化用例</x:v>
      </x:c>
      <x:c r="L20" s="10" t="str">
        <x:v>2026-10-10 历史结果；当前构建及三网盘尚未按严格配置复测。 </x:v>
      </x:c>
      <x:c r="M20" s="10" t="str">
        <x:v>secfs.test 6ac65cda46abc2be39c7b137debf9521052edbaf</x:v>
      </x:c>
      <x:c r="N20" s="10" t="str">
        <x:v>Windows 完整语义目标；失败不自动排除</x:v>
      </x:c>
      <x:c r="O20" s="10" t="str">
        <x:v>本轮未复测</x:v>
      </x:c>
      <x:c r="P20" s="10" t="str">
        <x:v>原版外部套件</x:v>
      </x:c>
    </x:row>
    <x:row r="21" ht="44" customHeight="1">
      <x:c r="A21" s="11" t="str">
        <x:v>PLAN-009</x:v>
      </x:c>
      <x:c r="B21" s="11" t="str">
        <x:v>L1</x:v>
      </x:c>
      <x:c r="C21" s="11" t="str">
        <x:v>文件读写与完整性</x:v>
      </x:c>
      <x:c r="D21" s="11" t="str">
        <x:v>损坏或截短的对象/缓存检测</x:v>
      </x:c>
      <x:c r="E21" s="11" t="str">
        <x:v>C 项目补充</x:v>
      </x:c>
      <x:c r="F21" s="11" t="str">
        <x:v>待补充</x:v>
      </x:c>
      <x:c r="G21" s="11" t="str">
        <x:v>隔离故障副本</x:v>
      </x:c>
      <x:c r="H21" s="11" t="str">
        <x:v>读取能检测或报告损坏，不能静默返回错误内容</x:v>
      </x:c>
      <x:c r="I21" s="11" t="str">
        <x:v>拟补充场景；未记录可执行完整用例</x:v>
      </x:c>
      <x:c r="J21" s="11" t="str">
        <x:v>需求缺口分析；无通过证据</x:v>
      </x:c>
      <x:c r="K21" s="11" t="str">
        <x:v>待细化场景</x:v>
      </x:c>
      <x:c r="L21" s="11" t="str">
        <x:v>不修改真实用户文件</x:v>
      </x:c>
      <x:c r="M21" s="11" t="str">
        <x:v>项目代码与参数见对应证据</x:v>
      </x:c>
      <x:c r="N21" s="11" t="str">
        <x:v>Windows 单机产品；按已测范围解释</x:v>
      </x:c>
      <x:c r="O21" s="11" t="str">
        <x:v>本轮仅补充矩阵，未复测</x:v>
      </x:c>
      <x:c r="P21" s="11" t="str">
        <x:v>项目场景</x:v>
      </x:c>
    </x:row>
    <x:row r="22" ht="44" customHeight="1">
      <x:c r="A22" s="10" t="str">
        <x:v>WFP-27</x:v>
      </x:c>
      <x:c r="B22" s="10" t="str">
        <x:v>L1</x:v>
      </x:c>
      <x:c r="C22" s="10" t="str">
        <x:v>文件读写与完整性</x:v>
      </x:c>
      <x:c r="D22" s="10" t="str">
        <x:v>非缓存读写</x:v>
      </x:c>
      <x:c r="E22" s="10" t="str">
        <x:v>B Windows / WinFsp</x:v>
      </x:c>
      <x:c r="F22" s="10" t="str">
        <x:v>已通过</x:v>
      </x:c>
      <x:c r="G22" s="10" t="str">
        <x:v>本地、百度、Google、OneDrive；同步/后台，共 8 组</x:v>
      </x:c>
      <x:c r="H22" s="10" t="str">
        <x:v>该用例在官方 FUSE 兼容参数下通过；断言范围以原用例为准</x:v>
      </x:c>
      <x:c r="I22" s="10" t="str">
        <x:v>rdwr_noncached_test</x:v>
      </x:c>
      <x:c r="J22" s="10" t="str">
        <x:v>E01；S04</x:v>
      </x:c>
      <x:c r="K22" s="10" t="str">
        <x:v>用例</x:v>
      </x:c>
      <x:c r="L22" s="10" t="str">
        <x:v>--fuse-external --resilient --case-insensitive-cmp；不代表全部 NTFS 语义</x:v>
      </x:c>
      <x:c r="M22" s="10" t="str">
        <x:v>juicedata/winfsp testing_suit_20250324；默认 FUSE 参数</x:v>
      </x:c>
      <x:c r="N22" s="10" t="str">
        <x:v>Windows 单机产品；按已测范围解释</x:v>
      </x:c>
      <x:c r="O22" s="10" t="str">
        <x:v>本轮仅补充矩阵，未复测</x:v>
      </x:c>
      <x:c r="P22" s="10" t="str">
        <x:v>JuiceFS fork 外部</x:v>
      </x:c>
    </x:row>
    <x:row r="23" ht="44" customHeight="1">
      <x:c r="A23" s="11" t="str">
        <x:v>WFP-28</x:v>
      </x:c>
      <x:c r="B23" s="11" t="str">
        <x:v>L1</x:v>
      </x:c>
      <x:c r="C23" s="11" t="str">
        <x:v>文件读写与完整性</x:v>
      </x:c>
      <x:c r="D23" s="11" t="str">
        <x:v>非缓存异步读写</x:v>
      </x:c>
      <x:c r="E23" s="11" t="str">
        <x:v>B Windows / WinFsp</x:v>
      </x:c>
      <x:c r="F23" s="11" t="str">
        <x:v>已通过</x:v>
      </x:c>
      <x:c r="G23" s="11" t="str">
        <x:v>本地、百度、Google、OneDrive；同步/后台，共 8 组</x:v>
      </x:c>
      <x:c r="H23" s="11" t="str">
        <x:v>该用例在官方 FUSE 兼容参数下通过；断言范围以原用例为准</x:v>
      </x:c>
      <x:c r="I23" s="11" t="str">
        <x:v>rdwr_noncached_overlapped_test</x:v>
      </x:c>
      <x:c r="J23" s="11" t="str">
        <x:v>E01；S04</x:v>
      </x:c>
      <x:c r="K23" s="11" t="str">
        <x:v>用例</x:v>
      </x:c>
      <x:c r="L23" s="11" t="str">
        <x:v>--fuse-external --resilient --case-insensitive-cmp；不代表全部 NTFS 语义</x:v>
      </x:c>
      <x:c r="M23" s="11" t="str">
        <x:v>juicedata/winfsp testing_suit_20250324；默认 FUSE 参数</x:v>
      </x:c>
      <x:c r="N23" s="11" t="str">
        <x:v>Windows 单机产品；按已测范围解释</x:v>
      </x:c>
      <x:c r="O23" s="11" t="str">
        <x:v>本轮仅补充矩阵，未复测</x:v>
      </x:c>
      <x:c r="P23" s="11" t="str">
        <x:v>JuiceFS fork 外部</x:v>
      </x:c>
    </x:row>
    <x:row r="24" ht="44" customHeight="1">
      <x:c r="A24" s="10" t="str">
        <x:v>WFP-29</x:v>
      </x:c>
      <x:c r="B24" s="10" t="str">
        <x:v>L1</x:v>
      </x:c>
      <x:c r="C24" s="10" t="str">
        <x:v>文件读写与完整性</x:v>
      </x:c>
      <x:c r="D24" s="10" t="str">
        <x:v>缓存读写</x:v>
      </x:c>
      <x:c r="E24" s="10" t="str">
        <x:v>B Windows / WinFsp</x:v>
      </x:c>
      <x:c r="F24" s="10" t="str">
        <x:v>已通过</x:v>
      </x:c>
      <x:c r="G24" s="10" t="str">
        <x:v>本地、百度、Google、OneDrive；同步/后台，共 8 组</x:v>
      </x:c>
      <x:c r="H24" s="10" t="str">
        <x:v>该用例在官方 FUSE 兼容参数下通过；断言范围以原用例为准</x:v>
      </x:c>
      <x:c r="I24" s="10" t="str">
        <x:v>rdwr_cached_test</x:v>
      </x:c>
      <x:c r="J24" s="10" t="str">
        <x:v>E01；S04</x:v>
      </x:c>
      <x:c r="K24" s="10" t="str">
        <x:v>用例</x:v>
      </x:c>
      <x:c r="L24" s="10" t="str">
        <x:v>--fuse-external --resilient --case-insensitive-cmp；不代表全部 NTFS 语义</x:v>
      </x:c>
      <x:c r="M24" s="10" t="str">
        <x:v>juicedata/winfsp testing_suit_20250324；默认 FUSE 参数</x:v>
      </x:c>
      <x:c r="N24" s="10" t="str">
        <x:v>Windows 单机产品；按已测范围解释</x:v>
      </x:c>
      <x:c r="O24" s="10" t="str">
        <x:v>本轮仅补充矩阵，未复测</x:v>
      </x:c>
      <x:c r="P24" s="10" t="str">
        <x:v>JuiceFS fork 外部</x:v>
      </x:c>
    </x:row>
    <x:row r="25" ht="44" customHeight="1">
      <x:c r="A25" s="11" t="str">
        <x:v>WFP-30</x:v>
      </x:c>
      <x:c r="B25" s="11" t="str">
        <x:v>L1</x:v>
      </x:c>
      <x:c r="C25" s="11" t="str">
        <x:v>文件读写与完整性</x:v>
      </x:c>
      <x:c r="D25" s="11" t="str">
        <x:v>缓存追加</x:v>
      </x:c>
      <x:c r="E25" s="11" t="str">
        <x:v>B Windows / WinFsp</x:v>
      </x:c>
      <x:c r="F25" s="11" t="str">
        <x:v>已通过</x:v>
      </x:c>
      <x:c r="G25" s="11" t="str">
        <x:v>本地、百度、Google、OneDrive；同步/后台，共 8 组</x:v>
      </x:c>
      <x:c r="H25" s="11" t="str">
        <x:v>该用例在官方 FUSE 兼容参数下通过；断言范围以原用例为准</x:v>
      </x:c>
      <x:c r="I25" s="11" t="str">
        <x:v>rdwr_cached_append_test</x:v>
      </x:c>
      <x:c r="J25" s="11" t="str">
        <x:v>E01；S04</x:v>
      </x:c>
      <x:c r="K25" s="11" t="str">
        <x:v>用例</x:v>
      </x:c>
      <x:c r="L25" s="11" t="str">
        <x:v>--fuse-external --resilient --case-insensitive-cmp；不代表全部 NTFS 语义</x:v>
      </x:c>
      <x:c r="M25" s="11" t="str">
        <x:v>juicedata/winfsp testing_suit_20250324；默认 FUSE 参数</x:v>
      </x:c>
      <x:c r="N25" s="11" t="str">
        <x:v>Windows 单机产品；按已测范围解释</x:v>
      </x:c>
      <x:c r="O25" s="11" t="str">
        <x:v>本轮仅补充矩阵，未复测</x:v>
      </x:c>
      <x:c r="P25" s="11" t="str">
        <x:v>JuiceFS fork 外部</x:v>
      </x:c>
    </x:row>
    <x:row r="26" ht="44" customHeight="1">
      <x:c r="A26" s="10" t="str">
        <x:v>WFP-31</x:v>
      </x:c>
      <x:c r="B26" s="10" t="str">
        <x:v>L1</x:v>
      </x:c>
      <x:c r="C26" s="10" t="str">
        <x:v>文件读写与完整性</x:v>
      </x:c>
      <x:c r="D26" s="10" t="str">
        <x:v>缓存异步读写</x:v>
      </x:c>
      <x:c r="E26" s="10" t="str">
        <x:v>B Windows / WinFsp</x:v>
      </x:c>
      <x:c r="F26" s="10" t="str">
        <x:v>已通过</x:v>
      </x:c>
      <x:c r="G26" s="10" t="str">
        <x:v>本地、百度、Google、OneDrive；同步/后台，共 8 组</x:v>
      </x:c>
      <x:c r="H26" s="10" t="str">
        <x:v>该用例在官方 FUSE 兼容参数下通过；断言范围以原用例为准</x:v>
      </x:c>
      <x:c r="I26" s="10" t="str">
        <x:v>rdwr_cached_overlapped_test</x:v>
      </x:c>
      <x:c r="J26" s="10" t="str">
        <x:v>E01；S04</x:v>
      </x:c>
      <x:c r="K26" s="10" t="str">
        <x:v>用例</x:v>
      </x:c>
      <x:c r="L26" s="10" t="str">
        <x:v>--fuse-external --resilient --case-insensitive-cmp；不代表全部 NTFS 语义</x:v>
      </x:c>
      <x:c r="M26" s="10" t="str">
        <x:v>juicedata/winfsp testing_suit_20250324；默认 FUSE 参数</x:v>
      </x:c>
      <x:c r="N26" s="10" t="str">
        <x:v>Windows 单机产品；按已测范围解释</x:v>
      </x:c>
      <x:c r="O26" s="10" t="str">
        <x:v>本轮仅补充矩阵，未复测</x:v>
      </x:c>
      <x:c r="P26" s="10" t="str">
        <x:v>JuiceFS fork 外部</x:v>
      </x:c>
    </x:row>
    <x:row r="27" ht="44" customHeight="1">
      <x:c r="A27" s="11" t="str">
        <x:v>WFP-32</x:v>
      </x:c>
      <x:c r="B27" s="11" t="str">
        <x:v>L1</x:v>
      </x:c>
      <x:c r="C27" s="11" t="str">
        <x:v>文件读写与完整性</x:v>
      </x:c>
      <x:c r="D27" s="11" t="str">
        <x:v>直写读写</x:v>
      </x:c>
      <x:c r="E27" s="11" t="str">
        <x:v>B Windows / WinFsp</x:v>
      </x:c>
      <x:c r="F27" s="11" t="str">
        <x:v>已通过</x:v>
      </x:c>
      <x:c r="G27" s="11" t="str">
        <x:v>本地、百度、Google、OneDrive；同步/后台，共 8 组</x:v>
      </x:c>
      <x:c r="H27" s="11" t="str">
        <x:v>该用例在官方 FUSE 兼容参数下通过；断言范围以原用例为准</x:v>
      </x:c>
      <x:c r="I27" s="11" t="str">
        <x:v>rdwr_writethru_test</x:v>
      </x:c>
      <x:c r="J27" s="11" t="str">
        <x:v>E01；S04</x:v>
      </x:c>
      <x:c r="K27" s="11" t="str">
        <x:v>用例</x:v>
      </x:c>
      <x:c r="L27" s="11" t="str">
        <x:v>--fuse-external --resilient --case-insensitive-cmp；不代表全部 NTFS 语义</x:v>
      </x:c>
      <x:c r="M27" s="11" t="str">
        <x:v>juicedata/winfsp testing_suit_20250324；默认 FUSE 参数</x:v>
      </x:c>
      <x:c r="N27" s="11" t="str">
        <x:v>Windows 单机产品；按已测范围解释</x:v>
      </x:c>
      <x:c r="O27" s="11" t="str">
        <x:v>本轮仅补充矩阵，未复测</x:v>
      </x:c>
      <x:c r="P27" s="11" t="str">
        <x:v>JuiceFS fork 外部</x:v>
      </x:c>
    </x:row>
    <x:row r="28" ht="44" customHeight="1">
      <x:c r="A28" s="10" t="str">
        <x:v>WFP-33</x:v>
      </x:c>
      <x:c r="B28" s="10" t="str">
        <x:v>L1</x:v>
      </x:c>
      <x:c r="C28" s="10" t="str">
        <x:v>文件读写与完整性</x:v>
      </x:c>
      <x:c r="D28" s="10" t="str">
        <x:v>直写追加</x:v>
      </x:c>
      <x:c r="E28" s="10" t="str">
        <x:v>B Windows / WinFsp</x:v>
      </x:c>
      <x:c r="F28" s="10" t="str">
        <x:v>已通过</x:v>
      </x:c>
      <x:c r="G28" s="10" t="str">
        <x:v>本地、百度、Google、OneDrive；同步/后台，共 8 组</x:v>
      </x:c>
      <x:c r="H28" s="10" t="str">
        <x:v>该用例在官方 FUSE 兼容参数下通过；断言范围以原用例为准</x:v>
      </x:c>
      <x:c r="I28" s="10" t="str">
        <x:v>rdwr_writethru_append_test</x:v>
      </x:c>
      <x:c r="J28" s="10" t="str">
        <x:v>E01；S04</x:v>
      </x:c>
      <x:c r="K28" s="10" t="str">
        <x:v>用例</x:v>
      </x:c>
      <x:c r="L28" s="10" t="str">
        <x:v>--fuse-external --resilient --case-insensitive-cmp；不代表全部 NTFS 语义</x:v>
      </x:c>
      <x:c r="M28" s="10" t="str">
        <x:v>juicedata/winfsp testing_suit_20250324；默认 FUSE 参数</x:v>
      </x:c>
      <x:c r="N28" s="10" t="str">
        <x:v>Windows 单机产品；按已测范围解释</x:v>
      </x:c>
      <x:c r="O28" s="10" t="str">
        <x:v>本轮仅补充矩阵，未复测</x:v>
      </x:c>
      <x:c r="P28" s="10" t="str">
        <x:v>JuiceFS fork 外部</x:v>
      </x:c>
    </x:row>
    <x:row r="29" ht="44" customHeight="1">
      <x:c r="A29" s="11" t="str">
        <x:v>WFP-34</x:v>
      </x:c>
      <x:c r="B29" s="11" t="str">
        <x:v>L1</x:v>
      </x:c>
      <x:c r="C29" s="11" t="str">
        <x:v>文件读写与完整性</x:v>
      </x:c>
      <x:c r="D29" s="11" t="str">
        <x:v>直写异步读写</x:v>
      </x:c>
      <x:c r="E29" s="11" t="str">
        <x:v>B Windows / WinFsp</x:v>
      </x:c>
      <x:c r="F29" s="11" t="str">
        <x:v>已通过</x:v>
      </x:c>
      <x:c r="G29" s="11" t="str">
        <x:v>本地、百度、Google、OneDrive；同步/后台，共 8 组</x:v>
      </x:c>
      <x:c r="H29" s="11" t="str">
        <x:v>该用例在官方 FUSE 兼容参数下通过；断言范围以原用例为准</x:v>
      </x:c>
      <x:c r="I29" s="11" t="str">
        <x:v>rdwr_writethru_overlapped_test</x:v>
      </x:c>
      <x:c r="J29" s="11" t="str">
        <x:v>E01；S04</x:v>
      </x:c>
      <x:c r="K29" s="11" t="str">
        <x:v>用例</x:v>
      </x:c>
      <x:c r="L29" s="11" t="str">
        <x:v>--fuse-external --resilient --case-insensitive-cmp；不代表全部 NTFS 语义</x:v>
      </x:c>
      <x:c r="M29" s="11" t="str">
        <x:v>juicedata/winfsp testing_suit_20250324；默认 FUSE 参数</x:v>
      </x:c>
      <x:c r="N29" s="11" t="str">
        <x:v>Windows 单机产品；按已测范围解释</x:v>
      </x:c>
      <x:c r="O29" s="11" t="str">
        <x:v>本轮仅补充矩阵，未复测</x:v>
      </x:c>
      <x:c r="P29" s="11" t="str">
        <x:v>JuiceFS fork 外部</x:v>
      </x:c>
    </x:row>
    <x:row r="30" ht="44" customHeight="1">
      <x:c r="A30" s="10" t="str">
        <x:v>PLAN-010</x:v>
      </x:c>
      <x:c r="B30" s="10" t="str">
        <x:v>L1</x:v>
      </x:c>
      <x:c r="C30" s="10" t="str">
        <x:v>并发与文件锁</x:v>
      </x:c>
      <x:c r="D30" s="10" t="str">
        <x:v>多进程同文件竞争与原子替换</x:v>
      </x:c>
      <x:c r="E30" s="10" t="str">
        <x:v>C 项目补充</x:v>
      </x:c>
      <x:c r="F30" s="10" t="str">
        <x:v>待补充</x:v>
      </x:c>
      <x:c r="G30" s="10" t="str">
        <x:v>本地及三网盘；同步/后台</x:v>
      </x:c>
      <x:c r="H30" s="10" t="str">
        <x:v>读写、锁、替换、截断组合符合约定；不发生静默丢更新</x:v>
      </x:c>
      <x:c r="I30" s="10" t="str">
        <x:v>拟补充场景；未记录可执行完整用例</x:v>
      </x:c>
      <x:c r="J30" s="10" t="str">
        <x:v>需求缺口分析；无通过证据</x:v>
      </x:c>
      <x:c r="K30" s="10" t="str">
        <x:v>待细化场景</x:v>
      </x:c>
      <x:c r="L30" s="10" t="str">
        <x:v>已有锁用例通过；此条是故障与并发组合补充</x:v>
      </x:c>
      <x:c r="M30" s="10" t="str">
        <x:v>项目代码与参数见对应证据</x:v>
      </x:c>
      <x:c r="N30" s="10" t="str">
        <x:v>Windows 单机产品；按已测范围解释</x:v>
      </x:c>
      <x:c r="O30" s="10" t="str">
        <x:v>本轮仅补充矩阵，未复测</x:v>
      </x:c>
      <x:c r="P30" s="10" t="str">
        <x:v>项目场景</x:v>
      </x:c>
    </x:row>
    <x:row r="31" ht="44" customHeight="1">
      <x:c r="A31" s="11" t="str">
        <x:v>BASE-003</x:v>
      </x:c>
      <x:c r="B31" s="11" t="str">
        <x:v>L1</x:v>
      </x:c>
      <x:c r="C31" s="11" t="str">
        <x:v>刷新与一致性</x:v>
      </x:c>
      <x:c r="D31" s="11" t="str">
        <x:v>Windows 刷新与异常恢复契约</x:v>
      </x:c>
      <x:c r="E31" s="11" t="str">
        <x:v>D 外部基准补充</x:v>
      </x:c>
      <x:c r="F31" s="11" t="str">
        <x:v>待补充</x:v>
      </x:c>
      <x:c r="G31" s="11" t="str">
        <x:v>WriteFile / FlushFileBuffers / CloseHandle；同步及后台</x:v>
      </x:c>
      <x:c r="H31" s="11" t="str">
        <x:v>分别定义前台返回、本地持久化、远端落盘；在各阶段异常退出后对照独立日志验证</x:v>
      </x:c>
      <x:c r="I31" s="11" t="str">
        <x:v>Windows API 契约＋PLAN-001/002/008/011</x:v>
      </x:c>
      <x:c r="J31" s="11" t="str">
        <x:v>S09</x:v>
      </x:c>
      <x:c r="K31" s="11" t="str">
        <x:v>待细化场景</x:v>
      </x:c>
      <x:c r="L31" s="11" t="str">
        <x:v>此条为需实现的基准方案；无执行结果，不计作通过</x:v>
      </x:c>
      <x:c r="M31" s="11" t="str">
        <x:v>待固定工具版本与可执行配置</x:v>
      </x:c>
      <x:c r="N31" s="11" t="str">
        <x:v>按场景执行</x:v>
      </x:c>
      <x:c r="O31" s="11" t="str">
        <x:v>未实现完整入口</x:v>
      </x:c>
      <x:c r="P31" s="11" t="str">
        <x:v>新增基准方案</x:v>
      </x:c>
    </x:row>
    <x:row r="32" ht="44" customHeight="1">
      <x:c r="A32" s="10" t="str">
        <x:v>CLOUD-004</x:v>
      </x:c>
      <x:c r="B32" s="10" t="str">
        <x:v>L1</x:v>
      </x:c>
      <x:c r="C32" s="10" t="str">
        <x:v>刷新与一致性</x:v>
      </x:c>
      <x:c r="D32" s="10" t="str">
        <x:v>正常截断为零</x:v>
      </x:c>
      <x:c r="E32" s="10" t="str">
        <x:v>C 项目补充</x:v>
      </x:c>
      <x:c r="F32" s="10" t="str">
        <x:v>已通过</x:v>
      </x:c>
      <x:c r="G32" s="10" t="str">
        <x:v>百度、Google、OneDrive；同步/后台，共 6 组</x:v>
      </x:c>
      <x:c r="H32" s="10" t="str">
        <x:v>正常上传条件下截断后长度为零</x:v>
      </x:c>
      <x:c r="I32" s="10" t="str">
        <x:v>windows-cloud-volume-integration.cjs</x:v>
      </x:c>
      <x:c r="J32" s="10" t="str">
        <x:v>E02</x:v>
      </x:c>
      <x:c r="K32" s="10" t="str">
        <x:v>场景组</x:v>
      </x:c>
      <x:c r="L32" s="10" t="str">
        <x:v>不覆盖刷新超时；异常场景见 DEF-001</x:v>
      </x:c>
      <x:c r="M32" s="10" t="str">
        <x:v>项目代码与参数见对应证据</x:v>
      </x:c>
      <x:c r="N32" s="10" t="str">
        <x:v>Windows 单机产品；按已测范围解释</x:v>
      </x:c>
      <x:c r="O32" s="10" t="str">
        <x:v>本轮仅补充矩阵，未复测</x:v>
      </x:c>
      <x:c r="P32" s="10" t="str">
        <x:v>项目场景</x:v>
      </x:c>
    </x:row>
    <x:row r="33" ht="44" customHeight="1">
      <x:c r="A33" s="11" t="str">
        <x:v>CLOUD-006</x:v>
      </x:c>
      <x:c r="B33" s="11" t="str">
        <x:v>L1</x:v>
      </x:c>
      <x:c r="C33" s="11" t="str">
        <x:v>刷新与一致性</x:v>
      </x:c>
      <x:c r="D33" s="11" t="str">
        <x:v>清空读缓存后的远端内容校验</x:v>
      </x:c>
      <x:c r="E33" s="11" t="str">
        <x:v>C 项目补充</x:v>
      </x:c>
      <x:c r="F33" s="11" t="str">
        <x:v>已通过</x:v>
      </x:c>
      <x:c r="G33" s="11" t="str">
        <x:v>本地、百度、Google、OneDrive；同步/后台，共 8 组</x:v>
      </x:c>
      <x:c r="H33" s="11" t="str">
        <x:v>上传排空后安全卸载，移走干净缓存，重挂载校验 FSX 与跨块文件 SHA256</x:v>
      </x:c>
      <x:c r="I33" s="11" t="str">
        <x:v>windows-juicefs-upstream-integration.cjs / coldRestart</x:v>
      </x:c>
      <x:c r="J33" s="11" t="str">
        <x:v>E01</x:v>
      </x:c>
      <x:c r="K33" s="11" t="str">
        <x:v>场景组</x:v>
      </x:c>
      <x:c r="L33" s="11" t="str">
        <x:v>冷读哈希相等不是全部语义正确；异常测试需独立期望模型</x:v>
      </x:c>
      <x:c r="M33" s="11" t="str">
        <x:v>项目代码与参数见对应证据</x:v>
      </x:c>
      <x:c r="N33" s="11" t="str">
        <x:v>Windows 单机产品；按已测范围解释</x:v>
      </x:c>
      <x:c r="O33" s="11" t="str">
        <x:v>本轮仅补充矩阵，未复测</x:v>
      </x:c>
      <x:c r="P33" s="11" t="str">
        <x:v>项目场景</x:v>
      </x:c>
    </x:row>
    <x:row r="34" ht="44" customHeight="1">
      <x:c r="A34" s="10" t="str">
        <x:v>DEF-001</x:v>
      </x:c>
      <x:c r="B34" s="10" t="str">
        <x:v>L1</x:v>
      </x:c>
      <x:c r="C34" s="10" t="str">
        <x:v>刷新与一致性</x:v>
      </x:c>
      <x:c r="D34" s="10" t="str">
        <x:v>刷新超时后截断不能被旧写入撤销</x:v>
      </x:c>
      <x:c r="E34" s="10" t="str">
        <x:v>C 项目补充</x:v>
      </x:c>
      <x:c r="F34" s="10" t="str">
        <x:v>已失败</x:v>
      </x:c>
      <x:c r="G34" s="10" t="str">
        <x:v>真实 OneDrive 失败；独立本地故障注入；1.3.0/1.3.3/1.4.1</x:v>
      </x:c>
      <x:c r="H34" s="10" t="str">
        <x:v>成功截断后应保持 25,248 字节；实际恢复上传后为 98,304 字节</x:v>
      </x:c>
      <x:c r="I34" s="10" t="str">
        <x:v>juicefs-truncate-fault.cjs；juicefs-truncate-version-check.cjs</x:v>
      </x:c>
      <x:c r="J34" s="10" t="str">
        <x:v>E07；E08</x:v>
      </x:c>
      <x:c r="K34" s="10" t="str">
        <x:v>缺陷回归</x:v>
      </x:c>
      <x:c r="L34" s="10" t="str">
        <x:v>已确认引擎缺陷，尚未修复；修复后原样回归</x:v>
      </x:c>
      <x:c r="M34" s="10" t="str">
        <x:v>项目代码与参数见对应证据</x:v>
      </x:c>
      <x:c r="N34" s="10" t="str">
        <x:v>Windows 单机产品；按已测范围解释</x:v>
      </x:c>
      <x:c r="O34" s="10" t="str">
        <x:v>本轮仅补充矩阵，未复测</x:v>
      </x:c>
      <x:c r="P34" s="10" t="str">
        <x:v>项目场景</x:v>
      </x:c>
    </x:row>
    <x:row r="35" ht="42" customHeight="1">
      <x:c r="A35" s="11" t="str">
        <x:v>DEF-002</x:v>
      </x:c>
      <x:c r="B35" s="11" t="str">
        <x:v>L1</x:v>
      </x:c>
      <x:c r="C35" s="11" t="str">
        <x:v>刷新与一致性</x:v>
      </x:c>
      <x:c r="D35" s="11" t="str">
        <x:v>同一截断序列的无故障对照</x:v>
      </x:c>
      <x:c r="E35" s="11" t="str">
        <x:v>C 项目补充</x:v>
      </x:c>
      <x:c r="F35" s="11" t="str">
        <x:v>已通过</x:v>
      </x:c>
      <x:c r="G35" s="11" t="str">
        <x:v>独立本地后端；当前 1.3.0 引擎</x:v>
      </x:c>
      <x:c r="H35" s="11" t="str">
        <x:v>无阻塞时截断成功，冷读保持 25,248 字节</x:v>
      </x:c>
      <x:c r="I35" s="11" t="str">
        <x:v>juicefs-truncate-fault.cjs / ONEMOUNT_FAULT=off</x:v>
      </x:c>
      <x:c r="J35" s="11" t="str">
        <x:v>E07</x:v>
      </x:c>
      <x:c r="K35" s="11" t="str">
        <x:v>对照用例</x:v>
      </x:c>
      <x:c r="L35" s="11" t="str">
        <x:v>对照通过不能抵消 DEF-001 失败</x:v>
      </x:c>
      <x:c r="M35" s="11" t="str">
        <x:v>项目代码与参数见对应证据</x:v>
      </x:c>
      <x:c r="N35" s="11" t="str">
        <x:v>Windows 单机产品；按已测范围解释</x:v>
      </x:c>
      <x:c r="O35" s="11" t="str">
        <x:v>本轮仅补充矩阵，未复测</x:v>
      </x:c>
      <x:c r="P35" s="11" t="str">
        <x:v>项目场景</x:v>
      </x:c>
    </x:row>
    <x:row r="36" ht="44" customHeight="1">
      <x:c r="A36" s="10" t="str">
        <x:v>JFS-FSX-01</x:v>
      </x:c>
      <x:c r="B36" s="10" t="str">
        <x:v>L1</x:v>
      </x:c>
      <x:c r="C36" s="10" t="str">
        <x:v>刷新与一致性</x:v>
      </x:c>
      <x:c r="D36" s="10" t="str">
        <x:v>FSX 随机读写、映射与截断</x:v>
      </x:c>
      <x:c r="E36" s="10" t="str">
        <x:v>A JuiceFS 官方 Windows</x:v>
      </x:c>
      <x:c r="F36" s="10" t="str">
        <x:v>已通过</x:v>
      </x:c>
      <x:c r="G36" s="10" t="str">
        <x:v>本地、百度、Google、OneDrive；同步/后台，共 8 组</x:v>
      </x:c>
      <x:c r="H36" s="10" t="str">
        <x:v>按 FSX 预期数据模型检查随机操作；此条仅指正常完成运行</x:v>
      </x:c>
      <x:c r="I36" s="10" t="str">
        <x:v>fsx-x64.exe；固定种子 20261014</x:v>
      </x:c>
      <x:c r="J36" s="10" t="str">
        <x:v>E01；S02</x:v>
      </x:c>
      <x:c r="K36" s="10" t="str">
        <x:v>参数化用例</x:v>
      </x:c>
      <x:c r="L36" s="10" t="str">
        <x:v>旧 OneDrive 失败独立保留于 DEF-001；规模不同，见执行范围</x:v>
      </x:c>
      <x:c r="M36" s="10" t="str">
        <x:v>JuiceFS 30190ca；FSX 工具版本见 S02</x:v>
      </x:c>
      <x:c r="N36" s="10" t="str">
        <x:v>Windows 单机产品；按已测范围解释</x:v>
      </x:c>
      <x:c r="O36" s="10" t="str">
        <x:v>本轮仅补充矩阵，未复测</x:v>
      </x:c>
      <x:c r="P36" s="10" t="str">
        <x:v>JuiceFS FSX 配置</x:v>
      </x:c>
    </x:row>
    <x:row r="37" ht="44" customHeight="1">
      <x:c r="A37" s="11" t="str">
        <x:v>NATIVE-020</x:v>
      </x:c>
      <x:c r="B37" s="11" t="str">
        <x:v>L1</x:v>
      </x:c>
      <x:c r="C37" s="11" t="str">
        <x:v>刷新与一致性</x:v>
      </x:c>
      <x:c r="D37" s="11" t="str">
        <x:v>映射文件删除一致性（原版）</x:v>
      </x:c>
      <x:c r="E37" s="11" t="str">
        <x:v>B Windows / WinFsp</x:v>
      </x:c>
      <x:c r="F37" s="11" t="str">
        <x:v>已通过</x:v>
      </x:c>
      <x:c r="G37" s="11" t="str">
        <x:v>本地后端 JuiceFS 同步／后台；NTFS 与直连结果在历史执行明细</x:v>
      </x:c>
      <x:c r="H37" s="11" t="str">
        <x:v>原版 WinFsp 2.1 外部模式的全部启用断言；与 NTFS 对照核对差异</x:v>
      </x:c>
      <x:c r="I37" s="11" t="str">
        <x:v>delete_mmap_test</x:v>
      </x:c>
      <x:c r="J37" s="11" t="str">
        <x:v>E09；S06；S07</x:v>
      </x:c>
      <x:c r="K37" s="11" t="str">
        <x:v>参数化用例</x:v>
      </x:c>
      <x:c r="L37" s="11" t="str">
        <x:v>2026-10-10 历史结果；当前构建及三网盘尚未按严格配置复测。</x:v>
      </x:c>
      <x:c r="M37" s="11" t="str">
        <x:v>WinFsp tests 2.1.25156；--external --resilient +*</x:v>
      </x:c>
      <x:c r="N37" s="11" t="str">
        <x:v>Windows 完整语义目标；失败不自动排除</x:v>
      </x:c>
      <x:c r="O37" s="11" t="str">
        <x:v>本轮未复测</x:v>
      </x:c>
      <x:c r="P37" s="11" t="str">
        <x:v>原版外部套件</x:v>
      </x:c>
    </x:row>
    <x:row r="38" ht="44" customHeight="1">
      <x:c r="A38" s="10" t="str">
        <x:v>NATIVE-028</x:v>
      </x:c>
      <x:c r="B38" s="10" t="str">
        <x:v>L1</x:v>
      </x:c>
      <x:c r="C38" s="10" t="str">
        <x:v>刷新与一致性</x:v>
      </x:c>
      <x:c r="D38" s="10" t="str">
        <x:v>映射文件重命名一致性（原版）</x:v>
      </x:c>
      <x:c r="E38" s="10" t="str">
        <x:v>B Windows / WinFsp</x:v>
      </x:c>
      <x:c r="F38" s="10" t="str">
        <x:v>已通过</x:v>
      </x:c>
      <x:c r="G38" s="10" t="str">
        <x:v>本地后端 JuiceFS 同步／后台；NTFS 与直连结果在历史执行明细</x:v>
      </x:c>
      <x:c r="H38" s="10" t="str">
        <x:v>原版 WinFsp 2.1 外部模式的全部启用断言；与 NTFS 对照核对差异</x:v>
      </x:c>
      <x:c r="I38" s="10" t="str">
        <x:v>rename_mmap_test</x:v>
      </x:c>
      <x:c r="J38" s="10" t="str">
        <x:v>E09；S06；S07</x:v>
      </x:c>
      <x:c r="K38" s="10" t="str">
        <x:v>参数化用例</x:v>
      </x:c>
      <x:c r="L38" s="10" t="str">
        <x:v>2026-10-10 历史结果；当前构建及三网盘尚未按严格配置复测。</x:v>
      </x:c>
      <x:c r="M38" s="10" t="str">
        <x:v>WinFsp tests 2.1.25156；--external --resilient +*</x:v>
      </x:c>
      <x:c r="N38" s="10" t="str">
        <x:v>Windows 完整语义目标；失败不自动排除</x:v>
      </x:c>
      <x:c r="O38" s="10" t="str">
        <x:v>本轮未复测</x:v>
      </x:c>
      <x:c r="P38" s="10" t="str">
        <x:v>原版外部套件</x:v>
      </x:c>
    </x:row>
    <x:row r="39" ht="44" customHeight="1">
      <x:c r="A39" s="11" t="str">
        <x:v>NATIVE-044</x:v>
      </x:c>
      <x:c r="B39" s="11" t="str">
        <x:v>L1</x:v>
      </x:c>
      <x:c r="C39" s="11" t="str">
        <x:v>刷新与一致性</x:v>
      </x:c>
      <x:c r="D39" s="11" t="str">
        <x:v>内存映射读写（原版）</x:v>
      </x:c>
      <x:c r="E39" s="11" t="str">
        <x:v>B Windows / WinFsp</x:v>
      </x:c>
      <x:c r="F39" s="11" t="str">
        <x:v>已通过</x:v>
      </x:c>
      <x:c r="G39" s="11" t="str">
        <x:v>本地后端 JuiceFS 同步／后台；NTFS 与直连结果在历史执行明细</x:v>
      </x:c>
      <x:c r="H39" s="11" t="str">
        <x:v>原版 WinFsp 2.1 外部模式的全部启用断言；与 NTFS 对照核对差异</x:v>
      </x:c>
      <x:c r="I39" s="11" t="str">
        <x:v>rdwr_mmap_test</x:v>
      </x:c>
      <x:c r="J39" s="11" t="str">
        <x:v>E09；S06；S07</x:v>
      </x:c>
      <x:c r="K39" s="11" t="str">
        <x:v>参数化用例</x:v>
      </x:c>
      <x:c r="L39" s="11" t="str">
        <x:v>2026-10-10 历史结果；当前构建及三网盘尚未按严格配置复测。</x:v>
      </x:c>
      <x:c r="M39" s="11" t="str">
        <x:v>WinFsp tests 2.1.25156；--external --resilient +*</x:v>
      </x:c>
      <x:c r="N39" s="11" t="str">
        <x:v>Windows 完整语义目标；失败不自动排除</x:v>
      </x:c>
      <x:c r="O39" s="11" t="str">
        <x:v>本轮未复测</x:v>
      </x:c>
      <x:c r="P39" s="11" t="str">
        <x:v>原版外部套件</x:v>
      </x:c>
    </x:row>
    <x:row r="40" ht="44" customHeight="1">
      <x:c r="A40" s="10" t="str">
        <x:v>NATIVE-045</x:v>
      </x:c>
      <x:c r="B40" s="10" t="str">
        <x:v>L1</x:v>
      </x:c>
      <x:c r="C40" s="10" t="str">
        <x:v>刷新与一致性</x:v>
      </x:c>
      <x:c r="D40" s="10" t="str">
        <x:v>混合读写方式（原版）</x:v>
      </x:c>
      <x:c r="E40" s="10" t="str">
        <x:v>B Windows / WinFsp</x:v>
      </x:c>
      <x:c r="F40" s="10" t="str">
        <x:v>已通过</x:v>
      </x:c>
      <x:c r="G40" s="10" t="str">
        <x:v>本地后端 JuiceFS 同步／后台；NTFS 与直连结果在历史执行明细</x:v>
      </x:c>
      <x:c r="H40" s="10" t="str">
        <x:v>原版 WinFsp 2.1 外部模式的全部启用断言；与 NTFS 对照核对差异</x:v>
      </x:c>
      <x:c r="I40" s="10" t="str">
        <x:v>rdwr_mixed_test</x:v>
      </x:c>
      <x:c r="J40" s="10" t="str">
        <x:v>E09；S06；S07</x:v>
      </x:c>
      <x:c r="K40" s="10" t="str">
        <x:v>参数化用例</x:v>
      </x:c>
      <x:c r="L40" s="10" t="str">
        <x:v>2026-10-10 历史结果；当前构建及三网盘尚未按严格配置复测。</x:v>
      </x:c>
      <x:c r="M40" s="10" t="str">
        <x:v>WinFsp tests 2.1.25156；--external --resilient +*</x:v>
      </x:c>
      <x:c r="N40" s="10" t="str">
        <x:v>Windows 完整语义目标；失败不自动排除</x:v>
      </x:c>
      <x:c r="O40" s="10" t="str">
        <x:v>本轮未复测</x:v>
      </x:c>
      <x:c r="P40" s="10" t="str">
        <x:v>原版外部套件</x:v>
      </x:c>
    </x:row>
    <x:row r="41" ht="44" customHeight="1">
      <x:c r="A41" s="11" t="str">
        <x:v>NATIVE-046</x:v>
      </x:c>
      <x:c r="B41" s="11" t="str">
        <x:v>L1</x:v>
      </x:c>
      <x:c r="C41" s="11" t="str">
        <x:v>刷新与一致性</x:v>
      </x:c>
      <x:c r="D41" s="11" t="str">
        <x:v>文件刷新（原版）</x:v>
      </x:c>
      <x:c r="E41" s="11" t="str">
        <x:v>B Windows / WinFsp</x:v>
      </x:c>
      <x:c r="F41" s="11" t="str">
        <x:v>已通过</x:v>
      </x:c>
      <x:c r="G41" s="11" t="str">
        <x:v>本地后端 JuiceFS 同步／后台；NTFS 与直连结果在历史执行明细</x:v>
      </x:c>
      <x:c r="H41" s="11" t="str">
        <x:v>原版 WinFsp 2.1 外部模式的全部启用断言；与 NTFS 对照核对差异</x:v>
      </x:c>
      <x:c r="I41" s="11" t="str">
        <x:v>flush_test</x:v>
      </x:c>
      <x:c r="J41" s="11" t="str">
        <x:v>E09；S06；S07</x:v>
      </x:c>
      <x:c r="K41" s="11" t="str">
        <x:v>参数化用例</x:v>
      </x:c>
      <x:c r="L41" s="11" t="str">
        <x:v>2026-10-10 历史结果；当前构建及三网盘尚未按严格配置复测。</x:v>
      </x:c>
      <x:c r="M41" s="11" t="str">
        <x:v>WinFsp tests 2.1.25156；--external --resilient +*</x:v>
      </x:c>
      <x:c r="N41" s="11" t="str">
        <x:v>Windows 完整语义目标；失败不自动排除</x:v>
      </x:c>
      <x:c r="O41" s="11" t="str">
        <x:v>本轮未复测</x:v>
      </x:c>
      <x:c r="P41" s="11" t="str">
        <x:v>原版外部套件</x:v>
      </x:c>
    </x:row>
    <x:row r="42" ht="44" customHeight="1">
      <x:c r="A42" s="10" t="str">
        <x:v>NATIVE-047</x:v>
      </x:c>
      <x:c r="B42" s="10" t="str">
        <x:v>L1</x:v>
      </x:c>
      <x:c r="C42" s="10" t="str">
        <x:v>刷新与一致性</x:v>
      </x:c>
      <x:c r="D42" s="10" t="str">
        <x:v>卷刷新（原版）</x:v>
      </x:c>
      <x:c r="E42" s="10" t="str">
        <x:v>B Windows / WinFsp</x:v>
      </x:c>
      <x:c r="F42" s="10" t="str">
        <x:v>已通过</x:v>
      </x:c>
      <x:c r="G42" s="10" t="str">
        <x:v>本地后端 JuiceFS 同步／后台；NTFS 与直连结果在历史执行明细</x:v>
      </x:c>
      <x:c r="H42" s="10" t="str">
        <x:v>原版 WinFsp 2.1 外部模式的全部启用断言；与 NTFS 对照核对差异</x:v>
      </x:c>
      <x:c r="I42" s="10" t="str">
        <x:v>flush_volume_test</x:v>
      </x:c>
      <x:c r="J42" s="10" t="str">
        <x:v>E09；S06；S07</x:v>
      </x:c>
      <x:c r="K42" s="10" t="str">
        <x:v>参数化用例</x:v>
      </x:c>
      <x:c r="L42" s="10" t="str">
        <x:v>2026-10-10 历史结果；当前构建及三网盘尚未按严格配置复测。</x:v>
      </x:c>
      <x:c r="M42" s="10" t="str">
        <x:v>WinFsp tests 2.1.25156；--external --resilient +*</x:v>
      </x:c>
      <x:c r="N42" s="10" t="str">
        <x:v>Windows 完整语义目标；失败不自动排除</x:v>
      </x:c>
      <x:c r="O42" s="10" t="str">
        <x:v>本轮未复测</x:v>
      </x:c>
      <x:c r="P42" s="10" t="str">
        <x:v>原版外部套件</x:v>
      </x:c>
    </x:row>
    <x:row r="43" ht="44" customHeight="1">
      <x:c r="A43" s="11" t="str">
        <x:v>NATIVE-100</x:v>
      </x:c>
      <x:c r="B43" s="11" t="str">
        <x:v>L1</x:v>
      </x:c>
      <x:c r="C43" s="11" t="str">
        <x:v>刷新与一致性</x:v>
      </x:c>
      <x:c r="D43" s="11" t="str">
        <x:v>文件长度设置与截断（原版）</x:v>
      </x:c>
      <x:c r="E43" s="11" t="str">
        <x:v>B Windows / WinFsp</x:v>
      </x:c>
      <x:c r="F43" s="11" t="str">
        <x:v>已通过</x:v>
      </x:c>
      <x:c r="G43" s="11" t="str">
        <x:v>本地后端 JuiceFS 同步／后台；NTFS 与直连结果在历史执行明细</x:v>
      </x:c>
      <x:c r="H43" s="11" t="str">
        <x:v>SetEndOfFile / TRUNCATE_EXISTING</x:v>
      </x:c>
      <x:c r="I43" s="11" t="str">
        <x:v>winfstest-base/05.t</x:v>
      </x:c>
      <x:c r="J43" s="11" t="str">
        <x:v>E09；S06；S07</x:v>
      </x:c>
      <x:c r="K43" s="11" t="str">
        <x:v>脚本组</x:v>
      </x:c>
      <x:c r="L43" s="11" t="str">
        <x:v>2026-10-10 历史结果；当前构建及三网盘尚未按严格配置复测。</x:v>
      </x:c>
      <x:c r="M43" s="11" t="str">
        <x:v>secfs.test 6ac65cda46abc2be39c7b137debf9521052edbaf</x:v>
      </x:c>
      <x:c r="N43" s="11" t="str">
        <x:v>Windows 完整语义目标；失败不自动排除</x:v>
      </x:c>
      <x:c r="O43" s="11" t="str">
        <x:v>本轮未复测</x:v>
      </x:c>
      <x:c r="P43" s="11" t="str">
        <x:v>原版外部套件</x:v>
      </x:c>
    </x:row>
    <x:row r="44" ht="44" customHeight="1">
      <x:c r="A44" s="10" t="str">
        <x:v>PLAN-008</x:v>
      </x:c>
      <x:c r="B44" s="10" t="str">
        <x:v>L1</x:v>
      </x:c>
      <x:c r="C44" s="10" t="str">
        <x:v>刷新与一致性</x:v>
      </x:c>
      <x:c r="D44" s="10" t="str">
        <x:v>待上传时覆盖、改名、删除重建组合</x:v>
      </x:c>
      <x:c r="E44" s="10" t="str">
        <x:v>C 项目补充</x:v>
      </x:c>
      <x:c r="F44" s="10" t="str">
        <x:v>待补充</x:v>
      </x:c>
      <x:c r="G44" s="10" t="str">
        <x:v>故障代理；同步/后台</x:v>
      </x:c>
      <x:c r="H44" s="10" t="str">
        <x:v>迟到的旧请求不能撤销新操作；最终命名、长度、内容符合操作模型</x:v>
      </x:c>
      <x:c r="I44" s="10" t="str">
        <x:v>拟补充场景；未记录可执行完整用例</x:v>
      </x:c>
      <x:c r="J44" s="10" t="str">
        <x:v>需求缺口分析；无通过证据</x:v>
      </x:c>
      <x:c r="K44" s="10" t="str">
        <x:v>待细化场景</x:v>
      </x:c>
      <x:c r="L44" s="10" t="str">
        <x:v>扩展 DEF-001 与已有网关单元回归</x:v>
      </x:c>
      <x:c r="M44" s="10" t="str">
        <x:v>项目代码与参数见对应证据</x:v>
      </x:c>
      <x:c r="N44" s="10" t="str">
        <x:v>Windows 单机产品；按已测范围解释</x:v>
      </x:c>
      <x:c r="O44" s="10" t="str">
        <x:v>本轮仅补充矩阵，未复测</x:v>
      </x:c>
      <x:c r="P44" s="10" t="str">
        <x:v>项目场景</x:v>
      </x:c>
    </x:row>
    <x:row r="45" ht="44" customHeight="1">
      <x:c r="A45" s="11" t="str">
        <x:v>WFP-13</x:v>
      </x:c>
      <x:c r="B45" s="11" t="str">
        <x:v>L1</x:v>
      </x:c>
      <x:c r="C45" s="11" t="str">
        <x:v>刷新与一致性</x:v>
      </x:c>
      <x:c r="D45" s="11" t="str">
        <x:v>映射文件删除一致性</x:v>
      </x:c>
      <x:c r="E45" s="11" t="str">
        <x:v>B Windows / WinFsp</x:v>
      </x:c>
      <x:c r="F45" s="11" t="str">
        <x:v>已通过</x:v>
      </x:c>
      <x:c r="G45" s="11" t="str">
        <x:v>本地、百度、Google、OneDrive；同步/后台，共 8 组</x:v>
      </x:c>
      <x:c r="H45" s="11" t="str">
        <x:v>该用例在官方 FUSE 兼容参数下通过；断言范围以原用例为准</x:v>
      </x:c>
      <x:c r="I45" s="11" t="str">
        <x:v>delete_mmap_test</x:v>
      </x:c>
      <x:c r="J45" s="11" t="str">
        <x:v>E01；S04</x:v>
      </x:c>
      <x:c r="K45" s="11" t="str">
        <x:v>用例</x:v>
      </x:c>
      <x:c r="L45" s="11" t="str">
        <x:v>--fuse-external --resilient --case-insensitive-cmp；不代表全部 NTFS 语义</x:v>
      </x:c>
      <x:c r="M45" s="11" t="str">
        <x:v>juicedata/winfsp testing_suit_20250324；默认 FUSE 参数</x:v>
      </x:c>
      <x:c r="N45" s="11" t="str">
        <x:v>Windows 单机产品；按已测范围解释</x:v>
      </x:c>
      <x:c r="O45" s="11" t="str">
        <x:v>本轮仅补充矩阵，未复测</x:v>
      </x:c>
      <x:c r="P45" s="11" t="str">
        <x:v>JuiceFS fork 外部</x:v>
      </x:c>
    </x:row>
    <x:row r="46" ht="44" customHeight="1">
      <x:c r="A46" s="10" t="str">
        <x:v>WFP-21</x:v>
      </x:c>
      <x:c r="B46" s="10" t="str">
        <x:v>L1</x:v>
      </x:c>
      <x:c r="C46" s="10" t="str">
        <x:v>刷新与一致性</x:v>
      </x:c>
      <x:c r="D46" s="10" t="str">
        <x:v>映射文件重命名一致性</x:v>
      </x:c>
      <x:c r="E46" s="10" t="str">
        <x:v>B Windows / WinFsp</x:v>
      </x:c>
      <x:c r="F46" s="10" t="str">
        <x:v>已通过</x:v>
      </x:c>
      <x:c r="G46" s="10" t="str">
        <x:v>本地、百度、Google、OneDrive；同步/后台，共 8 组</x:v>
      </x:c>
      <x:c r="H46" s="10" t="str">
        <x:v>该用例在官方 FUSE 兼容参数下通过；断言范围以原用例为准</x:v>
      </x:c>
      <x:c r="I46" s="10" t="str">
        <x:v>rename_mmap_test</x:v>
      </x:c>
      <x:c r="J46" s="10" t="str">
        <x:v>E01；S04</x:v>
      </x:c>
      <x:c r="K46" s="10" t="str">
        <x:v>用例</x:v>
      </x:c>
      <x:c r="L46" s="10" t="str">
        <x:v>--fuse-external --resilient --case-insensitive-cmp；不代表全部 NTFS 语义</x:v>
      </x:c>
      <x:c r="M46" s="10" t="str">
        <x:v>juicedata/winfsp testing_suit_20250324；默认 FUSE 参数</x:v>
      </x:c>
      <x:c r="N46" s="10" t="str">
        <x:v>Windows 单机产品；按已测范围解释</x:v>
      </x:c>
      <x:c r="O46" s="10" t="str">
        <x:v>本轮仅补充矩阵，未复测</x:v>
      </x:c>
      <x:c r="P46" s="10" t="str">
        <x:v>JuiceFS fork 外部</x:v>
      </x:c>
    </x:row>
    <x:row r="47" ht="44" customHeight="1">
      <x:c r="A47" s="11" t="str">
        <x:v>WFP-35</x:v>
      </x:c>
      <x:c r="B47" s="11" t="str">
        <x:v>L1</x:v>
      </x:c>
      <x:c r="C47" s="11" t="str">
        <x:v>刷新与一致性</x:v>
      </x:c>
      <x:c r="D47" s="11" t="str">
        <x:v>内存映射读写</x:v>
      </x:c>
      <x:c r="E47" s="11" t="str">
        <x:v>B Windows / WinFsp</x:v>
      </x:c>
      <x:c r="F47" s="11" t="str">
        <x:v>已通过</x:v>
      </x:c>
      <x:c r="G47" s="11" t="str">
        <x:v>本地、百度、Google、OneDrive；同步/后台，共 8 组</x:v>
      </x:c>
      <x:c r="H47" s="11" t="str">
        <x:v>该用例在官方 FUSE 兼容参数下通过；断言范围以原用例为准</x:v>
      </x:c>
      <x:c r="I47" s="11" t="str">
        <x:v>rdwr_mmap_test</x:v>
      </x:c>
      <x:c r="J47" s="11" t="str">
        <x:v>E01；S04</x:v>
      </x:c>
      <x:c r="K47" s="11" t="str">
        <x:v>用例</x:v>
      </x:c>
      <x:c r="L47" s="11" t="str">
        <x:v>--fuse-external --resilient --case-insensitive-cmp；不代表全部 NTFS 语义</x:v>
      </x:c>
      <x:c r="M47" s="11" t="str">
        <x:v>juicedata/winfsp testing_suit_20250324；默认 FUSE 参数</x:v>
      </x:c>
      <x:c r="N47" s="11" t="str">
        <x:v>Windows 单机产品；按已测范围解释</x:v>
      </x:c>
      <x:c r="O47" s="11" t="str">
        <x:v>本轮仅补充矩阵，未复测</x:v>
      </x:c>
      <x:c r="P47" s="11" t="str">
        <x:v>JuiceFS fork 外部</x:v>
      </x:c>
    </x:row>
    <x:row r="48" ht="44" customHeight="1">
      <x:c r="A48" s="10" t="str">
        <x:v>WFP-36</x:v>
      </x:c>
      <x:c r="B48" s="10" t="str">
        <x:v>L1</x:v>
      </x:c>
      <x:c r="C48" s="10" t="str">
        <x:v>刷新与一致性</x:v>
      </x:c>
      <x:c r="D48" s="10" t="str">
        <x:v>混合读写方式</x:v>
      </x:c>
      <x:c r="E48" s="10" t="str">
        <x:v>B Windows / WinFsp</x:v>
      </x:c>
      <x:c r="F48" s="10" t="str">
        <x:v>已通过</x:v>
      </x:c>
      <x:c r="G48" s="10" t="str">
        <x:v>本地、百度、Google、OneDrive；同步/后台，共 8 组</x:v>
      </x:c>
      <x:c r="H48" s="10" t="str">
        <x:v>该用例在官方 FUSE 兼容参数下通过；断言范围以原用例为准</x:v>
      </x:c>
      <x:c r="I48" s="10" t="str">
        <x:v>rdwr_mixed_test</x:v>
      </x:c>
      <x:c r="J48" s="10" t="str">
        <x:v>E01；S04</x:v>
      </x:c>
      <x:c r="K48" s="10" t="str">
        <x:v>用例</x:v>
      </x:c>
      <x:c r="L48" s="10" t="str">
        <x:v>--fuse-external --resilient --case-insensitive-cmp；不代表全部 NTFS 语义</x:v>
      </x:c>
      <x:c r="M48" s="10" t="str">
        <x:v>juicedata/winfsp testing_suit_20250324；默认 FUSE 参数</x:v>
      </x:c>
      <x:c r="N48" s="10" t="str">
        <x:v>Windows 单机产品；按已测范围解释</x:v>
      </x:c>
      <x:c r="O48" s="10" t="str">
        <x:v>本轮仅补充矩阵，未复测</x:v>
      </x:c>
      <x:c r="P48" s="10" t="str">
        <x:v>JuiceFS fork 外部</x:v>
      </x:c>
    </x:row>
    <x:row r="49" ht="44" customHeight="1">
      <x:c r="A49" s="11" t="str">
        <x:v>WFP-37</x:v>
      </x:c>
      <x:c r="B49" s="11" t="str">
        <x:v>L1</x:v>
      </x:c>
      <x:c r="C49" s="11" t="str">
        <x:v>刷新与一致性</x:v>
      </x:c>
      <x:c r="D49" s="11" t="str">
        <x:v>文件刷新</x:v>
      </x:c>
      <x:c r="E49" s="11" t="str">
        <x:v>B Windows / WinFsp</x:v>
      </x:c>
      <x:c r="F49" s="11" t="str">
        <x:v>已通过</x:v>
      </x:c>
      <x:c r="G49" s="11" t="str">
        <x:v>本地、百度、Google、OneDrive；同步/后台，共 8 组</x:v>
      </x:c>
      <x:c r="H49" s="11" t="str">
        <x:v>该用例在官方 FUSE 兼容参数下通过；断言范围以原用例为准</x:v>
      </x:c>
      <x:c r="I49" s="11" t="str">
        <x:v>flush_test</x:v>
      </x:c>
      <x:c r="J49" s="11" t="str">
        <x:v>E01；S04</x:v>
      </x:c>
      <x:c r="K49" s="11" t="str">
        <x:v>用例</x:v>
      </x:c>
      <x:c r="L49" s="11" t="str">
        <x:v>--fuse-external --resilient --case-insensitive-cmp；不代表全部 NTFS 语义</x:v>
      </x:c>
      <x:c r="M49" s="11" t="str">
        <x:v>juicedata/winfsp testing_suit_20250324；默认 FUSE 参数</x:v>
      </x:c>
      <x:c r="N49" s="11" t="str">
        <x:v>Windows 单机产品；按已测范围解释</x:v>
      </x:c>
      <x:c r="O49" s="11" t="str">
        <x:v>本轮仅补充矩阵，未复测</x:v>
      </x:c>
      <x:c r="P49" s="11" t="str">
        <x:v>JuiceFS fork 外部</x:v>
      </x:c>
    </x:row>
    <x:row r="50" ht="44" customHeight="1">
      <x:c r="A50" s="10" t="str">
        <x:v>WFP-38</x:v>
      </x:c>
      <x:c r="B50" s="10" t="str">
        <x:v>L1</x:v>
      </x:c>
      <x:c r="C50" s="10" t="str">
        <x:v>刷新与一致性</x:v>
      </x:c>
      <x:c r="D50" s="10" t="str">
        <x:v>卷刷新</x:v>
      </x:c>
      <x:c r="E50" s="10" t="str">
        <x:v>B Windows / WinFsp</x:v>
      </x:c>
      <x:c r="F50" s="10" t="str">
        <x:v>已通过</x:v>
      </x:c>
      <x:c r="G50" s="10" t="str">
        <x:v>本地、百度、Google、OneDrive；同步/后台，共 8 组</x:v>
      </x:c>
      <x:c r="H50" s="10" t="str">
        <x:v>该用例在官方 FUSE 兼容参数下通过；断言范围以原用例为准</x:v>
      </x:c>
      <x:c r="I50" s="10" t="str">
        <x:v>flush_volume_test</x:v>
      </x:c>
      <x:c r="J50" s="10" t="str">
        <x:v>E01；S04</x:v>
      </x:c>
      <x:c r="K50" s="10" t="str">
        <x:v>用例</x:v>
      </x:c>
      <x:c r="L50" s="10" t="str">
        <x:v>--fuse-external --resilient --case-insensitive-cmp；不代表全部 NTFS 语义</x:v>
      </x:c>
      <x:c r="M50" s="10" t="str">
        <x:v>juicedata/winfsp testing_suit_20250324；默认 FUSE 参数</x:v>
      </x:c>
      <x:c r="N50" s="10" t="str">
        <x:v>Windows 单机产品；按已测范围解释</x:v>
      </x:c>
      <x:c r="O50" s="10" t="str">
        <x:v>本轮仅补充矩阵，未复测</x:v>
      </x:c>
      <x:c r="P50" s="10" t="str">
        <x:v>JuiceFS fork 外部</x:v>
      </x:c>
    </x:row>
    <x:row r="51" ht="44" customHeight="1">
      <x:c r="A51" s="11" t="str">
        <x:v>WFT-05</x:v>
      </x:c>
      <x:c r="B51" s="11" t="str">
        <x:v>L1</x:v>
      </x:c>
      <x:c r="C51" s="11" t="str">
        <x:v>刷新与一致性</x:v>
      </x:c>
      <x:c r="D51" s="11" t="str">
        <x:v>文件长度设置与截断</x:v>
      </x:c>
      <x:c r="E51" s="11" t="str">
        <x:v>B Windows / WinFsp</x:v>
      </x:c>
      <x:c r="F51" s="11" t="str">
        <x:v>已通过</x:v>
      </x:c>
      <x:c r="G51" s="11" t="str">
        <x:v>本地、百度、Google、OneDrive；同步/后台，共 8 组</x:v>
      </x:c>
      <x:c r="H51" s="11" t="str">
        <x:v>SetEndOfFile / TRUNCATE_EXISTING；按保留的已启用断言验证</x:v>
      </x:c>
      <x:c r="I51" s="11" t="str">
        <x:v>winfstest t/base/05.t</x:v>
      </x:c>
      <x:c r="J51" s="11" t="str">
        <x:v>E01；S03</x:v>
      </x:c>
      <x:c r="K51" s="11" t="str">
        <x:v>脚本组</x:v>
      </x:c>
      <x:c r="L51" s="11" t="str">
        <x:v>11 脚本合计 152 断言；已注释断言不算覆盖</x:v>
      </x:c>
      <x:c r="M51" s="11" t="str">
        <x:v>juicedata/winfstest testing_20250313</x:v>
      </x:c>
      <x:c r="N51" s="11" t="str">
        <x:v>Windows 单机产品；按已测范围解释</x:v>
      </x:c>
      <x:c r="O51" s="11" t="str">
        <x:v>本轮仅补充矩阵，未复测</x:v>
      </x:c>
      <x:c r="P51" s="11" t="str">
        <x:v>JuiceFS fork 脚本</x:v>
      </x:c>
    </x:row>
    <x:row r="52" ht="44" customHeight="1">
      <x:c r="A52" s="10" t="str">
        <x:v>CACHE-002</x:v>
      </x:c>
      <x:c r="B52" s="10" t="str">
        <x:v>L1</x:v>
      </x:c>
      <x:c r="C52" s="10" t="str">
        <x:v>缓存与后台上传</x:v>
      </x:c>
      <x:c r="D52" s="10" t="str">
        <x:v>待上传数据存在时禁止关闭后台上传</x:v>
      </x:c>
      <x:c r="E52" s="10" t="str">
        <x:v>C 项目补充</x:v>
      </x:c>
      <x:c r="F52" s="10" t="str">
        <x:v>已通过</x:v>
      </x:c>
      <x:c r="G52" s="10" t="str">
        <x:v>应用单元测试；模拟依赖，不等同真实故障挂载</x:v>
      </x:c>
      <x:c r="H52" s="10" t="str">
        <x:v>rawstaging 中有文件时拒绝关闭；配置不能部分保存</x:v>
      </x:c>
      <x:c r="I52" s="10" t="str">
        <x:v>tests/manager.test.cjs / turning off writeback refuses leftover staging</x:v>
      </x:c>
      <x:c r="J52" s="10" t="str">
        <x:v>E03</x:v>
      </x:c>
      <x:c r="K52" s="10" t="str">
        <x:v>场景组</x:v>
      </x:c>
      <x:c r="L52" s="10" t="str">
        <x:v>保留待上传数据；真实积压恢复另测</x:v>
      </x:c>
      <x:c r="M52" s="10" t="str">
        <x:v>项目代码与参数见对应证据</x:v>
      </x:c>
      <x:c r="N52" s="10" t="str">
        <x:v>Windows 单机产品；按已测范围解释</x:v>
      </x:c>
      <x:c r="O52" s="10" t="str">
        <x:v>本轮仅补充矩阵，未复测</x:v>
      </x:c>
      <x:c r="P52" s="10" t="str">
        <x:v>项目场景</x:v>
      </x:c>
    </x:row>
    <x:row r="53" ht="44" customHeight="1">
      <x:c r="A53" s="11" t="str">
        <x:v>CACHE-003</x:v>
      </x:c>
      <x:c r="B53" s="11" t="str">
        <x:v>L1</x:v>
      </x:c>
      <x:c r="C53" s="11" t="str">
        <x:v>缓存与后台上传</x:v>
      </x:c>
      <x:c r="D53" s="11" t="str">
        <x:v>暂存目录不可读时保守拒绝关闭</x:v>
      </x:c>
      <x:c r="E53" s="11" t="str">
        <x:v>C 项目补充</x:v>
      </x:c>
      <x:c r="F53" s="11" t="str">
        <x:v>已通过</x:v>
      </x:c>
      <x:c r="G53" s="11" t="str">
        <x:v>应用单元测试；模拟依赖，不等同真实故障挂载</x:v>
      </x:c>
      <x:c r="H53" s="11" t="str">
        <x:v>不能确认队列为空时拒绝关闭；配置不变</x:v>
      </x:c>
      <x:c r="I53" s="11" t="str">
        <x:v>tests/manager.test.cjs / unreadable staging prevents disabling</x:v>
      </x:c>
      <x:c r="J53" s="11" t="str">
        <x:v>E03</x:v>
      </x:c>
      <x:c r="K53" s="11" t="str">
        <x:v>场景组</x:v>
      </x:c>
      <x:c r="L53" s="11" t="str">
        <x:v>发布版本需复测；按已有范围解释结果</x:v>
      </x:c>
      <x:c r="M53" s="11" t="str">
        <x:v>项目代码与参数见对应证据</x:v>
      </x:c>
      <x:c r="N53" s="11" t="str">
        <x:v>Windows 单机产品；按已测范围解释</x:v>
      </x:c>
      <x:c r="O53" s="11" t="str">
        <x:v>本轮仅补充矩阵，未复测</x:v>
      </x:c>
      <x:c r="P53" s="11" t="str">
        <x:v>项目场景</x:v>
      </x:c>
    </x:row>
    <x:row r="54" ht="42" customHeight="1">
      <x:c r="A54" s="10" t="str">
        <x:v>CACHE-005</x:v>
      </x:c>
      <x:c r="B54" s="10" t="str">
        <x:v>L1</x:v>
      </x:c>
      <x:c r="C54" s="10" t="str">
        <x:v>缓存与后台上传</x:v>
      </x:c>
      <x:c r="D54" s="10" t="str">
        <x:v>真实挂载开关切换与冷读</x:v>
      </x:c>
      <x:c r="E54" s="10" t="str">
        <x:v>C 项目补充</x:v>
      </x:c>
      <x:c r="F54" s="10" t="str">
        <x:v>已通过</x:v>
      </x:c>
      <x:c r="G54" s="10" t="str">
        <x:v>本地后端；后台→同步→后台</x:v>
      </x:c>
      <x:c r="H54" s="10" t="str">
        <x:v>5 MiB + 137 字节及追加内容，排空卸载后冷读相符</x:v>
      </x:c>
      <x:c r="I54" s="10" t="str">
        <x:v>windows-cache-settings-integration.cjs</x:v>
      </x:c>
      <x:c r="J54" s="10" t="str">
        <x:v>E04</x:v>
      </x:c>
      <x:c r="K54" s="10" t="str">
        <x:v>场景组</x:v>
      </x:c>
      <x:c r="L54" s="10" t="str">
        <x:v>本地专项通过；三种真实网盘尚未复跑此切换用例</x:v>
      </x:c>
      <x:c r="M54" s="10" t="str">
        <x:v>项目代码与参数见对应证据</x:v>
      </x:c>
      <x:c r="N54" s="10" t="str">
        <x:v>Windows 单机产品；按已测范围解释</x:v>
      </x:c>
      <x:c r="O54" s="10" t="str">
        <x:v>本轮仅补充矩阵，未复测</x:v>
      </x:c>
      <x:c r="P54" s="10" t="str">
        <x:v>项目场景</x:v>
      </x:c>
    </x:row>
    <x:row r="55" ht="44" customHeight="1">
      <x:c r="A55" s="11" t="str">
        <x:v>CLOUD-007</x:v>
      </x:c>
      <x:c r="B55" s="11" t="str">
        <x:v>L1</x:v>
      </x:c>
      <x:c r="C55" s="11" t="str">
        <x:v>挂载与元数据生命周期</x:v>
      </x:c>
      <x:c r="D55" s="11" t="str">
        <x:v>只读 fsck 完整性检查</x:v>
      </x:c>
      <x:c r="E55" s="11" t="str">
        <x:v>C 项目补充</x:v>
      </x:c>
      <x:c r="F55" s="11" t="str">
        <x:v>已通过</x:v>
      </x:c>
      <x:c r="G55" s="11" t="str">
        <x:v>本地、百度、Google、OneDrive；同步/后台，共 8 组</x:v>
      </x:c>
      <x:c r="H55" s="11" t="str">
        <x:v>fsck 无错误；不自动修复或清理数据</x:v>
      </x:c>
      <x:c r="I55" s="11" t="str">
        <x:v>windows-juicefs-upstream-integration.cjs / fsck</x:v>
      </x:c>
      <x:c r="J55" s="11" t="str">
        <x:v>E01</x:v>
      </x:c>
      <x:c r="K55" s="11" t="str">
        <x:v>场景组</x:v>
      </x:c>
      <x:c r="L55" s="11" t="str">
        <x:v>fsck 不能替代逐文件内容校验</x:v>
      </x:c>
      <x:c r="M55" s="11" t="str">
        <x:v>项目代码与参数见对应证据</x:v>
      </x:c>
      <x:c r="N55" s="11" t="str">
        <x:v>Windows 单机产品；按已测范围解释</x:v>
      </x:c>
      <x:c r="O55" s="11" t="str">
        <x:v>本轮仅补充矩阵，未复测</x:v>
      </x:c>
      <x:c r="P55" s="11" t="str">
        <x:v>项目场景</x:v>
      </x:c>
    </x:row>
    <x:row r="56" ht="44" customHeight="1">
      <x:c r="A56" s="10" t="str">
        <x:v>JFS-CLI-06</x:v>
      </x:c>
      <x:c r="B56" s="10" t="str">
        <x:v>L1</x:v>
      </x:c>
      <x:c r="C56" s="10" t="str">
        <x:v>挂载与元数据生命周期</x:v>
      </x:c>
      <x:c r="D56" s="10" t="str">
        <x:v>打开文件的元数据导出导入</x:v>
      </x:c>
      <x:c r="E56" s="10" t="str">
        <x:v>A JuiceFS 官方 Windows</x:v>
      </x:c>
      <x:c r="F56" s="10" t="str">
        <x:v>待执行</x:v>
      </x:c>
      <x:c r="G56" s="10" t="str">
        <x:v>Windows；原流程 Redis；SQLite 适配需另行记录</x:v>
      </x:c>
      <x:c r="H56" s="10" t="str">
        <x:v>原函数断言与预期结果；环境适配不冒充原 CI 原样执行</x:v>
      </x:c>
      <x:c r="I56" s="10" t="str">
        <x:v>.github/scripts/command-win/dump_load.sh:14 / test_dump_load_sustained_file</x:v>
      </x:c>
      <x:c r="J56" s="10" t="str">
        <x:v>S08；E11</x:v>
      </x:c>
      <x:c r="K56" s="10" t="str">
        <x:v>命名函数</x:v>
      </x:c>
      <x:c r="L56" s="10" t="str">
        <x:v>上游 command-win.yml 已登记；本项目无执行此原始函数的证据。</x:v>
      </x:c>
      <x:c r="M56" s="10" t="str">
        <x:v>JuiceFS 30190ca1094d26e85f19a979ca51b0ea19af1eaa</x:v>
      </x:c>
      <x:c r="N56" s="10" t="str">
        <x:v>需隔离卷；原脚本含固定盘符和破坏性准备</x:v>
      </x:c>
      <x:c r="O56" s="10" t="str">
        <x:v>本轮未执行</x:v>
      </x:c>
      <x:c r="P56" s="10" t="str">
        <x:v>Windows CLI 函数</x:v>
      </x:c>
    </x:row>
    <x:row r="57" ht="44" customHeight="1">
      <x:c r="A57" s="11" t="str">
        <x:v>JFS-CLI-07</x:v>
      </x:c>
      <x:c r="B57" s="11" t="str">
        <x:v>L1</x:v>
      </x:c>
      <x:c r="C57" s="11" t="str">
        <x:v>挂载与元数据生命周期</x:v>
      </x:c>
      <x:c r="D57" s="11" t="str">
        <x:v>复制块后的元数据导出导入</x:v>
      </x:c>
      <x:c r="E57" s="11" t="str">
        <x:v>A JuiceFS 官方 Windows</x:v>
      </x:c>
      <x:c r="F57" s="11" t="str">
        <x:v>待执行</x:v>
      </x:c>
      <x:c r="G57" s="11" t="str">
        <x:v>Windows；原流程 Redis；SQLite 适配需另行记录</x:v>
      </x:c>
      <x:c r="H57" s="11" t="str">
        <x:v>原函数断言与预期结果；环境适配不冒充原 CI 原样执行</x:v>
      </x:c>
      <x:c r="I57" s="11" t="str">
        <x:v>.github/scripts/command-win/dump_load.sh:43 / test_dump_load_with_copy_file_range</x:v>
      </x:c>
      <x:c r="J57" s="11" t="str">
        <x:v>S08；E11</x:v>
      </x:c>
      <x:c r="K57" s="11" t="str">
        <x:v>命名函数</x:v>
      </x:c>
      <x:c r="L57" s="11" t="str">
        <x:v>上游 command-win.yml 已登记；本项目无执行此原始函数的证据。</x:v>
      </x:c>
      <x:c r="M57" s="11" t="str">
        <x:v>JuiceFS 30190ca1094d26e85f19a979ca51b0ea19af1eaa</x:v>
      </x:c>
      <x:c r="N57" s="11" t="str">
        <x:v>需隔离卷；原脚本含固定盘符和破坏性准备</x:v>
      </x:c>
      <x:c r="O57" s="11" t="str">
        <x:v>本轮未执行</x:v>
      </x:c>
      <x:c r="P57" s="11" t="str">
        <x:v>Windows CLI 函数</x:v>
      </x:c>
    </x:row>
    <x:row r="58" ht="44" customHeight="1">
      <x:c r="A58" s="10" t="str">
        <x:v>JFS-CLI-08</x:v>
      </x:c>
      <x:c r="B58" s="10" t="str">
        <x:v>L1</x:v>
      </x:c>
      <x:c r="C58" s="10" t="str">
        <x:v>挂载与元数据生命周期</x:v>
      </x:c>
      <x:c r="D58" s="10" t="str">
        <x:v>含配额的元数据导出导入</x:v>
      </x:c>
      <x:c r="E58" s="10" t="str">
        <x:v>A JuiceFS 官方 Windows</x:v>
      </x:c>
      <x:c r="F58" s="10" t="str">
        <x:v>待执行</x:v>
      </x:c>
      <x:c r="G58" s="10" t="str">
        <x:v>Windows；原流程 Redis；SQLite 适配需另行记录</x:v>
      </x:c>
      <x:c r="H58" s="10" t="str">
        <x:v>原函数断言与预期结果；环境适配不冒充原 CI 原样执行</x:v>
      </x:c>
      <x:c r="I58" s="10" t="str">
        <x:v>.github/scripts/command-win/dump_load.sh:59 / test_dump_load_with_quota</x:v>
      </x:c>
      <x:c r="J58" s="10" t="str">
        <x:v>S08；E11</x:v>
      </x:c>
      <x:c r="K58" s="10" t="str">
        <x:v>命名函数</x:v>
      </x:c>
      <x:c r="L58" s="10" t="str">
        <x:v>上游 command-win.yml 已登记；本项目无执行此原始函数的证据。</x:v>
      </x:c>
      <x:c r="M58" s="10" t="str">
        <x:v>JuiceFS 30190ca1094d26e85f19a979ca51b0ea19af1eaa</x:v>
      </x:c>
      <x:c r="N58" s="10" t="str">
        <x:v>需隔离卷；原脚本含固定盘符和破坏性准备</x:v>
      </x:c>
      <x:c r="O58" s="10" t="str">
        <x:v>本轮未执行</x:v>
      </x:c>
      <x:c r="P58" s="10" t="str">
        <x:v>Windows CLI 函数</x:v>
      </x:c>
    </x:row>
    <x:row r="59" ht="44" customHeight="1">
      <x:c r="A59" s="11" t="str">
        <x:v>JFS-CLI-17</x:v>
      </x:c>
      <x:c r="B59" s="11" t="str">
        <x:v>L1</x:v>
      </x:c>
      <x:c r="C59" s="11" t="str">
        <x:v>挂载与元数据生命周期</x:v>
      </x:c>
      <x:c r="D59" s="11" t="str">
        <x:v>压缩后块延迟删除</x:v>
      </x:c>
      <x:c r="E59" s="11" t="str">
        <x:v>A JuiceFS 官方 Windows</x:v>
      </x:c>
      <x:c r="F59" s="11" t="str">
        <x:v>待执行</x:v>
      </x:c>
      <x:c r="G59" s="11" t="str">
        <x:v>Windows；原流程 Redis；SQLite 适配需另行记录</x:v>
      </x:c>
      <x:c r="H59" s="11" t="str">
        <x:v>原函数断言与预期结果；环境适配不冒充原 CI 原样执行</x:v>
      </x:c>
      <x:c r="I59" s="11" t="str">
        <x:v>.github/scripts/command-win/gc.sh:7 / test_delay_delete_slice_after_compaction</x:v>
      </x:c>
      <x:c r="J59" s="11" t="str">
        <x:v>S08；E11</x:v>
      </x:c>
      <x:c r="K59" s="11" t="str">
        <x:v>命名函数</x:v>
      </x:c>
      <x:c r="L59" s="11" t="str">
        <x:v>上游 command-win.yml 已登记；本项目无执行此原始函数的证据。</x:v>
      </x:c>
      <x:c r="M59" s="11" t="str">
        <x:v>JuiceFS 30190ca1094d26e85f19a979ca51b0ea19af1eaa</x:v>
      </x:c>
      <x:c r="N59" s="11" t="str">
        <x:v>需隔离卷；原脚本含固定盘符和破坏性准备</x:v>
      </x:c>
      <x:c r="O59" s="11" t="str">
        <x:v>本轮未执行</x:v>
      </x:c>
      <x:c r="P59" s="11" t="str">
        <x:v>Windows CLI 函数</x:v>
      </x:c>
    </x:row>
    <x:row r="60" ht="44" customHeight="1">
      <x:c r="A60" s="10" t="str">
        <x:v>JFS-CLI-18</x:v>
      </x:c>
      <x:c r="B60" s="10" t="str">
        <x:v>L1</x:v>
      </x:c>
      <x:c r="C60" s="10" t="str">
        <x:v>挂载与元数据生命周期</x:v>
      </x:c>
      <x:c r="D60" s="10" t="str">
        <x:v>回收站块垃圾回收</x:v>
      </x:c>
      <x:c r="E60" s="10" t="str">
        <x:v>A JuiceFS 官方 Windows</x:v>
      </x:c>
      <x:c r="F60" s="10" t="str">
        <x:v>待执行</x:v>
      </x:c>
      <x:c r="G60" s="10" t="str">
        <x:v>Windows；原流程 Redis；SQLite 适配需另行记录</x:v>
      </x:c>
      <x:c r="H60" s="10" t="str">
        <x:v>原函数断言与预期结果；环境适配不冒充原 CI 原样执行</x:v>
      </x:c>
      <x:c r="I60" s="10" t="str">
        <x:v>.github/scripts/command-win/gc.sh:22 / test_gc_trash_slices</x:v>
      </x:c>
      <x:c r="J60" s="10" t="str">
        <x:v>S08；E11</x:v>
      </x:c>
      <x:c r="K60" s="10" t="str">
        <x:v>命名函数</x:v>
      </x:c>
      <x:c r="L60" s="10" t="str">
        <x:v>上游 command-win.yml 已登记；本项目无执行此原始函数的证据。</x:v>
      </x:c>
      <x:c r="M60" s="10" t="str">
        <x:v>JuiceFS 30190ca1094d26e85f19a979ca51b0ea19af1eaa</x:v>
      </x:c>
      <x:c r="N60" s="10" t="str">
        <x:v>需隔离卷；原脚本含固定盘符和破坏性准备</x:v>
      </x:c>
      <x:c r="O60" s="10" t="str">
        <x:v>本轮未执行</x:v>
      </x:c>
      <x:c r="P60" s="10" t="str">
        <x:v>Windows CLI 函数</x:v>
      </x:c>
    </x:row>
    <x:row r="61" ht="44" customHeight="1">
      <x:c r="A61" s="11" t="str">
        <x:v>META-001</x:v>
      </x:c>
      <x:c r="B61" s="11" t="str">
        <x:v>L1</x:v>
      </x:c>
      <x:c r="C61" s="11" t="str">
        <x:v>挂载与元数据生命周期</x:v>
      </x:c>
      <x:c r="D61" s="11" t="str">
        <x:v>初始化失败保留元数据及 WAL</x:v>
      </x:c>
      <x:c r="E61" s="11" t="str">
        <x:v>C 项目补充</x:v>
      </x:c>
      <x:c r="F61" s="11" t="str">
        <x:v>已通过</x:v>
      </x:c>
      <x:c r="G61" s="11" t="str">
        <x:v>应用单元测试；模拟依赖，不等同真实故障挂载；另有网关不可用的真实初始化重试</x:v>
      </x:c>
      <x:c r="H61" s="11" t="str">
        <x:v>原文件不被覆盖；仅恢复身份匹配的初始化</x:v>
      </x:c>
      <x:c r="I61" s="11" t="str">
        <x:v>tests/juicefs.test.cjs / format failure retains metadata and WAL</x:v>
      </x:c>
      <x:c r="J61" s="11" t="str">
        <x:v>E02；E03</x:v>
      </x:c>
      <x:c r="K61" s="11" t="str">
        <x:v>场景组</x:v>
      </x:c>
      <x:c r="L61" s="11" t="str">
        <x:v>不等同断电恢复测试</x:v>
      </x:c>
      <x:c r="M61" s="11" t="str">
        <x:v>项目代码与参数见对应证据</x:v>
      </x:c>
      <x:c r="N61" s="11" t="str">
        <x:v>Windows 单机产品；按已测范围解释</x:v>
      </x:c>
      <x:c r="O61" s="11" t="str">
        <x:v>本轮仅补充矩阵，未复测</x:v>
      </x:c>
      <x:c r="P61" s="11" t="str">
        <x:v>项目场景</x:v>
      </x:c>
    </x:row>
    <x:row r="62" ht="44" customHeight="1">
      <x:c r="A62" s="10" t="str">
        <x:v>META-002</x:v>
      </x:c>
      <x:c r="B62" s="10" t="str">
        <x:v>L1</x:v>
      </x:c>
      <x:c r="C62" s="10" t="str">
        <x:v>挂载与元数据生命周期</x:v>
      </x:c>
      <x:c r="D62" s="10" t="str">
        <x:v>初始化中断后身份核对</x:v>
      </x:c>
      <x:c r="E62" s="10" t="str">
        <x:v>C 项目补充</x:v>
      </x:c>
      <x:c r="F62" s="10" t="str">
        <x:v>已通过</x:v>
      </x:c>
      <x:c r="G62" s="10" t="str">
        <x:v>应用单元测试；模拟依赖，不等同真实故障挂载</x:v>
      </x:c>
      <x:c r="H62" s="10" t="str">
        <x:v>只允许恢复有匹配初始化记录的卷</x:v>
      </x:c>
      <x:c r="I62" s="10" t="str">
        <x:v>tests/juicefs.test.cjs / crash after formatting</x:v>
      </x:c>
      <x:c r="J62" s="10" t="str">
        <x:v>E03</x:v>
      </x:c>
      <x:c r="K62" s="10" t="str">
        <x:v>场景组</x:v>
      </x:c>
      <x:c r="L62" s="10" t="str">
        <x:v>模拟状态测试；真实崩溃待 PLAN-001</x:v>
      </x:c>
      <x:c r="M62" s="10" t="str">
        <x:v>项目代码与参数见对应证据</x:v>
      </x:c>
      <x:c r="N62" s="10" t="str">
        <x:v>Windows 单机产品；按已测范围解释</x:v>
      </x:c>
      <x:c r="O62" s="10" t="str">
        <x:v>本轮仅补充矩阵，未复测</x:v>
      </x:c>
      <x:c r="P62" s="10" t="str">
        <x:v>项目场景</x:v>
      </x:c>
    </x:row>
    <x:row r="63" ht="44" customHeight="1">
      <x:c r="A63" s="11" t="str">
        <x:v>META-003</x:v>
      </x:c>
      <x:c r="B63" s="11" t="str">
        <x:v>L1</x:v>
      </x:c>
      <x:c r="C63" s="11" t="str">
        <x:v>挂载与元数据生命周期</x:v>
      </x:c>
      <x:c r="D63" s="11" t="str">
        <x:v>错误卷身份与丢失元数据拒绝挂载</x:v>
      </x:c>
      <x:c r="E63" s="11" t="str">
        <x:v>C 项目补充</x:v>
      </x:c>
      <x:c r="F63" s="11" t="str">
        <x:v>已通过</x:v>
      </x:c>
      <x:c r="G63" s="11" t="str">
        <x:v>应用单元测试；模拟依赖，不等同真实故障挂载</x:v>
      </x:c>
      <x:c r="H63" s="11" t="str">
        <x:v>名称、存储类型、桶不匹配或已初始化元数据缺失时不自动格式化</x:v>
      </x:c>
      <x:c r="I63" s="11" t="str">
        <x:v>tests/juicefs.test.cjs / wrong volume metadata; missing metadata</x:v>
      </x:c>
      <x:c r="J63" s="11" t="str">
        <x:v>E03</x:v>
      </x:c>
      <x:c r="K63" s="11" t="str">
        <x:v>场景组</x:v>
      </x:c>
      <x:c r="L63" s="11" t="str">
        <x:v>发布版本需复测；按已有范围解释结果</x:v>
      </x:c>
      <x:c r="M63" s="11" t="str">
        <x:v>项目代码与参数见对应证据</x:v>
      </x:c>
      <x:c r="N63" s="11" t="str">
        <x:v>Windows 单机产品；按已测范围解释</x:v>
      </x:c>
      <x:c r="O63" s="11" t="str">
        <x:v>本轮仅补充矩阵，未复测</x:v>
      </x:c>
      <x:c r="P63" s="11" t="str">
        <x:v>项目场景</x:v>
      </x:c>
    </x:row>
    <x:row r="64" ht="44" customHeight="1">
      <x:c r="A64" s="10" t="str">
        <x:v>META-004</x:v>
      </x:c>
      <x:c r="B64" s="10" t="str">
        <x:v>L1</x:v>
      </x:c>
      <x:c r="C64" s="10" t="str">
        <x:v>挂载与元数据生命周期</x:v>
      </x:c>
      <x:c r="D64" s="10" t="str">
        <x:v>移除磁盘保留数据与连接依赖保护</x:v>
      </x:c>
      <x:c r="E64" s="10" t="str">
        <x:v>C 项目补充</x:v>
      </x:c>
      <x:c r="F64" s="10" t="str">
        <x:v>已通过</x:v>
      </x:c>
      <x:c r="G64" s="10" t="str">
        <x:v>应用单元测试；模拟依赖，不等同真实故障挂载</x:v>
      </x:c>
      <x:c r="H64" s="10" t="str">
        <x:v>有磁盘依赖时拒绝删除连接；移除磁盘归档时不删除元数据和缓存</x:v>
      </x:c>
      <x:c r="I64" s="10" t="str">
        <x:v>tests/manager.test.cjs / creation persists and removal archives</x:v>
      </x:c>
      <x:c r="J64" s="10" t="str">
        <x:v>E03</x:v>
      </x:c>
      <x:c r="K64" s="10" t="str">
        <x:v>场景组</x:v>
      </x:c>
      <x:c r="L64" s="10" t="str">
        <x:v>真实异常退出另测</x:v>
      </x:c>
      <x:c r="M64" s="10" t="str">
        <x:v>项目代码与参数见对应证据</x:v>
      </x:c>
      <x:c r="N64" s="10" t="str">
        <x:v>Windows 单机产品；按已测范围解释</x:v>
      </x:c>
      <x:c r="O64" s="10" t="str">
        <x:v>本轮仅补充矩阵，未复测</x:v>
      </x:c>
      <x:c r="P64" s="10" t="str">
        <x:v>项目场景</x:v>
      </x:c>
    </x:row>
    <x:row r="65" ht="44" customHeight="1">
      <x:c r="A65" s="11" t="str">
        <x:v>META-005</x:v>
      </x:c>
      <x:c r="B65" s="11" t="str">
        <x:v>L1</x:v>
      </x:c>
      <x:c r="C65" s="11" t="str">
        <x:v>挂载与元数据生命周期</x:v>
      </x:c>
      <x:c r="D65" s="11" t="str">
        <x:v>刷新失败保留运行会话与暂存</x:v>
      </x:c>
      <x:c r="E65" s="11" t="str">
        <x:v>C 项目补充</x:v>
      </x:c>
      <x:c r="F65" s="11" t="str">
        <x:v>已通过</x:v>
      </x:c>
      <x:c r="G65" s="11" t="str">
        <x:v>应用单元测试；模拟依赖，不等同真实故障挂载</x:v>
      </x:c>
      <x:c r="H65" s="11" t="str">
        <x:v>不关闭网关，不删除元数据和待上传数据</x:v>
      </x:c>
      <x:c r="I65" s="11" t="str">
        <x:v>tests/juicefs.test.cjs / failed volume flush keeps gateway</x:v>
      </x:c>
      <x:c r="J65" s="11" t="str">
        <x:v>E03</x:v>
      </x:c>
      <x:c r="K65" s="11" t="str">
        <x:v>场景组</x:v>
      </x:c>
      <x:c r="L65" s="11" t="str">
        <x:v>故障挂载端到端恢复待 PLAN-011</x:v>
      </x:c>
      <x:c r="M65" s="11" t="str">
        <x:v>项目代码与参数见对应证据</x:v>
      </x:c>
      <x:c r="N65" s="11" t="str">
        <x:v>Windows 单机产品；按已测范围解释</x:v>
      </x:c>
      <x:c r="O65" s="11" t="str">
        <x:v>本轮仅补充矩阵，未复测</x:v>
      </x:c>
      <x:c r="P65" s="11" t="str">
        <x:v>项目场景</x:v>
      </x:c>
    </x:row>
    <x:row r="66" ht="44" customHeight="1">
      <x:c r="A66" s="10" t="str">
        <x:v>PLAN-011</x:v>
      </x:c>
      <x:c r="B66" s="10" t="str">
        <x:v>L1</x:v>
      </x:c>
      <x:c r="C66" s="10" t="str">
        <x:v>挂载与元数据生命周期</x:v>
      </x:c>
      <x:c r="D66" s="10" t="str">
        <x:v>异常卸载、重启与残留会话恢复</x:v>
      </x:c>
      <x:c r="E66" s="10" t="str">
        <x:v>C 项目补充</x:v>
      </x:c>
      <x:c r="F66" s="10" t="str">
        <x:v>待补充</x:v>
      </x:c>
      <x:c r="G66" s="10" t="str">
        <x:v>真实挂载；网关/引擎异常</x:v>
      </x:c>
      <x:c r="H66" s="10" t="str">
        <x:v>积压时安全退出行为明确，失败保留会话，重启可恢复</x:v>
      </x:c>
      <x:c r="I66" s="10" t="str">
        <x:v>拟补充场景；未记录可执行完整用例</x:v>
      </x:c>
      <x:c r="J66" s="10" t="str">
        <x:v>需求缺口分析；无通过证据</x:v>
      </x:c>
      <x:c r="K66" s="10" t="str">
        <x:v>待细化场景</x:v>
      </x:c>
      <x:c r="L66" s="10" t="str">
        <x:v>已有模拟刷新失败测试，缺完整端到端验证</x:v>
      </x:c>
      <x:c r="M66" s="10" t="str">
        <x:v>项目代码与参数见对应证据</x:v>
      </x:c>
      <x:c r="N66" s="10" t="str">
        <x:v>Windows 单机产品；按已测范围解释</x:v>
      </x:c>
      <x:c r="O66" s="10" t="str">
        <x:v>本轮仅补充矩阵，未复测</x:v>
      </x:c>
      <x:c r="P66" s="10" t="str">
        <x:v>项目场景</x:v>
      </x:c>
    </x:row>
    <x:row r="67" ht="44" customHeight="1">
      <x:c r="A67" s="11" t="str">
        <x:v>GW-001</x:v>
      </x:c>
      <x:c r="B67" s="11" t="str">
        <x:v>L1</x:v>
      </x:c>
      <x:c r="C67" s="11" t="str">
        <x:v>网关与后端重试</x:v>
      </x:c>
      <x:c r="D67" s="11" t="str">
        <x:v>卷后端范围隔离与路径越界保护</x:v>
      </x:c>
      <x:c r="E67" s="11" t="str">
        <x:v>C 项目补充</x:v>
      </x:c>
      <x:c r="F67" s="11" t="str">
        <x:v>已通过</x:v>
      </x:c>
      <x:c r="G67" s="11" t="str">
        <x:v>应用单元测试；模拟依赖，不等同真实故障挂载；S3 网关回归</x:v>
      </x:c>
      <x:c r="H67" s="11" t="str">
        <x:v>卷数据限定在自身前缀；拒绝非法路径</x:v>
      </x:c>
      <x:c r="I67" s="11" t="str">
        <x:v>tests/plans.test.cjs / isolated backend prefix；S3 网关回归</x:v>
      </x:c>
      <x:c r="J67" s="11" t="str">
        <x:v>E02；E03</x:v>
      </x:c>
      <x:c r="K67" s="11" t="str">
        <x:v>场景组</x:v>
      </x:c>
      <x:c r="L67" s="11" t="str">
        <x:v>发布版本需复测；按已有范围解释结果</x:v>
      </x:c>
      <x:c r="M67" s="11" t="str">
        <x:v>项目代码与参数见对应证据</x:v>
      </x:c>
      <x:c r="N67" s="11" t="str">
        <x:v>Windows 单机产品；按已测范围解释</x:v>
      </x:c>
      <x:c r="O67" s="11" t="str">
        <x:v>本轮仅补充矩阵，未复测</x:v>
      </x:c>
      <x:c r="P67" s="11" t="str">
        <x:v>项目场景</x:v>
      </x:c>
    </x:row>
    <x:row r="68" ht="44" customHeight="1">
      <x:c r="A68" s="10" t="str">
        <x:v>GW-002</x:v>
      </x:c>
      <x:c r="B68" s="10" t="str">
        <x:v>L1</x:v>
      </x:c>
      <x:c r="C68" s="10" t="str">
        <x:v>网关与后端重试</x:v>
      </x:c>
      <x:c r="D68" s="10" t="str">
        <x:v>旧 PUT 失败不能删除较新的对象</x:v>
      </x:c>
      <x:c r="E68" s="10" t="str">
        <x:v>C 项目补充</x:v>
      </x:c>
      <x:c r="F68" s="10" t="str">
        <x:v>已通过</x:v>
      </x:c>
      <x:c r="G68" s="10" t="str">
        <x:v>S3 网关回归</x:v>
      </x:c>
      <x:c r="H68" s="10" t="str">
        <x:v>同 key 请求互斥，旧请求失败清理不跨越新请求</x:v>
      </x:c>
      <x:c r="I68" s="10" t="str">
        <x:v>S3 gateway regression / failed old PUT cannot remove newer object</x:v>
      </x:c>
      <x:c r="J68" s="10" t="str">
        <x:v>E02</x:v>
      </x:c>
      <x:c r="K68" s="10" t="str">
        <x:v>场景组</x:v>
      </x:c>
      <x:c r="L68" s="10" t="str">
        <x:v>引擎与网盘完整故障组合待 PLAN-008</x:v>
      </x:c>
      <x:c r="M68" s="10" t="str">
        <x:v>项目代码与参数见对应证据</x:v>
      </x:c>
      <x:c r="N68" s="10" t="str">
        <x:v>Windows 单机产品；按已测范围解释</x:v>
      </x:c>
      <x:c r="O68" s="10" t="str">
        <x:v>本轮仅补充矩阵，未复测</x:v>
      </x:c>
      <x:c r="P68" s="10" t="str">
        <x:v>项目场景</x:v>
      </x:c>
    </x:row>
    <x:row r="69" ht="42" customHeight="1">
      <x:c r="A69" s="11" t="str">
        <x:v>GW-003</x:v>
      </x:c>
      <x:c r="B69" s="11" t="str">
        <x:v>L1</x:v>
      </x:c>
      <x:c r="C69" s="11" t="str">
        <x:v>网关与后端重试</x:v>
      </x:c>
      <x:c r="D69" s="11" t="str">
        <x:v>取消的重试不能修改后端</x:v>
      </x:c>
      <x:c r="E69" s="11" t="str">
        <x:v>C 项目补充</x:v>
      </x:c>
      <x:c r="F69" s="11" t="str">
        <x:v>已通过</x:v>
      </x:c>
      <x:c r="G69" s="11" t="str">
        <x:v>S3 网关回归</x:v>
      </x:c>
      <x:c r="H69" s="11" t="str">
        <x:v>已取消等待者不能写入或删除对象</x:v>
      </x:c>
      <x:c r="I69" s="11" t="str">
        <x:v>S3 gateway regression / cancelled retry cannot mutate</x:v>
      </x:c>
      <x:c r="J69" s="11" t="str">
        <x:v>E02</x:v>
      </x:c>
      <x:c r="K69" s="11" t="str">
        <x:v>场景组</x:v>
      </x:c>
      <x:c r="L69" s="11" t="str">
        <x:v>发布版本需复测；按已有范围解释结果</x:v>
      </x:c>
      <x:c r="M69" s="11" t="str">
        <x:v>项目代码与参数见对应证据</x:v>
      </x:c>
      <x:c r="N69" s="11" t="str">
        <x:v>Windows 单机产品；按已测范围解释</x:v>
      </x:c>
      <x:c r="O69" s="11" t="str">
        <x:v>本轮仅补充矩阵，未复测</x:v>
      </x:c>
      <x:c r="P69" s="11" t="str">
        <x:v>项目场景</x:v>
      </x:c>
    </x:row>
    <x:row r="70" ht="44" customHeight="1">
      <x:c r="A70" s="10" t="str">
        <x:v>PLAN-006</x:v>
      </x:c>
      <x:c r="B70" s="10" t="str">
        <x:v>L1</x:v>
      </x:c>
      <x:c r="C70" s="10" t="str">
        <x:v>网关与后端重试</x:v>
      </x:c>
      <x:c r="D70" s="10" t="str">
        <x:v>持续断网、反复重连与积压恢复</x:v>
      </x:c>
      <x:c r="E70" s="10" t="str">
        <x:v>C 项目补充</x:v>
      </x:c>
      <x:c r="F70" s="10" t="str">
        <x:v>待补充</x:v>
      </x:c>
      <x:c r="G70" s="10" t="str">
        <x:v>故障代理；三网盘；后台重点</x:v>
      </x:c>
      <x:c r="H70" s="10" t="str">
        <x:v>持续写入受控；恢复后内容符合预期，失败操作不伪成功</x:v>
      </x:c>
      <x:c r="I70" s="10" t="str">
        <x:v>拟补充场景；未记录可执行完整用例</x:v>
      </x:c>
      <x:c r="J70" s="10" t="str">
        <x:v>需求缺口分析；无通过证据</x:v>
      </x:c>
      <x:c r="K70" s="10" t="str">
        <x:v>待细化场景</x:v>
      </x:c>
      <x:c r="L70" s="10" t="str">
        <x:v>现有零散超时成功重试不足以覆盖</x:v>
      </x:c>
      <x:c r="M70" s="10" t="str">
        <x:v>项目代码与参数见对应证据</x:v>
      </x:c>
      <x:c r="N70" s="10" t="str">
        <x:v>Windows 单机产品；按已测范围解释</x:v>
      </x:c>
      <x:c r="O70" s="10" t="str">
        <x:v>本轮仅补充矩阵，未复测</x:v>
      </x:c>
      <x:c r="P70" s="10" t="str">
        <x:v>项目场景</x:v>
      </x:c>
    </x:row>
    <x:row r="71" ht="44" customHeight="1">
      <x:c r="A71" s="11" t="str">
        <x:v>PLAN-007</x:v>
      </x:c>
      <x:c r="B71" s="11" t="str">
        <x:v>L1</x:v>
      </x:c>
      <x:c r="C71" s="11" t="str">
        <x:v>网关与后端重试</x:v>
      </x:c>
      <x:c r="D71" s="11" t="str">
        <x:v>上传成功但响应丢失</x:v>
      </x:c>
      <x:c r="E71" s="11" t="str">
        <x:v>C 项目补充</x:v>
      </x:c>
      <x:c r="F71" s="11" t="str">
        <x:v>待补充</x:v>
      </x:c>
      <x:c r="G71" s="11" t="str">
        <x:v>故障代理 + 网关</x:v>
      </x:c>
      <x:c r="H71" s="11" t="str">
        <x:v>远端已保存后丢弃响应，重试不能覆盖新对象或错误删除</x:v>
      </x:c>
      <x:c r="I71" s="11" t="str">
        <x:v>拟补充场景；未记录可执行完整用例</x:v>
      </x:c>
      <x:c r="J71" s="11" t="str">
        <x:v>需求缺口分析；无通过证据</x:v>
      </x:c>
      <x:c r="K71" s="11" t="str">
        <x:v>待细化场景</x:v>
      </x:c>
      <x:c r="L71" s="11" t="str">
        <x:v>需要请求时序记录</x:v>
      </x:c>
      <x:c r="M71" s="11" t="str">
        <x:v>项目代码与参数见对应证据</x:v>
      </x:c>
      <x:c r="N71" s="11" t="str">
        <x:v>Windows 单机产品；按已测范围解释</x:v>
      </x:c>
      <x:c r="O71" s="11" t="str">
        <x:v>本轮仅补充矩阵，未复测</x:v>
      </x:c>
      <x:c r="P71" s="11" t="str">
        <x:v>项目场景</x:v>
      </x:c>
    </x:row>
    <x:row r="72" ht="44" customHeight="1">
      <x:c r="A72" s="10" t="str">
        <x:v>PLAN-001</x:v>
      </x:c>
      <x:c r="B72" s="10" t="str">
        <x:v>L1</x:v>
      </x:c>
      <x:c r="C72" s="10" t="str">
        <x:v>崩溃与资源耗尽</x:v>
      </x:c>
      <x:c r="D72" s="10" t="str">
        <x:v>写入各阶段进程崩溃恢复</x:v>
      </x:c>
      <x:c r="E72" s="10" t="str">
        <x:v>C 项目补充</x:v>
      </x:c>
      <x:c r="F72" s="10" t="str">
        <x:v>待补充</x:v>
      </x:c>
      <x:c r="G72" s="10" t="str">
        <x:v>隔离本地故障环境，之后覆盖三网盘；同步/后台</x:v>
      </x:c>
      <x:c r="H72" s="10" t="str">
        <x:v>在暂存、元数据提交、上传、暂存移除阶段中断，按持久化约定核对内容</x:v>
      </x:c>
      <x:c r="I72" s="10" t="str">
        <x:v>拟补充场景；未记录可执行完整用例</x:v>
      </x:c>
      <x:c r="J72" s="10" t="str">
        <x:v>需求缺口分析；无通过证据</x:v>
      </x:c>
      <x:c r="K72" s="10" t="str">
        <x:v>待细化场景</x:v>
      </x:c>
      <x:c r="L72" s="10" t="str">
        <x:v>明确 write/close/FlushFileBuffers 的持久化边界；使用独立期望记录</x:v>
      </x:c>
      <x:c r="M72" s="10" t="str">
        <x:v>项目代码与参数见对应证据</x:v>
      </x:c>
      <x:c r="N72" s="10" t="str">
        <x:v>Windows 单机产品；按已测范围解释</x:v>
      </x:c>
      <x:c r="O72" s="10" t="str">
        <x:v>本轮仅补充矩阵，未复测</x:v>
      </x:c>
      <x:c r="P72" s="10" t="str">
        <x:v>项目场景</x:v>
      </x:c>
    </x:row>
    <x:row r="73" ht="44" customHeight="1">
      <x:c r="A73" s="11" t="str">
        <x:v>PLAN-002</x:v>
      </x:c>
      <x:c r="B73" s="11" t="str">
        <x:v>L1</x:v>
      </x:c>
      <x:c r="C73" s="11" t="str">
        <x:v>崩溃与资源耗尽</x:v>
      </x:c>
      <x:c r="D73" s="11" t="str">
        <x:v>异常重启与断电恢复</x:v>
      </x:c>
      <x:c r="E73" s="11" t="str">
        <x:v>C 项目补充</x:v>
      </x:c>
      <x:c r="F73" s="11" t="str">
        <x:v>待补充</x:v>
      </x:c>
      <x:c r="G73" s="11" t="str">
        <x:v>隔离虚拟机或专用测试环境</x:v>
      </x:c>
      <x:c r="H73" s="11" t="str">
        <x:v>系统异常重启后恢复元数据和暂存；不得误报已持久化或产生静默损坏</x:v>
      </x:c>
      <x:c r="I73" s="11" t="str">
        <x:v>拟补充场景；未记录可执行完整用例</x:v>
      </x:c>
      <x:c r="J73" s="11" t="str">
        <x:v>需求缺口分析；无通过证据</x:v>
      </x:c>
      <x:c r="K73" s="11" t="str">
        <x:v>待细化场景</x:v>
      </x:c>
      <x:c r="L73" s="11" t="str">
        <x:v>仅在隔离环境执行，不能用普通安全退出替代</x:v>
      </x:c>
      <x:c r="M73" s="11" t="str">
        <x:v>项目代码与参数见对应证据</x:v>
      </x:c>
      <x:c r="N73" s="11" t="str">
        <x:v>Windows 单机产品；按已测范围解释</x:v>
      </x:c>
      <x:c r="O73" s="11" t="str">
        <x:v>本轮仅补充矩阵，未复测</x:v>
      </x:c>
      <x:c r="P73" s="11" t="str">
        <x:v>项目场景</x:v>
      </x:c>
    </x:row>
    <x:row r="74" ht="44" customHeight="1">
      <x:c r="A74" s="10" t="str">
        <x:v>PLAN-003</x:v>
      </x:c>
      <x:c r="B74" s="10" t="str">
        <x:v>L1</x:v>
      </x:c>
      <x:c r="C74" s="10" t="str">
        <x:v>崩溃与资源耗尽</x:v>
      </x:c>
      <x:c r="D74" s="10" t="str">
        <x:v>缓存磁盘耗尽与恢复</x:v>
      </x:c>
      <x:c r="E74" s="10" t="str">
        <x:v>C 项目补充</x:v>
      </x:c>
      <x:c r="F74" s="10" t="str">
        <x:v>待补充</x:v>
      </x:c>
      <x:c r="G74" s="10" t="str">
        <x:v>有容量限制的测试卷；同步/后台</x:v>
      </x:c>
      <x:c r="H74" s="10" t="str">
        <x:v>ENOSPC 正确返回；保留待上传内容；释放空间后可恢复</x:v>
      </x:c>
      <x:c r="I74" s="10" t="str">
        <x:v>拟补充场景；未记录可执行完整用例</x:v>
      </x:c>
      <x:c r="J74" s="10" t="str">
        <x:v>需求缺口分析；无通过证据</x:v>
      </x:c>
      <x:c r="K74" s="10" t="str">
        <x:v>待细化场景</x:v>
      </x:c>
      <x:c r="L74" s="10" t="str">
        <x:v>现有读缓存目标不是写缓存硬配额</x:v>
      </x:c>
      <x:c r="M74" s="10" t="str">
        <x:v>项目代码与参数见对应证据</x:v>
      </x:c>
      <x:c r="N74" s="10" t="str">
        <x:v>Windows 单机产品；按已测范围解释</x:v>
      </x:c>
      <x:c r="O74" s="10" t="str">
        <x:v>本轮仅补充矩阵，未复测</x:v>
      </x:c>
      <x:c r="P74" s="10" t="str">
        <x:v>项目场景</x:v>
      </x:c>
    </x:row>
    <x:row r="75" ht="44" customHeight="1">
      <x:c r="A75" s="11" t="str">
        <x:v>PLAN-004</x:v>
      </x:c>
      <x:c r="B75" s="11" t="str">
        <x:v>L1</x:v>
      </x:c>
      <x:c r="C75" s="11" t="str">
        <x:v>崩溃与资源耗尽</x:v>
      </x:c>
      <x:c r="D75" s="11" t="str">
        <x:v>元数据磁盘耗尽与 WAL 恢复</x:v>
      </x:c>
      <x:c r="E75" s="11" t="str">
        <x:v>C 项目补充</x:v>
      </x:c>
      <x:c r="F75" s="11" t="str">
        <x:v>待补充</x:v>
      </x:c>
      <x:c r="G75" s="11" t="str">
        <x:v>独立元数据测试卷</x:v>
      </x:c>
      <x:c r="H75" s="11" t="str">
        <x:v>数据库提交失败不伪成功；释放空间后卷一致</x:v>
      </x:c>
      <x:c r="I75" s="11" t="str">
        <x:v>拟补充场景；未记录可执行完整用例</x:v>
      </x:c>
      <x:c r="J75" s="11" t="str">
        <x:v>需求缺口分析；无通过证据</x:v>
      </x:c>
      <x:c r="K75" s="11" t="str">
        <x:v>待细化场景</x:v>
      </x:c>
      <x:c r="L75" s="11" t="str">
        <x:v>区别于缓存盘耗尽</x:v>
      </x:c>
      <x:c r="M75" s="11" t="str">
        <x:v>项目代码与参数见对应证据</x:v>
      </x:c>
      <x:c r="N75" s="11" t="str">
        <x:v>Windows 单机产品；按已测范围解释</x:v>
      </x:c>
      <x:c r="O75" s="11" t="str">
        <x:v>本轮仅补充矩阵，未复测</x:v>
      </x:c>
      <x:c r="P75" s="11" t="str">
        <x:v>项目场景</x:v>
      </x:c>
    </x:row>
    <x:row r="76" ht="44" customHeight="1">
      <x:c r="A76" s="10" t="str">
        <x:v>PLAN-005</x:v>
      </x:c>
      <x:c r="B76" s="10" t="str">
        <x:v>L1</x:v>
      </x:c>
      <x:c r="C76" s="10" t="str">
        <x:v>崩溃与资源耗尽</x:v>
      </x:c>
      <x:c r="D76" s="10" t="str">
        <x:v>云端配额耗尽与恢复</x:v>
      </x:c>
      <x:c r="E76" s="10" t="str">
        <x:v>C 项目补充</x:v>
      </x:c>
      <x:c r="F76" s="10" t="str">
        <x:v>待补充</x:v>
      </x:c>
      <x:c r="G76" s="10" t="str">
        <x:v>故障注入 + 隔离真实测试账号</x:v>
      </x:c>
      <x:c r="H76" s="10" t="str">
        <x:v>配额错误可识别，已有块和待上传内容保留，恢复后可排空</x:v>
      </x:c>
      <x:c r="I76" s="10" t="str">
        <x:v>拟补充场景；未记录可执行完整用例</x:v>
      </x:c>
      <x:c r="J76" s="10" t="str">
        <x:v>需求缺口分析；无通过证据</x:v>
      </x:c>
      <x:c r="K76" s="10" t="str">
        <x:v>待细化场景</x:v>
      </x:c>
      <x:c r="L76" s="10" t="str">
        <x:v>不消耗用户日常网盘至满额</x:v>
      </x:c>
      <x:c r="M76" s="10" t="str">
        <x:v>项目代码与参数见对应证据</x:v>
      </x:c>
      <x:c r="N76" s="10" t="str">
        <x:v>Windows 单机产品；按已测范围解释</x:v>
      </x:c>
      <x:c r="O76" s="10" t="str">
        <x:v>本轮仅补充矩阵，未复测</x:v>
      </x:c>
      <x:c r="P76" s="10" t="str">
        <x:v>项目场景</x:v>
      </x:c>
    </x:row>
    <x:row r="77" ht="44" customHeight="1">
      <x:c r="A77" s="11" t="str">
        <x:v>CLOUD-002</x:v>
      </x:c>
      <x:c r="B77" s="11" t="str">
        <x:v>L2</x:v>
      </x:c>
      <x:c r="C77" s="11" t="str">
        <x:v>文件读写与完整性</x:v>
      </x:c>
      <x:c r="D77" s="11" t="str">
        <x:v>空文件与稀疏文件</x:v>
      </x:c>
      <x:c r="E77" s="11" t="str">
        <x:v>C 项目补充</x:v>
      </x:c>
      <x:c r="F77" s="11" t="str">
        <x:v>已通过</x:v>
      </x:c>
      <x:c r="G77" s="11" t="str">
        <x:v>百度、Google、OneDrive；同步/后台，共 6 组</x:v>
      </x:c>
      <x:c r="H77" s="11" t="str">
        <x:v>空文件和稀疏区域通过元数据正确表达</x:v>
      </x:c>
      <x:c r="I77" s="11" t="str">
        <x:v>windows-cloud-volume-integration.cjs</x:v>
      </x:c>
      <x:c r="J77" s="11" t="str">
        <x:v>E02</x:v>
      </x:c>
      <x:c r="K77" s="11" t="str">
        <x:v>场景组</x:v>
      </x:c>
      <x:c r="L77" s="11" t="str">
        <x:v>发布版本需复测；按已有范围解释结果</x:v>
      </x:c>
      <x:c r="M77" s="11" t="str">
        <x:v>项目代码与参数见对应证据</x:v>
      </x:c>
      <x:c r="N77" s="11" t="str">
        <x:v>Windows 单机产品；按已测范围解释</x:v>
      </x:c>
      <x:c r="O77" s="11" t="str">
        <x:v>本轮仅补充矩阵，未复测</x:v>
      </x:c>
      <x:c r="P77" s="11" t="str">
        <x:v>项目场景</x:v>
      </x:c>
    </x:row>
    <x:row r="78" ht="44" customHeight="1">
      <x:c r="A78" s="10" t="str">
        <x:v>JFS-PY-01</x:v>
      </x:c>
      <x:c r="B78" s="10" t="str">
        <x:v>L2</x:v>
      </x:c>
      <x:c r="C78" s="10" t="str">
        <x:v>文件读写与完整性</x:v>
      </x:c>
      <x:c r="D78" s="10" t="str">
        <x:v>基本创建、读写、重命名与删除</x:v>
      </x:c>
      <x:c r="E78" s="10" t="str">
        <x:v>A JuiceFS 官方 Windows</x:v>
      </x:c>
      <x:c r="F78" s="10" t="str">
        <x:v>已通过</x:v>
      </x:c>
      <x:c r="G78" s="10" t="str">
        <x:v>本地、百度、Google、OneDrive；同步/后台，共 8 组</x:v>
      </x:c>
      <x:c r="H78" s="10" t="str">
        <x:v>读回内容一致；重命名和删除后的路径状态正确</x:v>
      </x:c>
      <x:c r="I78" s="10" t="str">
        <x:v>test_basic_operations</x:v>
      </x:c>
      <x:c r="J78" s="10" t="str">
        <x:v>E01；S01</x:v>
      </x:c>
      <x:c r="K78" s="10" t="str">
        <x:v>用例</x:v>
      </x:c>
      <x:c r="L78" s="10" t="str">
        <x:v>发布版本需复测；保留上游断言</x:v>
      </x:c>
      <x:c r="M78" s="10" t="str">
        <x:v>JuiceFS 30190ca；FSX 工具版本见 S02</x:v>
      </x:c>
      <x:c r="N78" s="10" t="str">
        <x:v>Windows 单机产品；按已测范围解释</x:v>
      </x:c>
      <x:c r="O78" s="10" t="str">
        <x:v>本轮仅补充矩阵，未复测</x:v>
      </x:c>
      <x:c r="P78" s="10" t="str">
        <x:v>Windows Python</x:v>
      </x:c>
    </x:row>
    <x:row r="79" ht="44" customHeight="1">
      <x:c r="A79" s="11" t="str">
        <x:v>JFS-PY-05</x:v>
      </x:c>
      <x:c r="B79" s="11" t="str">
        <x:v>L2</x:v>
      </x:c>
      <x:c r="C79" s="11" t="str">
        <x:v>文件读写与完整性</x:v>
      </x:c>
      <x:c r="D79" s="11" t="str">
        <x:v>10 MiB 文件写入与读取</x:v>
      </x:c>
      <x:c r="E79" s="11" t="str">
        <x:v>A JuiceFS 官方 Windows</x:v>
      </x:c>
      <x:c r="F79" s="11" t="str">
        <x:v>已通过</x:v>
      </x:c>
      <x:c r="G79" s="11" t="str">
        <x:v>本地、百度、Google、OneDrive；同步/后台，共 8 组</x:v>
      </x:c>
      <x:c r="H79" s="11" t="str">
        <x:v>长度与读取块数正确；此原用例不是全文件哈希校验</x:v>
      </x:c>
      <x:c r="I79" s="11" t="str">
        <x:v>test_large_files</x:v>
      </x:c>
      <x:c r="J79" s="11" t="str">
        <x:v>E01；S01</x:v>
      </x:c>
      <x:c r="K79" s="11" t="str">
        <x:v>用例</x:v>
      </x:c>
      <x:c r="L79" s="11" t="str">
        <x:v>发布版本需复测；保留上游断言</x:v>
      </x:c>
      <x:c r="M79" s="11" t="str">
        <x:v>JuiceFS 30190ca；FSX 工具版本见 S02</x:v>
      </x:c>
      <x:c r="N79" s="11" t="str">
        <x:v>Windows 单机产品；按已测范围解释</x:v>
      </x:c>
      <x:c r="O79" s="11" t="str">
        <x:v>本轮仅补充矩阵，未复测</x:v>
      </x:c>
      <x:c r="P79" s="11" t="str">
        <x:v>Windows Python</x:v>
      </x:c>
    </x:row>
    <x:row r="80" ht="44" customHeight="1">
      <x:c r="A80" s="10" t="str">
        <x:v>NATIVE-001</x:v>
      </x:c>
      <x:c r="B80" s="10" t="str">
        <x:v>L2</x:v>
      </x:c>
      <x:c r="C80" s="10" t="str">
        <x:v>文件读写与完整性</x:v>
      </x:c>
      <x:c r="D80" s="10" t="str">
        <x:v>文件创建与打开（原版）</x:v>
      </x:c>
      <x:c r="E80" s="10" t="str">
        <x:v>B Windows / WinFsp</x:v>
      </x:c>
      <x:c r="F80" s="10" t="str">
        <x:v>已通过</x:v>
      </x:c>
      <x:c r="G80" s="10" t="str">
        <x:v>本地后端 JuiceFS 同步／后台；NTFS 与直连结果在历史执行明细</x:v>
      </x:c>
      <x:c r="H80" s="10" t="str">
        <x:v>原版 WinFsp 2.1 外部模式的全部启用断言；与 NTFS 对照核对差异</x:v>
      </x:c>
      <x:c r="I80" s="10" t="str">
        <x:v>create_test</x:v>
      </x:c>
      <x:c r="J80" s="10" t="str">
        <x:v>E09；S06；S07</x:v>
      </x:c>
      <x:c r="K80" s="10" t="str">
        <x:v>参数化用例</x:v>
      </x:c>
      <x:c r="L80" s="10" t="str">
        <x:v>2026-10-10 历史结果；当前构建及三网盘尚未按严格配置复测。 NTFS 同名用例也失败，需比较具体断言，不能自动豁免。</x:v>
      </x:c>
      <x:c r="M80" s="10" t="str">
        <x:v>WinFsp tests 2.1.25156；--external --resilient +*</x:v>
      </x:c>
      <x:c r="N80" s="10" t="str">
        <x:v>Windows 完整语义目标；失败不自动排除</x:v>
      </x:c>
      <x:c r="O80" s="10" t="str">
        <x:v>本轮未复测</x:v>
      </x:c>
      <x:c r="P80" s="10" t="str">
        <x:v>原版外部套件</x:v>
      </x:c>
    </x:row>
    <x:row r="81" ht="44" customHeight="1">
      <x:c r="A81" s="11" t="str">
        <x:v>NATIVE-095</x:v>
      </x:c>
      <x:c r="B81" s="11" t="str">
        <x:v>L2</x:v>
      </x:c>
      <x:c r="C81" s="11" t="str">
        <x:v>文件读写与完整性</x:v>
      </x:c>
      <x:c r="D81" s="11" t="str">
        <x:v>文件创建策略与删除（原版）</x:v>
      </x:c>
      <x:c r="E81" s="11" t="str">
        <x:v>B Windows / WinFsp</x:v>
      </x:c>
      <x:c r="F81" s="11" t="str">
        <x:v>已通过</x:v>
      </x:c>
      <x:c r="G81" s="11" t="str">
        <x:v>本地后端 JuiceFS 同步／后台；NTFS 与直连结果在历史执行明细</x:v>
      </x:c>
      <x:c r="H81" s="11" t="str">
        <x:v>CreateFile CreationDisposition / DeleteFile</x:v>
      </x:c>
      <x:c r="I81" s="11" t="str">
        <x:v>winfstest-base/00.t</x:v>
      </x:c>
      <x:c r="J81" s="11" t="str">
        <x:v>E09；S06；S07</x:v>
      </x:c>
      <x:c r="K81" s="11" t="str">
        <x:v>脚本组</x:v>
      </x:c>
      <x:c r="L81" s="11" t="str">
        <x:v>2026-10-10 历史结果；当前构建及三网盘尚未按严格配置复测。</x:v>
      </x:c>
      <x:c r="M81" s="11" t="str">
        <x:v>secfs.test 6ac65cda46abc2be39c7b137debf9521052edbaf</x:v>
      </x:c>
      <x:c r="N81" s="11" t="str">
        <x:v>Windows 完整语义目标；失败不自动排除</x:v>
      </x:c>
      <x:c r="O81" s="11" t="str">
        <x:v>本轮未复测</x:v>
      </x:c>
      <x:c r="P81" s="11" t="str">
        <x:v>原版外部套件</x:v>
      </x:c>
    </x:row>
    <x:row r="82" ht="44" customHeight="1">
      <x:c r="A82" s="10" t="str">
        <x:v>WFP-01</x:v>
      </x:c>
      <x:c r="B82" s="10" t="str">
        <x:v>L2</x:v>
      </x:c>
      <x:c r="C82" s="10" t="str">
        <x:v>文件读写与完整性</x:v>
      </x:c>
      <x:c r="D82" s="10" t="str">
        <x:v>文件创建与打开</x:v>
      </x:c>
      <x:c r="E82" s="10" t="str">
        <x:v>B Windows / WinFsp</x:v>
      </x:c>
      <x:c r="F82" s="10" t="str">
        <x:v>已通过</x:v>
      </x:c>
      <x:c r="G82" s="10" t="str">
        <x:v>本地、百度、Google、OneDrive；同步/后台，共 8 组</x:v>
      </x:c>
      <x:c r="H82" s="10" t="str">
        <x:v>该用例在官方 FUSE 兼容参数下通过；断言范围以原用例为准</x:v>
      </x:c>
      <x:c r="I82" s="10" t="str">
        <x:v>create_test</x:v>
      </x:c>
      <x:c r="J82" s="10" t="str">
        <x:v>E01；S04</x:v>
      </x:c>
      <x:c r="K82" s="10" t="str">
        <x:v>用例</x:v>
      </x:c>
      <x:c r="L82" s="10" t="str">
        <x:v>--fuse-external --resilient --case-insensitive-cmp；不代表全部 NTFS 语义</x:v>
      </x:c>
      <x:c r="M82" s="10" t="str">
        <x:v>juicedata/winfsp testing_suit_20250324；默认 FUSE 参数</x:v>
      </x:c>
      <x:c r="N82" s="10" t="str">
        <x:v>Windows 单机产品；按已测范围解释</x:v>
      </x:c>
      <x:c r="O82" s="10" t="str">
        <x:v>本轮仅补充矩阵，未复测</x:v>
      </x:c>
      <x:c r="P82" s="10" t="str">
        <x:v>JuiceFS fork 外部</x:v>
      </x:c>
    </x:row>
    <x:row r="83" ht="44" customHeight="1">
      <x:c r="A83" s="11" t="str">
        <x:v>WFT-00</x:v>
      </x:c>
      <x:c r="B83" s="11" t="str">
        <x:v>L2</x:v>
      </x:c>
      <x:c r="C83" s="11" t="str">
        <x:v>文件读写与完整性</x:v>
      </x:c>
      <x:c r="D83" s="11" t="str">
        <x:v>文件创建策略与删除</x:v>
      </x:c>
      <x:c r="E83" s="11" t="str">
        <x:v>B Windows / WinFsp</x:v>
      </x:c>
      <x:c r="F83" s="11" t="str">
        <x:v>已通过</x:v>
      </x:c>
      <x:c r="G83" s="11" t="str">
        <x:v>本地、百度、Google、OneDrive；同步/后台，共 8 组</x:v>
      </x:c>
      <x:c r="H83" s="11" t="str">
        <x:v>CreateFile CreationDisposition / DeleteFile；按保留的已启用断言验证</x:v>
      </x:c>
      <x:c r="I83" s="11" t="str">
        <x:v>winfstest t/base/00.t</x:v>
      </x:c>
      <x:c r="J83" s="11" t="str">
        <x:v>E01；S03</x:v>
      </x:c>
      <x:c r="K83" s="11" t="str">
        <x:v>脚本组</x:v>
      </x:c>
      <x:c r="L83" s="11" t="str">
        <x:v>11 脚本合计 152 断言；已注释断言不算覆盖</x:v>
      </x:c>
      <x:c r="M83" s="11" t="str">
        <x:v>juicedata/winfstest testing_20250313</x:v>
      </x:c>
      <x:c r="N83" s="11" t="str">
        <x:v>Windows 单机产品；按已测范围解释</x:v>
      </x:c>
      <x:c r="O83" s="11" t="str">
        <x:v>本轮仅补充矩阵，未复测</x:v>
      </x:c>
      <x:c r="P83" s="11" t="str">
        <x:v>JuiceFS fork 脚本</x:v>
      </x:c>
    </x:row>
    <x:row r="84" ht="44" customHeight="1">
      <x:c r="A84" s="10" t="str">
        <x:v>CLOUD-005</x:v>
      </x:c>
      <x:c r="B84" s="10" t="str">
        <x:v>L2</x:v>
      </x:c>
      <x:c r="C84" s="10" t="str">
        <x:v>命名与目录</x:v>
      </x:c>
      <x:c r="D84" s="10" t="str">
        <x:v>重命名与删除后的目录状态</x:v>
      </x:c>
      <x:c r="E84" s="10" t="str">
        <x:v>C 项目补充</x:v>
      </x:c>
      <x:c r="F84" s="10" t="str">
        <x:v>已通过</x:v>
      </x:c>
      <x:c r="G84" s="10" t="str">
        <x:v>百度、Google、OneDrive；同步/后台，共 6 组</x:v>
      </x:c>
      <x:c r="H84" s="10" t="str">
        <x:v>新旧路径和删除状态正确</x:v>
      </x:c>
      <x:c r="I84" s="10" t="str">
        <x:v>windows-cloud-volume-integration.cjs</x:v>
      </x:c>
      <x:c r="J84" s="10" t="str">
        <x:v>E02</x:v>
      </x:c>
      <x:c r="K84" s="10" t="str">
        <x:v>场景组</x:v>
      </x:c>
      <x:c r="L84" s="10" t="str">
        <x:v>发布版本需复测；按已有范围解释结果</x:v>
      </x:c>
      <x:c r="M84" s="10" t="str">
        <x:v>项目代码与参数见对应证据</x:v>
      </x:c>
      <x:c r="N84" s="10" t="str">
        <x:v>Windows 单机产品；按已测范围解释</x:v>
      </x:c>
      <x:c r="O84" s="10" t="str">
        <x:v>本轮仅补充矩阵，未复测</x:v>
      </x:c>
      <x:c r="P84" s="10" t="str">
        <x:v>项目场景</x:v>
      </x:c>
    </x:row>
    <x:row r="85" ht="44" customHeight="1">
      <x:c r="A85" s="11" t="str">
        <x:v>JFS-PY-03</x:v>
      </x:c>
      <x:c r="B85" s="11" t="str">
        <x:v>L2</x:v>
      </x:c>
      <x:c r="C85" s="11" t="str">
        <x:v>命名与目录</x:v>
      </x:c>
      <x:c r="D85" s="11" t="str">
        <x:v>目录创建、枚举与移动</x:v>
      </x:c>
      <x:c r="E85" s="11" t="str">
        <x:v>A JuiceFS 官方 Windows</x:v>
      </x:c>
      <x:c r="F85" s="11" t="str">
        <x:v>已通过</x:v>
      </x:c>
      <x:c r="G85" s="11" t="str">
        <x:v>本地、百度、Google、OneDrive；同步/后台，共 8 组</x:v>
      </x:c>
      <x:c r="H85" s="11" t="str">
        <x:v>创建多层目录、枚举并移动，路径状态正确</x:v>
      </x:c>
      <x:c r="I85" s="11" t="str">
        <x:v>test_directory_operations</x:v>
      </x:c>
      <x:c r="J85" s="11" t="str">
        <x:v>E01；S01</x:v>
      </x:c>
      <x:c r="K85" s="11" t="str">
        <x:v>用例</x:v>
      </x:c>
      <x:c r="L85" s="11" t="str">
        <x:v>发布版本需复测；保留上游断言</x:v>
      </x:c>
      <x:c r="M85" s="11" t="str">
        <x:v>JuiceFS 30190ca；FSX 工具版本见 S02</x:v>
      </x:c>
      <x:c r="N85" s="11" t="str">
        <x:v>Windows 单机产品；按已测范围解释</x:v>
      </x:c>
      <x:c r="O85" s="11" t="str">
        <x:v>本轮仅补充矩阵，未复测</x:v>
      </x:c>
      <x:c r="P85" s="11" t="str">
        <x:v>Windows Python</x:v>
      </x:c>
    </x:row>
    <x:row r="86" ht="44" customHeight="1">
      <x:c r="A86" s="10" t="str">
        <x:v>JFS-PY-08</x:v>
      </x:c>
      <x:c r="B86" s="10" t="str">
        <x:v>L2</x:v>
      </x:c>
      <x:c r="C86" s="10" t="str">
        <x:v>命名与目录</x:v>
      </x:c>
      <x:c r="D86" s="10" t="str">
        <x:v>中文、空格与符号名称</x:v>
      </x:c>
      <x:c r="E86" s="10" t="str">
        <x:v>A JuiceFS 官方 Windows</x:v>
      </x:c>
      <x:c r="F86" s="10" t="str">
        <x:v>已通过</x:v>
      </x:c>
      <x:c r="G86" s="10" t="str">
        <x:v>本地、百度、Google、OneDrive；同步/后台，共 8 组</x:v>
      </x:c>
      <x:c r="H86" s="10" t="str">
        <x:v>文件可创建和读回，名称与内容正确</x:v>
      </x:c>
      <x:c r="I86" s="10" t="str">
        <x:v>test_special_characters</x:v>
      </x:c>
      <x:c r="J86" s="10" t="str">
        <x:v>E01；S01</x:v>
      </x:c>
      <x:c r="K86" s="10" t="str">
        <x:v>用例</x:v>
      </x:c>
      <x:c r="L86" s="10" t="str">
        <x:v>发布版本需复测；保留上游断言</x:v>
      </x:c>
      <x:c r="M86" s="10" t="str">
        <x:v>JuiceFS 30190ca；FSX 工具版本见 S02</x:v>
      </x:c>
      <x:c r="N86" s="10" t="str">
        <x:v>Windows 单机产品；按已测范围解释</x:v>
      </x:c>
      <x:c r="O86" s="10" t="str">
        <x:v>本轮仅补充矩阵，未复测</x:v>
      </x:c>
      <x:c r="P86" s="10" t="str">
        <x:v>Windows Python</x:v>
      </x:c>
    </x:row>
    <x:row r="87" ht="60" customHeight="1">
      <x:c r="A87" s="11" t="str">
        <x:v>NATIVE-012</x:v>
      </x:c>
      <x:c r="B87" s="11" t="str">
        <x:v>L2</x:v>
      </x:c>
      <x:c r="C87" s="11" t="str">
        <x:v>命名与目录</x:v>
      </x:c>
      <x:c r="D87" s="11" t="str">
        <x:v>文件名长度边界（原版）</x:v>
      </x:c>
      <x:c r="E87" s="11" t="str">
        <x:v>B Windows / WinFsp</x:v>
      </x:c>
      <x:c r="F87" s="11" t="str">
        <x:v>已失败</x:v>
      </x:c>
      <x:c r="G87" s="11" t="str">
        <x:v>本地后端 JuiceFS 同步／后台；NTFS 与直连结果在历史执行明细</x:v>
      </x:c>
      <x:c r="H87" s="11" t="str">
        <x:v>原版 WinFsp 2.1 外部模式的全部启用断言；与 NTFS 对照核对差异</x:v>
      </x:c>
      <x:c r="I87" s="11" t="str">
        <x:v>create_namelen_test</x:v>
      </x:c>
      <x:c r="J87" s="11" t="str">
        <x:v>E09；S06；S07</x:v>
      </x:c>
      <x:c r="K87" s="11" t="str">
        <x:v>参数化用例</x:v>
      </x:c>
      <x:c r="L87" s="11" t="str">
        <x:v>2026-10-10 历史结果；当前构建及三网盘尚未按严格配置复测。 ASSERT(INVALID_HANDLE_VALUE != Handle) failed at create-test.c:1297:create_namelen_dotest (err=c0000106:206)</x:v>
      </x:c>
      <x:c r="M87" s="11" t="str">
        <x:v>WinFsp tests 2.1.25156；--external --resilient +*</x:v>
      </x:c>
      <x:c r="N87" s="11" t="str">
        <x:v>Windows 完整语义目标；失败不自动排除</x:v>
      </x:c>
      <x:c r="O87" s="11" t="str">
        <x:v>本轮未复测</x:v>
      </x:c>
      <x:c r="P87" s="11" t="str">
        <x:v>原版外部套件</x:v>
      </x:c>
    </x:row>
    <x:row r="88" ht="76" customHeight="1">
      <x:c r="A88" s="10" t="str">
        <x:v>NATIVE-015</x:v>
      </x:c>
      <x:c r="B88" s="10" t="str">
        <x:v>L2</x:v>
      </x:c>
      <x:c r="C88" s="10" t="str">
        <x:v>命名与目录</x:v>
      </x:c>
      <x:c r="D88" s="10" t="str">
        <x:v>查询规范化文件名（原版）</x:v>
      </x:c>
      <x:c r="E88" s="10" t="str">
        <x:v>B Windows / WinFsp</x:v>
      </x:c>
      <x:c r="F88" s="10" t="str">
        <x:v>已失败</x:v>
      </x:c>
      <x:c r="G88" s="10" t="str">
        <x:v>本地后端 JuiceFS 同步／后台；NTFS 与直连结果在历史执行明细</x:v>
      </x:c>
      <x:c r="H88" s="10" t="str">
        <x:v>原版 WinFsp 2.1 外部模式的全部启用断言；与 NTFS 对照核对差异</x:v>
      </x:c>
      <x:c r="I88" s="10" t="str">
        <x:v>getfileinfo_name_test</x:v>
      </x:c>
      <x:c r="J88" s="10" t="str">
        <x:v>E09；S06；S07</x:v>
      </x:c>
      <x:c r="K88" s="10" t="str">
        <x:v>参数化用例</x:v>
      </x:c>
      <x:c r="L88" s="10" t="str">
        <x:v>2026-10-10 历史结果；当前构建及三网盘尚未按严格配置复测。 NTFS 同名用例也失败，需比较具体断言，不能自动豁免。 ASSERT(0 == wcscmp(OrigPath, FinalPath)) failed at info-test.c:355:getfileinfo_name_dotest (err=0:0)</x:v>
      </x:c>
      <x:c r="M88" s="10" t="str">
        <x:v>WinFsp tests 2.1.25156；--external --resilient +*</x:v>
      </x:c>
      <x:c r="N88" s="10" t="str">
        <x:v>Windows 完整语义目标；失败不自动排除</x:v>
      </x:c>
      <x:c r="O88" s="10" t="str">
        <x:v>本轮未复测</x:v>
      </x:c>
      <x:c r="P88" s="10" t="str">
        <x:v>原版外部套件</x:v>
      </x:c>
    </x:row>
    <x:row r="89" ht="44" customHeight="1">
      <x:c r="A89" s="11" t="str">
        <x:v>NATIVE-017</x:v>
      </x:c>
      <x:c r="B89" s="11" t="str">
        <x:v>L2</x:v>
      </x:c>
      <x:c r="C89" s="11" t="str">
        <x:v>命名与目录</x:v>
      </x:c>
      <x:c r="D89" s="11" t="str">
        <x:v>文件与目录删除（原版）</x:v>
      </x:c>
      <x:c r="E89" s="11" t="str">
        <x:v>B Windows / WinFsp</x:v>
      </x:c>
      <x:c r="F89" s="11" t="str">
        <x:v>已通过</x:v>
      </x:c>
      <x:c r="G89" s="11" t="str">
        <x:v>本地后端 JuiceFS 同步／后台；NTFS 与直连结果在历史执行明细</x:v>
      </x:c>
      <x:c r="H89" s="11" t="str">
        <x:v>原版 WinFsp 2.1 外部模式的全部启用断言；与 NTFS 对照核对差异</x:v>
      </x:c>
      <x:c r="I89" s="11" t="str">
        <x:v>delete_test</x:v>
      </x:c>
      <x:c r="J89" s="11" t="str">
        <x:v>E09；S06；S07</x:v>
      </x:c>
      <x:c r="K89" s="11" t="str">
        <x:v>参数化用例</x:v>
      </x:c>
      <x:c r="L89" s="11" t="str">
        <x:v>2026-10-10 历史结果；当前构建及三网盘尚未按严格配置复测。</x:v>
      </x:c>
      <x:c r="M89" s="11" t="str">
        <x:v>WinFsp tests 2.1.25156；--external --resilient +*</x:v>
      </x:c>
      <x:c r="N89" s="11" t="str">
        <x:v>Windows 完整语义目标；失败不自动排除</x:v>
      </x:c>
      <x:c r="O89" s="11" t="str">
        <x:v>本轮未复测</x:v>
      </x:c>
      <x:c r="P89" s="11" t="str">
        <x:v>原版外部套件</x:v>
      </x:c>
    </x:row>
    <x:row r="90" ht="44" customHeight="1">
      <x:c r="A90" s="10" t="str">
        <x:v>NATIVE-023</x:v>
      </x:c>
      <x:c r="B90" s="10" t="str">
        <x:v>L2</x:v>
      </x:c>
      <x:c r="C90" s="10" t="str">
        <x:v>命名与目录</x:v>
      </x:c>
      <x:c r="D90" s="10" t="str">
        <x:v>重命名（原版）</x:v>
      </x:c>
      <x:c r="E90" s="10" t="str">
        <x:v>B Windows / WinFsp</x:v>
      </x:c>
      <x:c r="F90" s="10" t="str">
        <x:v>已通过</x:v>
      </x:c>
      <x:c r="G90" s="10" t="str">
        <x:v>本地后端 JuiceFS 同步／后台；NTFS 与直连结果在历史执行明细</x:v>
      </x:c>
      <x:c r="H90" s="10" t="str">
        <x:v>原版 WinFsp 2.1 外部模式的全部启用断言；与 NTFS 对照核对差异</x:v>
      </x:c>
      <x:c r="I90" s="10" t="str">
        <x:v>rename_test</x:v>
      </x:c>
      <x:c r="J90" s="10" t="str">
        <x:v>E09；S06；S07</x:v>
      </x:c>
      <x:c r="K90" s="10" t="str">
        <x:v>参数化用例</x:v>
      </x:c>
      <x:c r="L90" s="10" t="str">
        <x:v>2026-10-10 历史结果；当前构建及三网盘尚未按严格配置复测。</x:v>
      </x:c>
      <x:c r="M90" s="10" t="str">
        <x:v>WinFsp tests 2.1.25156；--external --resilient +*</x:v>
      </x:c>
      <x:c r="N90" s="10" t="str">
        <x:v>Windows 完整语义目标；失败不自动排除</x:v>
      </x:c>
      <x:c r="O90" s="10" t="str">
        <x:v>本轮未复测</x:v>
      </x:c>
      <x:c r="P90" s="10" t="str">
        <x:v>原版外部套件</x:v>
      </x:c>
    </x:row>
    <x:row r="91" ht="44" customHeight="1">
      <x:c r="A91" s="11" t="str">
        <x:v>NATIVE-027</x:v>
      </x:c>
      <x:c r="B91" s="11" t="str">
        <x:v>L2</x:v>
      </x:c>
      <x:c r="C91" s="11" t="str">
        <x:v>命名与目录</x:v>
      </x:c>
      <x:c r="D91" s="11" t="str">
        <x:v>反复重命名（原版）</x:v>
      </x:c>
      <x:c r="E91" s="11" t="str">
        <x:v>B Windows / WinFsp</x:v>
      </x:c>
      <x:c r="F91" s="11" t="str">
        <x:v>已通过</x:v>
      </x:c>
      <x:c r="G91" s="11" t="str">
        <x:v>本地后端 JuiceFS 同步／后台；NTFS 与直连结果在历史执行明细</x:v>
      </x:c>
      <x:c r="H91" s="11" t="str">
        <x:v>原版 WinFsp 2.1 外部模式的全部启用断言；与 NTFS 对照核对差异</x:v>
      </x:c>
      <x:c r="I91" s="11" t="str">
        <x:v>rename_flipflop_test</x:v>
      </x:c>
      <x:c r="J91" s="11" t="str">
        <x:v>E09；S06；S07</x:v>
      </x:c>
      <x:c r="K91" s="11" t="str">
        <x:v>参数化用例</x:v>
      </x:c>
      <x:c r="L91" s="11" t="str">
        <x:v>2026-10-10 历史结果；当前构建及三网盘尚未按严格配置复测。</x:v>
      </x:c>
      <x:c r="M91" s="11" t="str">
        <x:v>WinFsp tests 2.1.25156；--external --resilient +*</x:v>
      </x:c>
      <x:c r="N91" s="11" t="str">
        <x:v>Windows 完整语义目标；失败不自动排除</x:v>
      </x:c>
      <x:c r="O91" s="11" t="str">
        <x:v>本轮未复测</x:v>
      </x:c>
      <x:c r="P91" s="11" t="str">
        <x:v>原版外部套件</x:v>
      </x:c>
    </x:row>
    <x:row r="92" ht="44" customHeight="1">
      <x:c r="A92" s="10" t="str">
        <x:v>NATIVE-052</x:v>
      </x:c>
      <x:c r="B92" s="10" t="str">
        <x:v>L2</x:v>
      </x:c>
      <x:c r="C92" s="10" t="str">
        <x:v>命名与目录</x:v>
      </x:c>
      <x:c r="D92" s="10" t="str">
        <x:v>目录查询（原版）</x:v>
      </x:c>
      <x:c r="E92" s="10" t="str">
        <x:v>B Windows / WinFsp</x:v>
      </x:c>
      <x:c r="F92" s="10" t="str">
        <x:v>已通过</x:v>
      </x:c>
      <x:c r="G92" s="10" t="str">
        <x:v>本地后端 JuiceFS 同步／后台；NTFS 与直连结果在历史执行明细</x:v>
      </x:c>
      <x:c r="H92" s="10" t="str">
        <x:v>原版 WinFsp 2.1 外部模式的全部启用断言；与 NTFS 对照核对差异</x:v>
      </x:c>
      <x:c r="I92" s="10" t="str">
        <x:v>querydir_test</x:v>
      </x:c>
      <x:c r="J92" s="10" t="str">
        <x:v>E09；S06；S07</x:v>
      </x:c>
      <x:c r="K92" s="10" t="str">
        <x:v>参数化用例</x:v>
      </x:c>
      <x:c r="L92" s="10" t="str">
        <x:v>2026-10-10 历史结果；当前构建及三网盘尚未按严格配置复测。</x:v>
      </x:c>
      <x:c r="M92" s="10" t="str">
        <x:v>WinFsp tests 2.1.25156；--external --resilient +*</x:v>
      </x:c>
      <x:c r="N92" s="10" t="str">
        <x:v>Windows 完整语义目标；失败不自动排除</x:v>
      </x:c>
      <x:c r="O92" s="10" t="str">
        <x:v>本轮未复测</x:v>
      </x:c>
      <x:c r="P92" s="10" t="str">
        <x:v>原版外部套件</x:v>
      </x:c>
    </x:row>
    <x:row r="93" ht="44" customHeight="1">
      <x:c r="A93" s="11" t="str">
        <x:v>NATIVE-053</x:v>
      </x:c>
      <x:c r="B93" s="11" t="str">
        <x:v>L2</x:v>
      </x:c>
      <x:c r="C93" s="11" t="str">
        <x:v>命名与目录</x:v>
      </x:c>
      <x:c r="D93" s="11" t="str">
        <x:v>目录枚举无重复（原版）</x:v>
      </x:c>
      <x:c r="E93" s="11" t="str">
        <x:v>B Windows / WinFsp</x:v>
      </x:c>
      <x:c r="F93" s="11" t="str">
        <x:v>已通过</x:v>
      </x:c>
      <x:c r="G93" s="11" t="str">
        <x:v>本地后端 JuiceFS 同步／后台；NTFS 与直连结果在历史执行明细</x:v>
      </x:c>
      <x:c r="H93" s="11" t="str">
        <x:v>原版 WinFsp 2.1 外部模式的全部启用断言；与 NTFS 对照核对差异</x:v>
      </x:c>
      <x:c r="I93" s="11" t="str">
        <x:v>querydir_nodup_test</x:v>
      </x:c>
      <x:c r="J93" s="11" t="str">
        <x:v>E09；S06；S07</x:v>
      </x:c>
      <x:c r="K93" s="11" t="str">
        <x:v>参数化用例</x:v>
      </x:c>
      <x:c r="L93" s="11" t="str">
        <x:v>2026-10-10 历史结果；当前构建及三网盘尚未按严格配置复测。</x:v>
      </x:c>
      <x:c r="M93" s="11" t="str">
        <x:v>WinFsp tests 2.1.25156；--external --resilient +*</x:v>
      </x:c>
      <x:c r="N93" s="11" t="str">
        <x:v>Windows 完整语义目标；失败不自动排除</x:v>
      </x:c>
      <x:c r="O93" s="11" t="str">
        <x:v>本轮未复测</x:v>
      </x:c>
      <x:c r="P93" s="11" t="str">
        <x:v>原版外部套件</x:v>
      </x:c>
    </x:row>
    <x:row r="94" ht="44" customHeight="1">
      <x:c r="A94" s="10" t="str">
        <x:v>NATIVE-054</x:v>
      </x:c>
      <x:c r="B94" s="10" t="str">
        <x:v>L2</x:v>
      </x:c>
      <x:c r="C94" s="10" t="str">
        <x:v>命名与目录</x:v>
      </x:c>
      <x:c r="D94" s="10" t="str">
        <x:v>单条目录枚举（原版）</x:v>
      </x:c>
      <x:c r="E94" s="10" t="str">
        <x:v>B Windows / WinFsp</x:v>
      </x:c>
      <x:c r="F94" s="10" t="str">
        <x:v>已通过</x:v>
      </x:c>
      <x:c r="G94" s="10" t="str">
        <x:v>本地后端 JuiceFS 同步／后台；NTFS 与直连结果在历史执行明细</x:v>
      </x:c>
      <x:c r="H94" s="10" t="str">
        <x:v>原版 WinFsp 2.1 外部模式的全部启用断言；与 NTFS 对照核对差异</x:v>
      </x:c>
      <x:c r="I94" s="10" t="str">
        <x:v>querydir_single_test</x:v>
      </x:c>
      <x:c r="J94" s="10" t="str">
        <x:v>E09；S06；S07</x:v>
      </x:c>
      <x:c r="K94" s="10" t="str">
        <x:v>参数化用例</x:v>
      </x:c>
      <x:c r="L94" s="10" t="str">
        <x:v>2026-10-10 历史结果；当前构建及三网盘尚未按严格配置复测。</x:v>
      </x:c>
      <x:c r="M94" s="10" t="str">
        <x:v>WinFsp tests 2.1.25156；--external --resilient +*</x:v>
      </x:c>
      <x:c r="N94" s="10" t="str">
        <x:v>Windows 完整语义目标；失败不自动排除</x:v>
      </x:c>
      <x:c r="O94" s="10" t="str">
        <x:v>本轮未复测</x:v>
      </x:c>
      <x:c r="P94" s="10" t="str">
        <x:v>原版外部套件</x:v>
      </x:c>
    </x:row>
    <x:row r="95" ht="44" customHeight="1">
      <x:c r="A95" s="11" t="str">
        <x:v>NATIVE-097</x:v>
      </x:c>
      <x:c r="B95" s="11" t="str">
        <x:v>L2</x:v>
      </x:c>
      <x:c r="C95" s="11" t="str">
        <x:v>命名与目录</x:v>
      </x:c>
      <x:c r="D95" s="11" t="str">
        <x:v>目录创建与删除（原版）</x:v>
      </x:c>
      <x:c r="E95" s="11" t="str">
        <x:v>B Windows / WinFsp</x:v>
      </x:c>
      <x:c r="F95" s="11" t="str">
        <x:v>已通过</x:v>
      </x:c>
      <x:c r="G95" s="11" t="str">
        <x:v>本地后端 JuiceFS 同步／后台；NTFS 与直连结果在历史执行明细</x:v>
      </x:c>
      <x:c r="H95" s="11" t="str">
        <x:v>CreateDirectory / RemoveDirectory</x:v>
      </x:c>
      <x:c r="I95" s="11" t="str">
        <x:v>winfstest-base/02.t</x:v>
      </x:c>
      <x:c r="J95" s="11" t="str">
        <x:v>E09；S06；S07</x:v>
      </x:c>
      <x:c r="K95" s="11" t="str">
        <x:v>脚本组</x:v>
      </x:c>
      <x:c r="L95" s="11" t="str">
        <x:v>2026-10-10 历史结果；当前构建及三网盘尚未按严格配置复测。</x:v>
      </x:c>
      <x:c r="M95" s="11" t="str">
        <x:v>secfs.test 6ac65cda46abc2be39c7b137debf9521052edbaf</x:v>
      </x:c>
      <x:c r="N95" s="11" t="str">
        <x:v>Windows 完整语义目标；失败不自动排除</x:v>
      </x:c>
      <x:c r="O95" s="11" t="str">
        <x:v>本轮未复测</x:v>
      </x:c>
      <x:c r="P95" s="11" t="str">
        <x:v>原版外部套件</x:v>
      </x:c>
    </x:row>
    <x:row r="96" ht="44" customHeight="1">
      <x:c r="A96" s="10" t="str">
        <x:v>NATIVE-098</x:v>
      </x:c>
      <x:c r="B96" s="10" t="str">
        <x:v>L2</x:v>
      </x:c>
      <x:c r="C96" s="10" t="str">
        <x:v>命名与目录</x:v>
      </x:c>
      <x:c r="D96" s="10" t="str">
        <x:v>目录文件枚举（原版）</x:v>
      </x:c>
      <x:c r="E96" s="10" t="str">
        <x:v>B Windows / WinFsp</x:v>
      </x:c>
      <x:c r="F96" s="10" t="str">
        <x:v>已通过</x:v>
      </x:c>
      <x:c r="G96" s="10" t="str">
        <x:v>本地后端 JuiceFS 同步／后台；NTFS 与直连结果在历史执行明细</x:v>
      </x:c>
      <x:c r="H96" s="10" t="str">
        <x:v>FindFirstFile / FindNextFile / FindClose</x:v>
      </x:c>
      <x:c r="I96" s="10" t="str">
        <x:v>winfstest-base/03.t</x:v>
      </x:c>
      <x:c r="J96" s="10" t="str">
        <x:v>E09；S06；S07</x:v>
      </x:c>
      <x:c r="K96" s="10" t="str">
        <x:v>脚本组</x:v>
      </x:c>
      <x:c r="L96" s="10" t="str">
        <x:v>2026-10-10 历史结果；当前构建及三网盘尚未按严格配置复测。</x:v>
      </x:c>
      <x:c r="M96" s="10" t="str">
        <x:v>secfs.test 6ac65cda46abc2be39c7b137debf9521052edbaf</x:v>
      </x:c>
      <x:c r="N96" s="10" t="str">
        <x:v>Windows 完整语义目标；失败不自动排除</x:v>
      </x:c>
      <x:c r="O96" s="10" t="str">
        <x:v>本轮未复测</x:v>
      </x:c>
      <x:c r="P96" s="10" t="str">
        <x:v>原版外部套件</x:v>
      </x:c>
    </x:row>
    <x:row r="97" ht="44" customHeight="1">
      <x:c r="A97" s="11" t="str">
        <x:v>NATIVE-099</x:v>
      </x:c>
      <x:c r="B97" s="11" t="str">
        <x:v>L2</x:v>
      </x:c>
      <x:c r="C97" s="11" t="str">
        <x:v>命名与目录</x:v>
      </x:c>
      <x:c r="D97" s="11" t="str">
        <x:v>文件移动与替换（原版）</x:v>
      </x:c>
      <x:c r="E97" s="11" t="str">
        <x:v>B Windows / WinFsp</x:v>
      </x:c>
      <x:c r="F97" s="11" t="str">
        <x:v>已通过</x:v>
      </x:c>
      <x:c r="G97" s="11" t="str">
        <x:v>本地后端 JuiceFS 同步／后台；NTFS 与直连结果在历史执行明细</x:v>
      </x:c>
      <x:c r="H97" s="11" t="str">
        <x:v>MoveFileEx</x:v>
      </x:c>
      <x:c r="I97" s="11" t="str">
        <x:v>winfstest-base/04.t</x:v>
      </x:c>
      <x:c r="J97" s="11" t="str">
        <x:v>E09；S06；S07</x:v>
      </x:c>
      <x:c r="K97" s="11" t="str">
        <x:v>脚本组</x:v>
      </x:c>
      <x:c r="L97" s="11" t="str">
        <x:v>2026-10-10 历史结果；当前构建及三网盘尚未按严格配置复测。</x:v>
      </x:c>
      <x:c r="M97" s="11" t="str">
        <x:v>secfs.test 6ac65cda46abc2be39c7b137debf9521052edbaf</x:v>
      </x:c>
      <x:c r="N97" s="11" t="str">
        <x:v>Windows 完整语义目标；失败不自动排除</x:v>
      </x:c>
      <x:c r="O97" s="11" t="str">
        <x:v>本轮未复测</x:v>
      </x:c>
      <x:c r="P97" s="11" t="str">
        <x:v>原版外部套件</x:v>
      </x:c>
    </x:row>
    <x:row r="98" ht="44" customHeight="1">
      <x:c r="A98" s="10" t="str">
        <x:v>PLAN-014</x:v>
      </x:c>
      <x:c r="B98" s="10" t="str">
        <x:v>L2</x:v>
      </x:c>
      <x:c r="C98" s="10" t="str">
        <x:v>命名与目录</x:v>
      </x:c>
      <x:c r="D98" s="10" t="str">
        <x:v>名称与路径长度边界</x:v>
      </x:c>
      <x:c r="E98" s="10" t="str">
        <x:v>C 项目补充</x:v>
      </x:c>
      <x:c r="F98" s="10" t="str">
        <x:v>待补充</x:v>
      </x:c>
      <x:c r="G98" s="10" t="str">
        <x:v>Windows 支持配置；本地和网盘</x:v>
      </x:c>
      <x:c r="H98" s="10" t="str">
        <x:v>最大长度附近、Unicode 边界、保留名称的成功/失败语义明确</x:v>
      </x:c>
      <x:c r="I98" s="10" t="str">
        <x:v>拟补充场景；未记录可执行完整用例</x:v>
      </x:c>
      <x:c r="J98" s="10" t="str">
        <x:v>需求缺口分析；无通过证据</x:v>
      </x:c>
      <x:c r="K98" s="10" t="str">
        <x:v>待细化场景</x:v>
      </x:c>
      <x:c r="L98" s="10" t="str">
        <x:v>现有十层目录不代表超过传统路径上限已验证</x:v>
      </x:c>
      <x:c r="M98" s="10" t="str">
        <x:v>项目代码与参数见对应证据</x:v>
      </x:c>
      <x:c r="N98" s="10" t="str">
        <x:v>Windows 单机产品；按已测范围解释</x:v>
      </x:c>
      <x:c r="O98" s="10" t="str">
        <x:v>本轮仅补充矩阵，未复测</x:v>
      </x:c>
      <x:c r="P98" s="10" t="str">
        <x:v>项目场景</x:v>
      </x:c>
    </x:row>
    <x:row r="99" ht="44" customHeight="1">
      <x:c r="A99" s="11" t="str">
        <x:v>WFP-10</x:v>
      </x:c>
      <x:c r="B99" s="11" t="str">
        <x:v>L2</x:v>
      </x:c>
      <x:c r="C99" s="11" t="str">
        <x:v>命名与目录</x:v>
      </x:c>
      <x:c r="D99" s="11" t="str">
        <x:v>文件与目录删除</x:v>
      </x:c>
      <x:c r="E99" s="11" t="str">
        <x:v>B Windows / WinFsp</x:v>
      </x:c>
      <x:c r="F99" s="11" t="str">
        <x:v>已通过</x:v>
      </x:c>
      <x:c r="G99" s="11" t="str">
        <x:v>本地、百度、Google、OneDrive；同步/后台，共 8 组</x:v>
      </x:c>
      <x:c r="H99" s="11" t="str">
        <x:v>该用例在官方 FUSE 兼容参数下通过；断言范围以原用例为准</x:v>
      </x:c>
      <x:c r="I99" s="11" t="str">
        <x:v>delete_test</x:v>
      </x:c>
      <x:c r="J99" s="11" t="str">
        <x:v>E01；S04</x:v>
      </x:c>
      <x:c r="K99" s="11" t="str">
        <x:v>用例</x:v>
      </x:c>
      <x:c r="L99" s="11" t="str">
        <x:v>--fuse-external --resilient --case-insensitive-cmp；不代表全部 NTFS 语义</x:v>
      </x:c>
      <x:c r="M99" s="11" t="str">
        <x:v>juicedata/winfsp testing_suit_20250324；默认 FUSE 参数</x:v>
      </x:c>
      <x:c r="N99" s="11" t="str">
        <x:v>Windows 单机产品；按已测范围解释</x:v>
      </x:c>
      <x:c r="O99" s="11" t="str">
        <x:v>本轮仅补充矩阵，未复测</x:v>
      </x:c>
      <x:c r="P99" s="11" t="str">
        <x:v>JuiceFS fork 外部</x:v>
      </x:c>
    </x:row>
    <x:row r="100" ht="44" customHeight="1">
      <x:c r="A100" s="10" t="str">
        <x:v>WFP-16</x:v>
      </x:c>
      <x:c r="B100" s="10" t="str">
        <x:v>L2</x:v>
      </x:c>
      <x:c r="C100" s="10" t="str">
        <x:v>命名与目录</x:v>
      </x:c>
      <x:c r="D100" s="10" t="str">
        <x:v>重命名</x:v>
      </x:c>
      <x:c r="E100" s="10" t="str">
        <x:v>B Windows / WinFsp</x:v>
      </x:c>
      <x:c r="F100" s="10" t="str">
        <x:v>已通过</x:v>
      </x:c>
      <x:c r="G100" s="10" t="str">
        <x:v>本地、百度、Google、OneDrive；同步/后台，共 8 组</x:v>
      </x:c>
      <x:c r="H100" s="10" t="str">
        <x:v>该用例在官方 FUSE 兼容参数下通过；断言范围以原用例为准</x:v>
      </x:c>
      <x:c r="I100" s="10" t="str">
        <x:v>rename_test</x:v>
      </x:c>
      <x:c r="J100" s="10" t="str">
        <x:v>E01；S04</x:v>
      </x:c>
      <x:c r="K100" s="10" t="str">
        <x:v>用例</x:v>
      </x:c>
      <x:c r="L100" s="10" t="str">
        <x:v>--fuse-external --resilient --case-insensitive-cmp；不代表全部 NTFS 语义</x:v>
      </x:c>
      <x:c r="M100" s="10" t="str">
        <x:v>juicedata/winfsp testing_suit_20250324；默认 FUSE 参数</x:v>
      </x:c>
      <x:c r="N100" s="10" t="str">
        <x:v>Windows 单机产品；按已测范围解释</x:v>
      </x:c>
      <x:c r="O100" s="10" t="str">
        <x:v>本轮仅补充矩阵，未复测</x:v>
      </x:c>
      <x:c r="P100" s="10" t="str">
        <x:v>JuiceFS fork 外部</x:v>
      </x:c>
    </x:row>
    <x:row r="101" ht="44" customHeight="1">
      <x:c r="A101" s="11" t="str">
        <x:v>WFP-20</x:v>
      </x:c>
      <x:c r="B101" s="11" t="str">
        <x:v>L2</x:v>
      </x:c>
      <x:c r="C101" s="11" t="str">
        <x:v>命名与目录</x:v>
      </x:c>
      <x:c r="D101" s="11" t="str">
        <x:v>反复重命名</x:v>
      </x:c>
      <x:c r="E101" s="11" t="str">
        <x:v>B Windows / WinFsp</x:v>
      </x:c>
      <x:c r="F101" s="11" t="str">
        <x:v>已通过</x:v>
      </x:c>
      <x:c r="G101" s="11" t="str">
        <x:v>本地、百度、Google、OneDrive；同步/后台，共 8 组</x:v>
      </x:c>
      <x:c r="H101" s="11" t="str">
        <x:v>该用例在官方 FUSE 兼容参数下通过；断言范围以原用例为准</x:v>
      </x:c>
      <x:c r="I101" s="11" t="str">
        <x:v>rename_flipflop_test</x:v>
      </x:c>
      <x:c r="J101" s="11" t="str">
        <x:v>E01；S04</x:v>
      </x:c>
      <x:c r="K101" s="11" t="str">
        <x:v>用例</x:v>
      </x:c>
      <x:c r="L101" s="11" t="str">
        <x:v>--fuse-external --resilient --case-insensitive-cmp；不代表全部 NTFS 语义</x:v>
      </x:c>
      <x:c r="M101" s="11" t="str">
        <x:v>juicedata/winfsp testing_suit_20250324；默认 FUSE 参数</x:v>
      </x:c>
      <x:c r="N101" s="11" t="str">
        <x:v>Windows 单机产品；按已测范围解释</x:v>
      </x:c>
      <x:c r="O101" s="11" t="str">
        <x:v>本轮仅补充矩阵，未复测</x:v>
      </x:c>
      <x:c r="P101" s="11" t="str">
        <x:v>JuiceFS fork 外部</x:v>
      </x:c>
    </x:row>
    <x:row r="102" ht="44" customHeight="1">
      <x:c r="A102" s="10" t="str">
        <x:v>WFP-43</x:v>
      </x:c>
      <x:c r="B102" s="10" t="str">
        <x:v>L2</x:v>
      </x:c>
      <x:c r="C102" s="10" t="str">
        <x:v>命名与目录</x:v>
      </x:c>
      <x:c r="D102" s="10" t="str">
        <x:v>目录查询</x:v>
      </x:c>
      <x:c r="E102" s="10" t="str">
        <x:v>B Windows / WinFsp</x:v>
      </x:c>
      <x:c r="F102" s="10" t="str">
        <x:v>已通过</x:v>
      </x:c>
      <x:c r="G102" s="10" t="str">
        <x:v>本地、百度、Google、OneDrive；同步/后台，共 8 组</x:v>
      </x:c>
      <x:c r="H102" s="10" t="str">
        <x:v>该用例在官方 FUSE 兼容参数下通过；断言范围以原用例为准</x:v>
      </x:c>
      <x:c r="I102" s="10" t="str">
        <x:v>querydir_test</x:v>
      </x:c>
      <x:c r="J102" s="10" t="str">
        <x:v>E01；S04</x:v>
      </x:c>
      <x:c r="K102" s="10" t="str">
        <x:v>用例</x:v>
      </x:c>
      <x:c r="L102" s="10" t="str">
        <x:v>--fuse-external --resilient --case-insensitive-cmp；不代表全部 NTFS 语义</x:v>
      </x:c>
      <x:c r="M102" s="10" t="str">
        <x:v>juicedata/winfsp testing_suit_20250324；默认 FUSE 参数</x:v>
      </x:c>
      <x:c r="N102" s="10" t="str">
        <x:v>Windows 单机产品；按已测范围解释</x:v>
      </x:c>
      <x:c r="O102" s="10" t="str">
        <x:v>本轮仅补充矩阵，未复测</x:v>
      </x:c>
      <x:c r="P102" s="10" t="str">
        <x:v>JuiceFS fork 外部</x:v>
      </x:c>
    </x:row>
    <x:row r="103" ht="44" customHeight="1">
      <x:c r="A103" s="11" t="str">
        <x:v>WFP-OPT-04</x:v>
      </x:c>
      <x:c r="B103" s="11" t="str">
        <x:v>L2</x:v>
      </x:c>
      <x:c r="C103" s="11" t="str">
        <x:v>命名与目录</x:v>
      </x:c>
      <x:c r="D103" s="11" t="str">
        <x:v>查询规范化文件名（JuiceFS fork）</x:v>
      </x:c>
      <x:c r="E103" s="11" t="str">
        <x:v>B Windows / WinFsp</x:v>
      </x:c>
      <x:c r="F103" s="11" t="str">
        <x:v>待执行</x:v>
      </x:c>
      <x:c r="G103" s="11" t="str">
        <x:v>JuiceFS 测试包全部外部模式；此版本无逐项执行证据</x:v>
      </x:c>
      <x:c r="H103" s="11" t="str">
        <x:v>保留该测试包断言；原版同名结果不能转记为此包通过</x:v>
      </x:c>
      <x:c r="I103" s="11" t="str">
        <x:v>getfileinfo_name_test</x:v>
      </x:c>
      <x:c r="J103" s="11" t="str">
        <x:v>S04；E10</x:v>
      </x:c>
      <x:c r="K103" s="11" t="str">
        <x:v>用例</x:v>
      </x:c>
      <x:c r="L103" s="11" t="str">
        <x:v>已完整登记；原版同名入口见 NATIVE-015，执行版本和参数不同</x:v>
      </x:c>
      <x:c r="M103" s="11" t="str">
        <x:v>juicedata/winfsp testing_suit_20250324；--external --resilient +*</x:v>
      </x:c>
      <x:c r="N103" s="11" t="str">
        <x:v>Windows 语义补测</x:v>
      </x:c>
      <x:c r="O103" s="11" t="str">
        <x:v>未执行该版本入口</x:v>
      </x:c>
      <x:c r="P103" s="11" t="str">
        <x:v>JuiceFS fork 外部</x:v>
      </x:c>
    </x:row>
    <x:row r="104" ht="44" customHeight="1">
      <x:c r="A104" s="10" t="str">
        <x:v>WFP-OPT-07</x:v>
      </x:c>
      <x:c r="B104" s="10" t="str">
        <x:v>L2</x:v>
      </x:c>
      <x:c r="C104" s="10" t="str">
        <x:v>命名与目录</x:v>
      </x:c>
      <x:c r="D104" s="10" t="str">
        <x:v>目录枚举无重复（JuiceFS fork）</x:v>
      </x:c>
      <x:c r="E104" s="10" t="str">
        <x:v>B Windows / WinFsp</x:v>
      </x:c>
      <x:c r="F104" s="10" t="str">
        <x:v>待执行</x:v>
      </x:c>
      <x:c r="G104" s="10" t="str">
        <x:v>JuiceFS 测试包全部外部模式；此版本无逐项执行证据</x:v>
      </x:c>
      <x:c r="H104" s="10" t="str">
        <x:v>保留该测试包断言；原版同名结果不能转记为此包通过</x:v>
      </x:c>
      <x:c r="I104" s="10" t="str">
        <x:v>querydir_nodup_test</x:v>
      </x:c>
      <x:c r="J104" s="10" t="str">
        <x:v>S04；E10</x:v>
      </x:c>
      <x:c r="K104" s="10" t="str">
        <x:v>用例</x:v>
      </x:c>
      <x:c r="L104" s="10" t="str">
        <x:v>已完整登记；原版同名入口见 NATIVE-053，执行版本和参数不同</x:v>
      </x:c>
      <x:c r="M104" s="10" t="str">
        <x:v>juicedata/winfsp testing_suit_20250324；--external --resilient +*</x:v>
      </x:c>
      <x:c r="N104" s="10" t="str">
        <x:v>Windows 语义补测</x:v>
      </x:c>
      <x:c r="O104" s="10" t="str">
        <x:v>未执行该版本入口</x:v>
      </x:c>
      <x:c r="P104" s="10" t="str">
        <x:v>JuiceFS fork 外部</x:v>
      </x:c>
    </x:row>
    <x:row r="105" ht="44" customHeight="1">
      <x:c r="A105" s="11" t="str">
        <x:v>WFP-OPT-08</x:v>
      </x:c>
      <x:c r="B105" s="11" t="str">
        <x:v>L2</x:v>
      </x:c>
      <x:c r="C105" s="11" t="str">
        <x:v>命名与目录</x:v>
      </x:c>
      <x:c r="D105" s="11" t="str">
        <x:v>单条目录枚举（JuiceFS fork）</x:v>
      </x:c>
      <x:c r="E105" s="11" t="str">
        <x:v>B Windows / WinFsp</x:v>
      </x:c>
      <x:c r="F105" s="11" t="str">
        <x:v>待执行</x:v>
      </x:c>
      <x:c r="G105" s="11" t="str">
        <x:v>JuiceFS 测试包全部外部模式；此版本无逐项执行证据</x:v>
      </x:c>
      <x:c r="H105" s="11" t="str">
        <x:v>保留该测试包断言；原版同名结果不能转记为此包通过</x:v>
      </x:c>
      <x:c r="I105" s="11" t="str">
        <x:v>querydir_single_test</x:v>
      </x:c>
      <x:c r="J105" s="11" t="str">
        <x:v>S04；E10</x:v>
      </x:c>
      <x:c r="K105" s="11" t="str">
        <x:v>用例</x:v>
      </x:c>
      <x:c r="L105" s="11" t="str">
        <x:v>已完整登记；原版同名入口见 NATIVE-054，执行版本和参数不同</x:v>
      </x:c>
      <x:c r="M105" s="11" t="str">
        <x:v>juicedata/winfsp testing_suit_20250324；--external --resilient +*</x:v>
      </x:c>
      <x:c r="N105" s="11" t="str">
        <x:v>Windows 语义补测</x:v>
      </x:c>
      <x:c r="O105" s="11" t="str">
        <x:v>未执行该版本入口</x:v>
      </x:c>
      <x:c r="P105" s="11" t="str">
        <x:v>JuiceFS fork 外部</x:v>
      </x:c>
    </x:row>
    <x:row r="106" ht="44" customHeight="1">
      <x:c r="A106" s="10" t="str">
        <x:v>WFT-02</x:v>
      </x:c>
      <x:c r="B106" s="10" t="str">
        <x:v>L2</x:v>
      </x:c>
      <x:c r="C106" s="10" t="str">
        <x:v>命名与目录</x:v>
      </x:c>
      <x:c r="D106" s="10" t="str">
        <x:v>目录创建与删除</x:v>
      </x:c>
      <x:c r="E106" s="10" t="str">
        <x:v>B Windows / WinFsp</x:v>
      </x:c>
      <x:c r="F106" s="10" t="str">
        <x:v>已通过</x:v>
      </x:c>
      <x:c r="G106" s="10" t="str">
        <x:v>本地、百度、Google、OneDrive；同步/后台，共 8 组</x:v>
      </x:c>
      <x:c r="H106" s="10" t="str">
        <x:v>CreateDirectory / RemoveDirectory；按保留的已启用断言验证</x:v>
      </x:c>
      <x:c r="I106" s="10" t="str">
        <x:v>winfstest t/base/02.t</x:v>
      </x:c>
      <x:c r="J106" s="10" t="str">
        <x:v>E01；S03</x:v>
      </x:c>
      <x:c r="K106" s="10" t="str">
        <x:v>脚本组</x:v>
      </x:c>
      <x:c r="L106" s="10" t="str">
        <x:v>11 脚本合计 152 断言；已注释断言不算覆盖</x:v>
      </x:c>
      <x:c r="M106" s="10" t="str">
        <x:v>juicedata/winfstest testing_20250313</x:v>
      </x:c>
      <x:c r="N106" s="10" t="str">
        <x:v>Windows 单机产品；按已测范围解释</x:v>
      </x:c>
      <x:c r="O106" s="10" t="str">
        <x:v>本轮仅补充矩阵，未复测</x:v>
      </x:c>
      <x:c r="P106" s="10" t="str">
        <x:v>JuiceFS fork 脚本</x:v>
      </x:c>
    </x:row>
    <x:row r="107" ht="44" customHeight="1">
      <x:c r="A107" s="11" t="str">
        <x:v>WFT-03</x:v>
      </x:c>
      <x:c r="B107" s="11" t="str">
        <x:v>L2</x:v>
      </x:c>
      <x:c r="C107" s="11" t="str">
        <x:v>命名与目录</x:v>
      </x:c>
      <x:c r="D107" s="11" t="str">
        <x:v>目录文件枚举</x:v>
      </x:c>
      <x:c r="E107" s="11" t="str">
        <x:v>B Windows / WinFsp</x:v>
      </x:c>
      <x:c r="F107" s="11" t="str">
        <x:v>已通过</x:v>
      </x:c>
      <x:c r="G107" s="11" t="str">
        <x:v>本地、百度、Google、OneDrive；同步/后台，共 8 组</x:v>
      </x:c>
      <x:c r="H107" s="11" t="str">
        <x:v>FindFirstFile / FindNextFile / FindClose；按保留的已启用断言验证</x:v>
      </x:c>
      <x:c r="I107" s="11" t="str">
        <x:v>winfstest t/base/03.t</x:v>
      </x:c>
      <x:c r="J107" s="11" t="str">
        <x:v>E01；S03</x:v>
      </x:c>
      <x:c r="K107" s="11" t="str">
        <x:v>脚本组</x:v>
      </x:c>
      <x:c r="L107" s="11" t="str">
        <x:v>11 脚本合计 152 断言；已注释断言不算覆盖</x:v>
      </x:c>
      <x:c r="M107" s="11" t="str">
        <x:v>juicedata/winfstest testing_20250313</x:v>
      </x:c>
      <x:c r="N107" s="11" t="str">
        <x:v>Windows 单机产品；按已测范围解释</x:v>
      </x:c>
      <x:c r="O107" s="11" t="str">
        <x:v>本轮仅补充矩阵，未复测</x:v>
      </x:c>
      <x:c r="P107" s="11" t="str">
        <x:v>JuiceFS fork 脚本</x:v>
      </x:c>
    </x:row>
    <x:row r="108" ht="44" customHeight="1">
      <x:c r="A108" s="10" t="str">
        <x:v>WFT-04</x:v>
      </x:c>
      <x:c r="B108" s="10" t="str">
        <x:v>L2</x:v>
      </x:c>
      <x:c r="C108" s="10" t="str">
        <x:v>命名与目录</x:v>
      </x:c>
      <x:c r="D108" s="10" t="str">
        <x:v>文件移动与替换</x:v>
      </x:c>
      <x:c r="E108" s="10" t="str">
        <x:v>B Windows / WinFsp</x:v>
      </x:c>
      <x:c r="F108" s="10" t="str">
        <x:v>已通过</x:v>
      </x:c>
      <x:c r="G108" s="10" t="str">
        <x:v>本地、百度、Google、OneDrive；同步/后台，共 8 组</x:v>
      </x:c>
      <x:c r="H108" s="10" t="str">
        <x:v>MoveFileEx；按保留的已启用断言验证</x:v>
      </x:c>
      <x:c r="I108" s="10" t="str">
        <x:v>winfstest t/base/04.t</x:v>
      </x:c>
      <x:c r="J108" s="10" t="str">
        <x:v>E01；S03</x:v>
      </x:c>
      <x:c r="K108" s="10" t="str">
        <x:v>脚本组</x:v>
      </x:c>
      <x:c r="L108" s="10" t="str">
        <x:v>11 脚本合计 152 断言；已注释断言不算覆盖</x:v>
      </x:c>
      <x:c r="M108" s="10" t="str">
        <x:v>juicedata/winfstest testing_20250313</x:v>
      </x:c>
      <x:c r="N108" s="10" t="str">
        <x:v>Windows 单机产品；按已测范围解释</x:v>
      </x:c>
      <x:c r="O108" s="10" t="str">
        <x:v>本轮仅补充矩阵，未复测</x:v>
      </x:c>
      <x:c r="P108" s="10" t="str">
        <x:v>JuiceFS fork 脚本</x:v>
      </x:c>
    </x:row>
    <x:row r="109" ht="60" customHeight="1">
      <x:c r="A109" s="11" t="str">
        <x:v>NATIVE-005</x:v>
      </x:c>
      <x:c r="B109" s="11" t="str">
        <x:v>L2</x:v>
      </x:c>
      <x:c r="C109" s="11" t="str">
        <x:v>属性与权限</x:v>
      </x:c>
      <x:c r="D109" s="11" t="str">
        <x:v>创建时分配大小（原版）</x:v>
      </x:c>
      <x:c r="E109" s="11" t="str">
        <x:v>B Windows / WinFsp</x:v>
      </x:c>
      <x:c r="F109" s="11" t="str">
        <x:v>已失败</x:v>
      </x:c>
      <x:c r="G109" s="11" t="str">
        <x:v>本地后端 JuiceFS 同步／后台；NTFS 与直连结果在历史执行明细</x:v>
      </x:c>
      <x:c r="H109" s="11" t="str">
        <x:v>原版 WinFsp 2.1 外部模式的全部启用断言；与 NTFS 对照核对差异</x:v>
      </x:c>
      <x:c r="I109" s="11" t="str">
        <x:v>create_allocation_test</x:v>
      </x:c>
      <x:c r="J109" s="11" t="str">
        <x:v>E09；S06；S07</x:v>
      </x:c>
      <x:c r="K109" s="11" t="str">
        <x:v>参数化用例</x:v>
      </x:c>
      <x:c r="L109" s="11" t="str">
        <x:v>2026-10-10 历史结果；当前构建及三网盘尚未按严格配置复测。 ASSERT(65536 == StandardInfo.AllocationSize.QuadPart) failed at create-test.c:518:create_allocation_dotest (err=0:0)</x:v>
      </x:c>
      <x:c r="M109" s="11" t="str">
        <x:v>WinFsp tests 2.1.25156；--external --resilient +*</x:v>
      </x:c>
      <x:c r="N109" s="11" t="str">
        <x:v>Windows 完整语义目标；失败不自动排除</x:v>
      </x:c>
      <x:c r="O109" s="11" t="str">
        <x:v>本轮未复测</x:v>
      </x:c>
      <x:c r="P109" s="11" t="str">
        <x:v>原版外部套件</x:v>
      </x:c>
    </x:row>
    <x:row r="110" ht="44" customHeight="1">
      <x:c r="A110" s="10" t="str">
        <x:v>NATIVE-007</x:v>
      </x:c>
      <x:c r="B110" s="10" t="str">
        <x:v>L2</x:v>
      </x:c>
      <x:c r="C110" s="10" t="str">
        <x:v>属性与权限</x:v>
      </x:c>
      <x:c r="D110" s="10" t="str">
        <x:v>目录遍历权限（原版）</x:v>
      </x:c>
      <x:c r="E110" s="10" t="str">
        <x:v>B Windows / WinFsp</x:v>
      </x:c>
      <x:c r="F110" s="10" t="str">
        <x:v>已通过</x:v>
      </x:c>
      <x:c r="G110" s="10" t="str">
        <x:v>本地后端 JuiceFS 同步／后台；NTFS 与直连结果在历史执行明细</x:v>
      </x:c>
      <x:c r="H110" s="10" t="str">
        <x:v>原版 WinFsp 2.1 外部模式的全部启用断言；与 NTFS 对照核对差异</x:v>
      </x:c>
      <x:c r="I110" s="10" t="str">
        <x:v>create_notraverse_test</x:v>
      </x:c>
      <x:c r="J110" s="10" t="str">
        <x:v>E09；S06；S07</x:v>
      </x:c>
      <x:c r="K110" s="10" t="str">
        <x:v>参数化用例</x:v>
      </x:c>
      <x:c r="L110" s="10" t="str">
        <x:v>2026-10-10 历史结果；当前构建及三网盘尚未按严格配置复测。</x:v>
      </x:c>
      <x:c r="M110" s="10" t="str">
        <x:v>WinFsp tests 2.1.25156；--external --resilient +*</x:v>
      </x:c>
      <x:c r="N110" s="10" t="str">
        <x:v>Windows 完整语义目标；失败不自动排除</x:v>
      </x:c>
      <x:c r="O110" s="10" t="str">
        <x:v>本轮未复测</x:v>
      </x:c>
      <x:c r="P110" s="10" t="str">
        <x:v>原版外部套件</x:v>
      </x:c>
    </x:row>
    <x:row r="111" ht="60" customHeight="1">
      <x:c r="A111" s="11" t="str">
        <x:v>NATIVE-013</x:v>
      </x:c>
      <x:c r="B111" s="11" t="str">
        <x:v>L2</x:v>
      </x:c>
      <x:c r="C111" s="11" t="str">
        <x:v>属性与权限</x:v>
      </x:c>
      <x:c r="D111" s="11" t="str">
        <x:v>查询文件属性（原版）</x:v>
      </x:c>
      <x:c r="E111" s="11" t="str">
        <x:v>B Windows / WinFsp</x:v>
      </x:c>
      <x:c r="F111" s="11" t="str">
        <x:v>已失败</x:v>
      </x:c>
      <x:c r="G111" s="11" t="str">
        <x:v>本地后端 JuiceFS 同步／后台；NTFS 与直连结果在历史执行明细</x:v>
      </x:c>
      <x:c r="H111" s="11" t="str">
        <x:v>原版 WinFsp 2.1 外部模式的全部启用断言；与 NTFS 对照核对差异</x:v>
      </x:c>
      <x:c r="I111" s="11" t="str">
        <x:v>getfileattr_test</x:v>
      </x:c>
      <x:c r="J111" s="11" t="str">
        <x:v>E09；S06；S07</x:v>
      </x:c>
      <x:c r="K111" s="11" t="str">
        <x:v>参数化用例</x:v>
      </x:c>
      <x:c r="L111" s="11" t="str">
        <x:v>2026-10-10 历史结果；当前构建及三网盘尚未按严格配置复测。 ASSERT(INVALID_HANDLE_VALUE != Handle) failed at info-test.c:84:getfileattr_dotest (err=c0000022:5)</x:v>
      </x:c>
      <x:c r="M111" s="11" t="str">
        <x:v>WinFsp tests 2.1.25156；--external --resilient +*</x:v>
      </x:c>
      <x:c r="N111" s="11" t="str">
        <x:v>Windows 完整语义目标；失败不自动排除</x:v>
      </x:c>
      <x:c r="O111" s="11" t="str">
        <x:v>本轮未复测</x:v>
      </x:c>
      <x:c r="P111" s="11" t="str">
        <x:v>原版外部套件</x:v>
      </x:c>
    </x:row>
    <x:row r="112" ht="76" customHeight="1">
      <x:c r="A112" s="10" t="str">
        <x:v>NATIVE-014</x:v>
      </x:c>
      <x:c r="B112" s="10" t="str">
        <x:v>L2</x:v>
      </x:c>
      <x:c r="C112" s="10" t="str">
        <x:v>属性与权限</x:v>
      </x:c>
      <x:c r="D112" s="10" t="str">
        <x:v>查询文件信息（原版）</x:v>
      </x:c>
      <x:c r="E112" s="10" t="str">
        <x:v>B Windows / WinFsp</x:v>
      </x:c>
      <x:c r="F112" s="10" t="str">
        <x:v>已失败</x:v>
      </x:c>
      <x:c r="G112" s="10" t="str">
        <x:v>本地后端 JuiceFS 同步／后台；NTFS 与直连结果在历史执行明细</x:v>
      </x:c>
      <x:c r="H112" s="10" t="str">
        <x:v>原版 WinFsp 2.1 外部模式的全部启用断言；与 NTFS 对照核对差异</x:v>
      </x:c>
      <x:c r="I112" s="10" t="str">
        <x:v>getfileinfo_test</x:v>
      </x:c>
      <x:c r="J112" s="10" t="str">
        <x:v>E09；S06；S07</x:v>
      </x:c>
      <x:c r="K112" s="10" t="str">
        <x:v>参数化用例</x:v>
      </x:c>
      <x:c r="L112" s="10" t="str">
        <x:v>2026-10-10 历史结果；当前构建及三网盘尚未按严格配置复测。 ASSERT(PNameInfo-&gt;FileNameLength == wcslen(FilePath + 6) * sizeof(WCHAR)) failed at info-test.c:231:getfileinfo_dotest (err=80000005:234)</x:v>
      </x:c>
      <x:c r="M112" s="10" t="str">
        <x:v>WinFsp tests 2.1.25156；--external --resilient +*</x:v>
      </x:c>
      <x:c r="N112" s="10" t="str">
        <x:v>Windows 完整语义目标；失败不自动排除</x:v>
      </x:c>
      <x:c r="O112" s="10" t="str">
        <x:v>本轮未复测</x:v>
      </x:c>
      <x:c r="P112" s="10" t="str">
        <x:v>原版外部套件</x:v>
      </x:c>
    </x:row>
    <x:row r="113" ht="76" customHeight="1">
      <x:c r="A113" s="11" t="str">
        <x:v>NATIVE-016</x:v>
      </x:c>
      <x:c r="B113" s="11" t="str">
        <x:v>L2</x:v>
      </x:c>
      <x:c r="C113" s="11" t="str">
        <x:v>属性与权限</x:v>
      </x:c>
      <x:c r="D113" s="11" t="str">
        <x:v>修改文件信息（原版）</x:v>
      </x:c>
      <x:c r="E113" s="11" t="str">
        <x:v>B Windows / WinFsp</x:v>
      </x:c>
      <x:c r="F113" s="11" t="str">
        <x:v>已失败</x:v>
      </x:c>
      <x:c r="G113" s="11" t="str">
        <x:v>本地后端 JuiceFS 同步／后台；NTFS 与直连结果在历史执行明细</x:v>
      </x:c>
      <x:c r="H113" s="11" t="str">
        <x:v>原版 WinFsp 2.1 外部模式的全部启用断言；与 NTFS 对照核对差异</x:v>
      </x:c>
      <x:c r="I113" s="11" t="str">
        <x:v>setfileinfo_test</x:v>
      </x:c>
      <x:c r="J113" s="11" t="str">
        <x:v>E09；S06；S07</x:v>
      </x:c>
      <x:c r="K113" s="11" t="str">
        <x:v>参数化用例</x:v>
      </x:c>
      <x:c r="L113" s="11" t="str">
        <x:v>2026-10-10 历史结果；当前构建及三网盘尚未按严格配置复测。 ASSERT(*(PUINT64)&amp;FileInfo0.ftCreationTime == *(PUINT64)&amp;FileInfo.ftCreationTime) failed at info-test.c:438:setfileinfo_dotest (err=0:0)</x:v>
      </x:c>
      <x:c r="M113" s="11" t="str">
        <x:v>WinFsp tests 2.1.25156；--external --resilient +*</x:v>
      </x:c>
      <x:c r="N113" s="11" t="str">
        <x:v>Windows 完整语义目标；失败不自动排除</x:v>
      </x:c>
      <x:c r="O113" s="11" t="str">
        <x:v>本轮未复测</x:v>
      </x:c>
      <x:c r="P113" s="11" t="str">
        <x:v>原版外部套件</x:v>
      </x:c>
    </x:row>
    <x:row r="114" ht="76" customHeight="1">
      <x:c r="A114" s="10" t="str">
        <x:v>NATIVE-034</x:v>
      </x:c>
      <x:c r="B114" s="10" t="str">
        <x:v>L2</x:v>
      </x:c>
      <x:c r="C114" s="10" t="str">
        <x:v>属性与权限</x:v>
      </x:c>
      <x:c r="D114" s="10" t="str">
        <x:v>设置安全描述符（原版）</x:v>
      </x:c>
      <x:c r="E114" s="10" t="str">
        <x:v>B Windows / WinFsp</x:v>
      </x:c>
      <x:c r="F114" s="10" t="str">
        <x:v>已失败</x:v>
      </x:c>
      <x:c r="G114" s="10" t="str">
        <x:v>本地后端 JuiceFS 同步／后台；NTFS 与直连结果在历史执行明细</x:v>
      </x:c>
      <x:c r="H114" s="10" t="str">
        <x:v>原版 WinFsp 2.1 外部模式的全部启用断言；与 NTFS 对照核对差异</x:v>
      </x:c>
      <x:c r="I114" s="10" t="str">
        <x:v>setsecurity_test</x:v>
      </x:c>
      <x:c r="J114" s="10" t="str">
        <x:v>E09；S06；S07</x:v>
      </x:c>
      <x:c r="K114" s="10" t="str">
        <x:v>参数化用例</x:v>
      </x:c>
      <x:c r="L114" s="10" t="str">
        <x:v>2026-10-10 历史结果；当前构建及三网盘尚未按严格配置复测。 ASSERT(0 == wcscmp(L"D:P(A;;FA;;;SY)(A;;FA;;;BA)", ConvertedSddl)) failed at security-test.c:231:setsecurity_dotest (err=c0000023:0)</x:v>
      </x:c>
      <x:c r="M114" s="10" t="str">
        <x:v>WinFsp tests 2.1.25156；--external --resilient +*</x:v>
      </x:c>
      <x:c r="N114" s="10" t="str">
        <x:v>Windows 完整语义目标；失败不自动排除</x:v>
      </x:c>
      <x:c r="O114" s="10" t="str">
        <x:v>本轮未复测</x:v>
      </x:c>
      <x:c r="P114" s="10" t="str">
        <x:v>原版外部套件</x:v>
      </x:c>
    </x:row>
    <x:row r="115" ht="44" customHeight="1">
      <x:c r="A115" s="11" t="str">
        <x:v>NATIVE-035</x:v>
      </x:c>
      <x:c r="B115" s="11" t="str">
        <x:v>L2</x:v>
      </x:c>
      <x:c r="C115" s="11" t="str">
        <x:v>属性与权限</x:v>
      </x:c>
      <x:c r="D115" s="11" t="str">
        <x:v>权限元数据并发压力（原版）</x:v>
      </x:c>
      <x:c r="E115" s="11" t="str">
        <x:v>B Windows / WinFsp</x:v>
      </x:c>
      <x:c r="F115" s="11" t="str">
        <x:v>已通过</x:v>
      </x:c>
      <x:c r="G115" s="11" t="str">
        <x:v>本地后端 JuiceFS 同步／后台；NTFS 与直连结果在历史执行明细</x:v>
      </x:c>
      <x:c r="H115" s="11" t="str">
        <x:v>原版 WinFsp 2.1 外部模式的全部启用断言；与 NTFS 对照核对差异</x:v>
      </x:c>
      <x:c r="I115" s="11" t="str">
        <x:v>security_stress_meta_test</x:v>
      </x:c>
      <x:c r="J115" s="11" t="str">
        <x:v>E09；S06；S07</x:v>
      </x:c>
      <x:c r="K115" s="11" t="str">
        <x:v>参数化用例</x:v>
      </x:c>
      <x:c r="L115" s="11" t="str">
        <x:v>2026-10-10 历史结果；当前构建及三网盘尚未按严格配置复测。</x:v>
      </x:c>
      <x:c r="M115" s="11" t="str">
        <x:v>WinFsp tests 2.1.25156；--external --resilient +*</x:v>
      </x:c>
      <x:c r="N115" s="11" t="str">
        <x:v>Windows 完整语义目标；失败不自动排除</x:v>
      </x:c>
      <x:c r="O115" s="11" t="str">
        <x:v>本轮未复测</x:v>
      </x:c>
      <x:c r="P115" s="11" t="str">
        <x:v>原版外部套件</x:v>
      </x:c>
    </x:row>
    <x:row r="116" ht="60" customHeight="1">
      <x:c r="A116" s="10" t="str">
        <x:v>NATIVE-073</x:v>
      </x:c>
      <x:c r="B116" s="10" t="str">
        <x:v>L2</x:v>
      </x:c>
      <x:c r="C116" s="10" t="str">
        <x:v>属性与权限</x:v>
      </x:c>
      <x:c r="D116" s="10" t="str">
        <x:v>命名流：创建安全描述符（原版）</x:v>
      </x:c>
      <x:c r="E116" s="10" t="str">
        <x:v>B Windows / WinFsp</x:v>
      </x:c>
      <x:c r="F116" s="10" t="str">
        <x:v>已失败</x:v>
      </x:c>
      <x:c r="G116" s="10" t="str">
        <x:v>本地后端 JuiceFS 同步／后台；NTFS 与直连结果在历史执行明细</x:v>
      </x:c>
      <x:c r="H116" s="10" t="str">
        <x:v>原版 WinFsp 2.1 外部模式的全部启用断言；与 NTFS 对照核对差异</x:v>
      </x:c>
      <x:c r="I116" s="10" t="str">
        <x:v>stream_create_sd_test</x:v>
      </x:c>
      <x:c r="J116" s="10" t="str">
        <x:v>E09；S06；S07</x:v>
      </x:c>
      <x:c r="K116" s="10" t="str">
        <x:v>参数化用例</x:v>
      </x:c>
      <x:c r="L116" s="10" t="str">
        <x:v>2026-10-10 历史结果；当前构建及三网盘尚未按严格配置复测。 ASSERT(INVALID_HANDLE_VALUE != Handle) failed at stream-tests.c:553:stream_create_sd_dotest (err=c0000033:123)</x:v>
      </x:c>
      <x:c r="M116" s="10" t="str">
        <x:v>WinFsp tests 2.1.25156；--external --resilient +*</x:v>
      </x:c>
      <x:c r="N116" s="10" t="str">
        <x:v>Windows 完整语义目标；失败不自动排除</x:v>
      </x:c>
      <x:c r="O116" s="10" t="str">
        <x:v>本轮未复测</x:v>
      </x:c>
      <x:c r="P116" s="10" t="str">
        <x:v>原版外部套件</x:v>
      </x:c>
    </x:row>
    <x:row r="117" ht="60" customHeight="1">
      <x:c r="A117" s="11" t="str">
        <x:v>NATIVE-080</x:v>
      </x:c>
      <x:c r="B117" s="11" t="str">
        <x:v>L2</x:v>
      </x:c>
      <x:c r="C117" s="11" t="str">
        <x:v>属性与权限</x:v>
      </x:c>
      <x:c r="D117" s="11" t="str">
        <x:v>命名流：读取权限（原版）</x:v>
      </x:c>
      <x:c r="E117" s="11" t="str">
        <x:v>B Windows / WinFsp</x:v>
      </x:c>
      <x:c r="F117" s="11" t="str">
        <x:v>已失败</x:v>
      </x:c>
      <x:c r="G117" s="11" t="str">
        <x:v>本地后端 JuiceFS 同步／后台；NTFS 与直连结果在历史执行明细</x:v>
      </x:c>
      <x:c r="H117" s="11" t="str">
        <x:v>原版 WinFsp 2.1 外部模式的全部启用断言；与 NTFS 对照核对差异</x:v>
      </x:c>
      <x:c r="I117" s="11" t="str">
        <x:v>stream_getsecurity_test</x:v>
      </x:c>
      <x:c r="J117" s="11" t="str">
        <x:v>E09；S06；S07</x:v>
      </x:c>
      <x:c r="K117" s="11" t="str">
        <x:v>参数化用例</x:v>
      </x:c>
      <x:c r="L117" s="11" t="str">
        <x:v>2026-10-10 历史结果；当前构建及三网盘尚未按严格配置复测。 ASSERT(INVALID_HANDLE_VALUE != Handle) failed at stream-tests.c:1659:stream_getsecurity_dotest (err=c0000033:123)</x:v>
      </x:c>
      <x:c r="M117" s="11" t="str">
        <x:v>WinFsp tests 2.1.25156；--external --resilient +*</x:v>
      </x:c>
      <x:c r="N117" s="11" t="str">
        <x:v>Windows 完整语义目标；失败不自动排除</x:v>
      </x:c>
      <x:c r="O117" s="11" t="str">
        <x:v>本轮未复测</x:v>
      </x:c>
      <x:c r="P117" s="11" t="str">
        <x:v>原版外部套件</x:v>
      </x:c>
    </x:row>
    <x:row r="118" ht="60" customHeight="1">
      <x:c r="A118" s="10" t="str">
        <x:v>NATIVE-081</x:v>
      </x:c>
      <x:c r="B118" s="10" t="str">
        <x:v>L2</x:v>
      </x:c>
      <x:c r="C118" s="10" t="str">
        <x:v>属性与权限</x:v>
      </x:c>
      <x:c r="D118" s="10" t="str">
        <x:v>命名流：设置权限（原版）</x:v>
      </x:c>
      <x:c r="E118" s="10" t="str">
        <x:v>B Windows / WinFsp</x:v>
      </x:c>
      <x:c r="F118" s="10" t="str">
        <x:v>已失败</x:v>
      </x:c>
      <x:c r="G118" s="10" t="str">
        <x:v>本地后端 JuiceFS 同步／后台；NTFS 与直连结果在历史执行明细</x:v>
      </x:c>
      <x:c r="H118" s="10" t="str">
        <x:v>原版 WinFsp 2.1 外部模式的全部启用断言；与 NTFS 对照核对差异</x:v>
      </x:c>
      <x:c r="I118" s="10" t="str">
        <x:v>stream_setsecurity_test</x:v>
      </x:c>
      <x:c r="J118" s="10" t="str">
        <x:v>E09；S06；S07</x:v>
      </x:c>
      <x:c r="K118" s="10" t="str">
        <x:v>参数化用例</x:v>
      </x:c>
      <x:c r="L118" s="10" t="str">
        <x:v>2026-10-10 历史结果；当前构建及三网盘尚未按严格配置复测。 ASSERT(INVALID_HANDLE_VALUE != StreamHandle) failed at stream-tests.c:1830:stream_setsecurity_dotest (err=c0000033:123)</x:v>
      </x:c>
      <x:c r="M118" s="10" t="str">
        <x:v>WinFsp tests 2.1.25156；--external --resilient +*</x:v>
      </x:c>
      <x:c r="N118" s="10" t="str">
        <x:v>Windows 完整语义目标；失败不自动排除</x:v>
      </x:c>
      <x:c r="O118" s="10" t="str">
        <x:v>本轮未复测</x:v>
      </x:c>
      <x:c r="P118" s="10" t="str">
        <x:v>原版外部套件</x:v>
      </x:c>
    </x:row>
    <x:row r="119" ht="44" customHeight="1">
      <x:c r="A119" s="11" t="str">
        <x:v>WFP-08</x:v>
      </x:c>
      <x:c r="B119" s="11" t="str">
        <x:v>L2</x:v>
      </x:c>
      <x:c r="C119" s="11" t="str">
        <x:v>属性与权限</x:v>
      </x:c>
      <x:c r="D119" s="11" t="str">
        <x:v>查询文件信息</x:v>
      </x:c>
      <x:c r="E119" s="11" t="str">
        <x:v>B Windows / WinFsp</x:v>
      </x:c>
      <x:c r="F119" s="11" t="str">
        <x:v>已通过</x:v>
      </x:c>
      <x:c r="G119" s="11" t="str">
        <x:v>本地、百度、Google、OneDrive；同步/后台，共 8 组</x:v>
      </x:c>
      <x:c r="H119" s="11" t="str">
        <x:v>该用例在官方 FUSE 兼容参数下通过；断言范围以原用例为准</x:v>
      </x:c>
      <x:c r="I119" s="11" t="str">
        <x:v>getfileinfo_test</x:v>
      </x:c>
      <x:c r="J119" s="11" t="str">
        <x:v>E01；S04</x:v>
      </x:c>
      <x:c r="K119" s="11" t="str">
        <x:v>用例</x:v>
      </x:c>
      <x:c r="L119" s="11" t="str">
        <x:v>--fuse-external --resilient --case-insensitive-cmp；不代表全部 NTFS 语义</x:v>
      </x:c>
      <x:c r="M119" s="11" t="str">
        <x:v>juicedata/winfsp testing_suit_20250324；默认 FUSE 参数</x:v>
      </x:c>
      <x:c r="N119" s="11" t="str">
        <x:v>Windows 单机产品；按已测范围解释</x:v>
      </x:c>
      <x:c r="O119" s="11" t="str">
        <x:v>本轮仅补充矩阵，未复测</x:v>
      </x:c>
      <x:c r="P119" s="11" t="str">
        <x:v>JuiceFS fork 外部</x:v>
      </x:c>
    </x:row>
    <x:row r="120" ht="44" customHeight="1">
      <x:c r="A120" s="10" t="str">
        <x:v>WFP-09</x:v>
      </x:c>
      <x:c r="B120" s="10" t="str">
        <x:v>L2</x:v>
      </x:c>
      <x:c r="C120" s="10" t="str">
        <x:v>属性与权限</x:v>
      </x:c>
      <x:c r="D120" s="10" t="str">
        <x:v>修改文件信息</x:v>
      </x:c>
      <x:c r="E120" s="10" t="str">
        <x:v>B Windows / WinFsp</x:v>
      </x:c>
      <x:c r="F120" s="10" t="str">
        <x:v>已通过</x:v>
      </x:c>
      <x:c r="G120" s="10" t="str">
        <x:v>本地、百度、Google、OneDrive；同步/后台，共 8 组</x:v>
      </x:c>
      <x:c r="H120" s="10" t="str">
        <x:v>该用例在官方 FUSE 兼容参数下通过；断言范围以原用例为准</x:v>
      </x:c>
      <x:c r="I120" s="10" t="str">
        <x:v>setfileinfo_test</x:v>
      </x:c>
      <x:c r="J120" s="10" t="str">
        <x:v>E01；S04</x:v>
      </x:c>
      <x:c r="K120" s="10" t="str">
        <x:v>用例</x:v>
      </x:c>
      <x:c r="L120" s="10" t="str">
        <x:v>--fuse-external --resilient --case-insensitive-cmp；不代表全部 NTFS 语义</x:v>
      </x:c>
      <x:c r="M120" s="10" t="str">
        <x:v>juicedata/winfsp testing_suit_20250324；默认 FUSE 参数</x:v>
      </x:c>
      <x:c r="N120" s="10" t="str">
        <x:v>Windows 单机产品；按已测范围解释</x:v>
      </x:c>
      <x:c r="O120" s="10" t="str">
        <x:v>本轮仅补充矩阵，未复测</x:v>
      </x:c>
      <x:c r="P120" s="10" t="str">
        <x:v>JuiceFS fork 外部</x:v>
      </x:c>
    </x:row>
    <x:row r="121" ht="44" customHeight="1">
      <x:c r="A121" s="11" t="str">
        <x:v>WFP-OPT-01</x:v>
      </x:c>
      <x:c r="B121" s="11" t="str">
        <x:v>L2</x:v>
      </x:c>
      <x:c r="C121" s="11" t="str">
        <x:v>属性与权限</x:v>
      </x:c>
      <x:c r="D121" s="11" t="str">
        <x:v>创建时分配大小（JuiceFS fork）</x:v>
      </x:c>
      <x:c r="E121" s="11" t="str">
        <x:v>B Windows / WinFsp</x:v>
      </x:c>
      <x:c r="F121" s="11" t="str">
        <x:v>待执行</x:v>
      </x:c>
      <x:c r="G121" s="11" t="str">
        <x:v>JuiceFS 测试包全部外部模式；此版本无逐项执行证据</x:v>
      </x:c>
      <x:c r="H121" s="11" t="str">
        <x:v>保留该测试包断言；原版同名结果不能转记为此包通过</x:v>
      </x:c>
      <x:c r="I121" s="11" t="str">
        <x:v>create_allocation_test</x:v>
      </x:c>
      <x:c r="J121" s="11" t="str">
        <x:v>S04；E10</x:v>
      </x:c>
      <x:c r="K121" s="11" t="str">
        <x:v>用例</x:v>
      </x:c>
      <x:c r="L121" s="11" t="str">
        <x:v>已完整登记；原版同名入口见 NATIVE-005，执行版本和参数不同</x:v>
      </x:c>
      <x:c r="M121" s="11" t="str">
        <x:v>juicedata/winfsp testing_suit_20250324；--external --resilient +*</x:v>
      </x:c>
      <x:c r="N121" s="11" t="str">
        <x:v>Windows 语义补测</x:v>
      </x:c>
      <x:c r="O121" s="11" t="str">
        <x:v>未执行该版本入口</x:v>
      </x:c>
      <x:c r="P121" s="11" t="str">
        <x:v>JuiceFS fork 外部</x:v>
      </x:c>
    </x:row>
    <x:row r="122" ht="44" customHeight="1">
      <x:c r="A122" s="10" t="str">
        <x:v>WFP-OPT-02</x:v>
      </x:c>
      <x:c r="B122" s="10" t="str">
        <x:v>L2</x:v>
      </x:c>
      <x:c r="C122" s="10" t="str">
        <x:v>属性与权限</x:v>
      </x:c>
      <x:c r="D122" s="10" t="str">
        <x:v>目录遍历权限（JuiceFS fork）</x:v>
      </x:c>
      <x:c r="E122" s="10" t="str">
        <x:v>B Windows / WinFsp</x:v>
      </x:c>
      <x:c r="F122" s="10" t="str">
        <x:v>待执行</x:v>
      </x:c>
      <x:c r="G122" s="10" t="str">
        <x:v>JuiceFS 测试包全部外部模式；此版本无逐项执行证据</x:v>
      </x:c>
      <x:c r="H122" s="10" t="str">
        <x:v>保留该测试包断言；原版同名结果不能转记为此包通过</x:v>
      </x:c>
      <x:c r="I122" s="10" t="str">
        <x:v>create_notraverse_test</x:v>
      </x:c>
      <x:c r="J122" s="10" t="str">
        <x:v>S04；E10</x:v>
      </x:c>
      <x:c r="K122" s="10" t="str">
        <x:v>用例</x:v>
      </x:c>
      <x:c r="L122" s="10" t="str">
        <x:v>已完整登记；原版同名入口见 NATIVE-007，执行版本和参数不同</x:v>
      </x:c>
      <x:c r="M122" s="10" t="str">
        <x:v>juicedata/winfsp testing_suit_20250324；--external --resilient +*</x:v>
      </x:c>
      <x:c r="N122" s="10" t="str">
        <x:v>Windows 语义补测</x:v>
      </x:c>
      <x:c r="O122" s="10" t="str">
        <x:v>未执行该版本入口</x:v>
      </x:c>
      <x:c r="P122" s="10" t="str">
        <x:v>JuiceFS fork 外部</x:v>
      </x:c>
    </x:row>
    <x:row r="123" ht="44" customHeight="1">
      <x:c r="A123" s="11" t="str">
        <x:v>WFP-OPT-03</x:v>
      </x:c>
      <x:c r="B123" s="11" t="str">
        <x:v>L2</x:v>
      </x:c>
      <x:c r="C123" s="11" t="str">
        <x:v>属性与权限</x:v>
      </x:c>
      <x:c r="D123" s="11" t="str">
        <x:v>查询文件属性（JuiceFS fork）</x:v>
      </x:c>
      <x:c r="E123" s="11" t="str">
        <x:v>B Windows / WinFsp</x:v>
      </x:c>
      <x:c r="F123" s="11" t="str">
        <x:v>待执行</x:v>
      </x:c>
      <x:c r="G123" s="11" t="str">
        <x:v>JuiceFS 测试包全部外部模式；此版本无逐项执行证据</x:v>
      </x:c>
      <x:c r="H123" s="11" t="str">
        <x:v>保留该测试包断言；原版同名结果不能转记为此包通过</x:v>
      </x:c>
      <x:c r="I123" s="11" t="str">
        <x:v>getfileattr_test</x:v>
      </x:c>
      <x:c r="J123" s="11" t="str">
        <x:v>S04；E10</x:v>
      </x:c>
      <x:c r="K123" s="11" t="str">
        <x:v>用例</x:v>
      </x:c>
      <x:c r="L123" s="11" t="str">
        <x:v>已完整登记；原版同名入口见 NATIVE-013，执行版本和参数不同</x:v>
      </x:c>
      <x:c r="M123" s="11" t="str">
        <x:v>juicedata/winfsp testing_suit_20250324；--external --resilient +*</x:v>
      </x:c>
      <x:c r="N123" s="11" t="str">
        <x:v>Windows 语义补测</x:v>
      </x:c>
      <x:c r="O123" s="11" t="str">
        <x:v>未执行该版本入口</x:v>
      </x:c>
      <x:c r="P123" s="11" t="str">
        <x:v>JuiceFS fork 外部</x:v>
      </x:c>
    </x:row>
    <x:row r="124" ht="44" customHeight="1">
      <x:c r="A124" s="10" t="str">
        <x:v>WFP-OPT-05</x:v>
      </x:c>
      <x:c r="B124" s="10" t="str">
        <x:v>L2</x:v>
      </x:c>
      <x:c r="C124" s="10" t="str">
        <x:v>属性与权限</x:v>
      </x:c>
      <x:c r="D124" s="10" t="str">
        <x:v>设置安全描述符（JuiceFS fork）</x:v>
      </x:c>
      <x:c r="E124" s="10" t="str">
        <x:v>B Windows / WinFsp</x:v>
      </x:c>
      <x:c r="F124" s="10" t="str">
        <x:v>待执行</x:v>
      </x:c>
      <x:c r="G124" s="10" t="str">
        <x:v>JuiceFS 测试包全部外部模式；此版本无逐项执行证据</x:v>
      </x:c>
      <x:c r="H124" s="10" t="str">
        <x:v>保留该测试包断言；原版同名结果不能转记为此包通过</x:v>
      </x:c>
      <x:c r="I124" s="10" t="str">
        <x:v>setsecurity_test</x:v>
      </x:c>
      <x:c r="J124" s="10" t="str">
        <x:v>S04；E10</x:v>
      </x:c>
      <x:c r="K124" s="10" t="str">
        <x:v>用例</x:v>
      </x:c>
      <x:c r="L124" s="10" t="str">
        <x:v>已完整登记；原版同名入口见 NATIVE-034，执行版本和参数不同</x:v>
      </x:c>
      <x:c r="M124" s="10" t="str">
        <x:v>juicedata/winfsp testing_suit_20250324；--external --resilient +*</x:v>
      </x:c>
      <x:c r="N124" s="10" t="str">
        <x:v>Windows 语义补测</x:v>
      </x:c>
      <x:c r="O124" s="10" t="str">
        <x:v>未执行该版本入口</x:v>
      </x:c>
      <x:c r="P124" s="10" t="str">
        <x:v>JuiceFS fork 外部</x:v>
      </x:c>
    </x:row>
    <x:row r="125" ht="44" customHeight="1">
      <x:c r="A125" s="11" t="str">
        <x:v>WFP-OPT-06</x:v>
      </x:c>
      <x:c r="B125" s="11" t="str">
        <x:v>L2</x:v>
      </x:c>
      <x:c r="C125" s="11" t="str">
        <x:v>属性与权限</x:v>
      </x:c>
      <x:c r="D125" s="11" t="str">
        <x:v>权限元数据并发压力（JuiceFS fork）</x:v>
      </x:c>
      <x:c r="E125" s="11" t="str">
        <x:v>B Windows / WinFsp</x:v>
      </x:c>
      <x:c r="F125" s="11" t="str">
        <x:v>待执行</x:v>
      </x:c>
      <x:c r="G125" s="11" t="str">
        <x:v>JuiceFS 测试包全部外部模式；此版本无逐项执行证据</x:v>
      </x:c>
      <x:c r="H125" s="11" t="str">
        <x:v>保留该测试包断言；原版同名结果不能转记为此包通过</x:v>
      </x:c>
      <x:c r="I125" s="11" t="str">
        <x:v>security_stress_meta_test</x:v>
      </x:c>
      <x:c r="J125" s="11" t="str">
        <x:v>S04；E10</x:v>
      </x:c>
      <x:c r="K125" s="11" t="str">
        <x:v>用例</x:v>
      </x:c>
      <x:c r="L125" s="11" t="str">
        <x:v>已完整登记；原版同名入口见 NATIVE-035，执行版本和参数不同</x:v>
      </x:c>
      <x:c r="M125" s="11" t="str">
        <x:v>juicedata/winfsp testing_suit_20250324；--external --resilient +*</x:v>
      </x:c>
      <x:c r="N125" s="11" t="str">
        <x:v>Windows 语义补测</x:v>
      </x:c>
      <x:c r="O125" s="11" t="str">
        <x:v>未执行该版本入口</x:v>
      </x:c>
      <x:c r="P125" s="11" t="str">
        <x:v>JuiceFS fork 外部</x:v>
      </x:c>
    </x:row>
    <x:row r="126" ht="44" customHeight="1">
      <x:c r="A126" s="10" t="str">
        <x:v>WFP-OPT-16</x:v>
      </x:c>
      <x:c r="B126" s="10" t="str">
        <x:v>L2</x:v>
      </x:c>
      <x:c r="C126" s="10" t="str">
        <x:v>属性与权限</x:v>
      </x:c>
      <x:c r="D126" s="10" t="str">
        <x:v>命名流：创建安全描述符（JuiceFS fork）</x:v>
      </x:c>
      <x:c r="E126" s="10" t="str">
        <x:v>B Windows / WinFsp</x:v>
      </x:c>
      <x:c r="F126" s="10" t="str">
        <x:v>待执行</x:v>
      </x:c>
      <x:c r="G126" s="10" t="str">
        <x:v>JuiceFS 测试包全部外部模式；此版本无逐项执行证据</x:v>
      </x:c>
      <x:c r="H126" s="10" t="str">
        <x:v>保留该测试包断言；原版同名结果不能转记为此包通过</x:v>
      </x:c>
      <x:c r="I126" s="10" t="str">
        <x:v>stream_create_sd_test</x:v>
      </x:c>
      <x:c r="J126" s="10" t="str">
        <x:v>S04；E10</x:v>
      </x:c>
      <x:c r="K126" s="10" t="str">
        <x:v>用例</x:v>
      </x:c>
      <x:c r="L126" s="10" t="str">
        <x:v>已完整登记；原版同名入口见 NATIVE-073，执行版本和参数不同</x:v>
      </x:c>
      <x:c r="M126" s="10" t="str">
        <x:v>juicedata/winfsp testing_suit_20250324；--external --resilient +*</x:v>
      </x:c>
      <x:c r="N126" s="10" t="str">
        <x:v>Windows 语义补测</x:v>
      </x:c>
      <x:c r="O126" s="10" t="str">
        <x:v>未执行该版本入口</x:v>
      </x:c>
      <x:c r="P126" s="10" t="str">
        <x:v>JuiceFS fork 外部</x:v>
      </x:c>
    </x:row>
    <x:row r="127" ht="44" customHeight="1">
      <x:c r="A127" s="11" t="str">
        <x:v>WFP-OPT-23</x:v>
      </x:c>
      <x:c r="B127" s="11" t="str">
        <x:v>L2</x:v>
      </x:c>
      <x:c r="C127" s="11" t="str">
        <x:v>属性与权限</x:v>
      </x:c>
      <x:c r="D127" s="11" t="str">
        <x:v>命名流：读取权限（JuiceFS fork）</x:v>
      </x:c>
      <x:c r="E127" s="11" t="str">
        <x:v>B Windows / WinFsp</x:v>
      </x:c>
      <x:c r="F127" s="11" t="str">
        <x:v>待执行</x:v>
      </x:c>
      <x:c r="G127" s="11" t="str">
        <x:v>JuiceFS 测试包全部外部模式；此版本无逐项执行证据</x:v>
      </x:c>
      <x:c r="H127" s="11" t="str">
        <x:v>保留该测试包断言；原版同名结果不能转记为此包通过</x:v>
      </x:c>
      <x:c r="I127" s="11" t="str">
        <x:v>stream_getsecurity_test</x:v>
      </x:c>
      <x:c r="J127" s="11" t="str">
        <x:v>S04；E10</x:v>
      </x:c>
      <x:c r="K127" s="11" t="str">
        <x:v>用例</x:v>
      </x:c>
      <x:c r="L127" s="11" t="str">
        <x:v>已完整登记；原版同名入口见 NATIVE-080，执行版本和参数不同</x:v>
      </x:c>
      <x:c r="M127" s="11" t="str">
        <x:v>juicedata/winfsp testing_suit_20250324；--external --resilient +*</x:v>
      </x:c>
      <x:c r="N127" s="11" t="str">
        <x:v>Windows 语义补测</x:v>
      </x:c>
      <x:c r="O127" s="11" t="str">
        <x:v>未执行该版本入口</x:v>
      </x:c>
      <x:c r="P127" s="11" t="str">
        <x:v>JuiceFS fork 外部</x:v>
      </x:c>
    </x:row>
    <x:row r="128" ht="44" customHeight="1">
      <x:c r="A128" s="10" t="str">
        <x:v>WFP-OPT-24</x:v>
      </x:c>
      <x:c r="B128" s="10" t="str">
        <x:v>L2</x:v>
      </x:c>
      <x:c r="C128" s="10" t="str">
        <x:v>属性与权限</x:v>
      </x:c>
      <x:c r="D128" s="10" t="str">
        <x:v>命名流：设置权限（JuiceFS fork）</x:v>
      </x:c>
      <x:c r="E128" s="10" t="str">
        <x:v>B Windows / WinFsp</x:v>
      </x:c>
      <x:c r="F128" s="10" t="str">
        <x:v>待执行</x:v>
      </x:c>
      <x:c r="G128" s="10" t="str">
        <x:v>JuiceFS 测试包全部外部模式；此版本无逐项执行证据</x:v>
      </x:c>
      <x:c r="H128" s="10" t="str">
        <x:v>保留该测试包断言；原版同名结果不能转记为此包通过</x:v>
      </x:c>
      <x:c r="I128" s="10" t="str">
        <x:v>stream_setsecurity_test</x:v>
      </x:c>
      <x:c r="J128" s="10" t="str">
        <x:v>S04；E10</x:v>
      </x:c>
      <x:c r="K128" s="10" t="str">
        <x:v>用例</x:v>
      </x:c>
      <x:c r="L128" s="10" t="str">
        <x:v>已完整登记；原版同名入口见 NATIVE-081，执行版本和参数不同</x:v>
      </x:c>
      <x:c r="M128" s="10" t="str">
        <x:v>juicedata/winfsp testing_suit_20250324；--external --resilient +*</x:v>
      </x:c>
      <x:c r="N128" s="10" t="str">
        <x:v>Windows 语义补测</x:v>
      </x:c>
      <x:c r="O128" s="10" t="str">
        <x:v>未执行该版本入口</x:v>
      </x:c>
      <x:c r="P128" s="10" t="str">
        <x:v>JuiceFS fork 外部</x:v>
      </x:c>
    </x:row>
    <x:row r="129" ht="44" customHeight="1">
      <x:c r="A129" s="11" t="str">
        <x:v>JFS-PY-02</x:v>
      </x:c>
      <x:c r="B129" s="11" t="str">
        <x:v>L2</x:v>
      </x:c>
      <x:c r="C129" s="11" t="str">
        <x:v>并发与文件锁</x:v>
      </x:c>
      <x:c r="D129" s="11" t="str">
        <x:v>多线程创建文件</x:v>
      </x:c>
      <x:c r="E129" s="11" t="str">
        <x:v>A JuiceFS 官方 Windows</x:v>
      </x:c>
      <x:c r="F129" s="11" t="str">
        <x:v>已通过</x:v>
      </x:c>
      <x:c r="G129" s="11" t="str">
        <x:v>本地、百度、Google、OneDrive；同步/后台，共 8 组</x:v>
      </x:c>
      <x:c r="H129" s="11" t="str">
        <x:v>5 线程各创建 10 个文件，最终数量 50；原用例未逐个校验内容</x:v>
      </x:c>
      <x:c r="I129" s="11" t="str">
        <x:v>test_concurrent_operations</x:v>
      </x:c>
      <x:c r="J129" s="11" t="str">
        <x:v>E01；S01</x:v>
      </x:c>
      <x:c r="K129" s="11" t="str">
        <x:v>用例</x:v>
      </x:c>
      <x:c r="L129" s="11" t="str">
        <x:v>发布版本需复测；保留上游断言</x:v>
      </x:c>
      <x:c r="M129" s="11" t="str">
        <x:v>JuiceFS 30190ca；FSX 工具版本见 S02</x:v>
      </x:c>
      <x:c r="N129" s="11" t="str">
        <x:v>Windows 单机产品；按已测范围解释</x:v>
      </x:c>
      <x:c r="O129" s="11" t="str">
        <x:v>本轮仅补充矩阵，未复测</x:v>
      </x:c>
      <x:c r="P129" s="11" t="str">
        <x:v>Windows Python</x:v>
      </x:c>
    </x:row>
    <x:row r="130" ht="44" customHeight="1">
      <x:c r="A130" s="10" t="str">
        <x:v>NATIVE-010</x:v>
      </x:c>
      <x:c r="B130" s="10" t="str">
        <x:v>L2</x:v>
      </x:c>
      <x:c r="C130" s="10" t="str">
        <x:v>并发与文件锁</x:v>
      </x:c>
      <x:c r="D130" s="10" t="str">
        <x:v>打开共享模式（原版）</x:v>
      </x:c>
      <x:c r="E130" s="10" t="str">
        <x:v>B Windows / WinFsp</x:v>
      </x:c>
      <x:c r="F130" s="10" t="str">
        <x:v>已通过</x:v>
      </x:c>
      <x:c r="G130" s="10" t="str">
        <x:v>本地后端 JuiceFS 同步／后台；NTFS 与直连结果在历史执行明细</x:v>
      </x:c>
      <x:c r="H130" s="10" t="str">
        <x:v>原版 WinFsp 2.1 外部模式的全部启用断言；与 NTFS 对照核对差异</x:v>
      </x:c>
      <x:c r="I130" s="10" t="str">
        <x:v>create_share_test</x:v>
      </x:c>
      <x:c r="J130" s="10" t="str">
        <x:v>E09；S06；S07</x:v>
      </x:c>
      <x:c r="K130" s="10" t="str">
        <x:v>参数化用例</x:v>
      </x:c>
      <x:c r="L130" s="10" t="str">
        <x:v>2026-10-10 历史结果；当前构建及三网盘尚未按严格配置复测。</x:v>
      </x:c>
      <x:c r="M130" s="10" t="str">
        <x:v>WinFsp tests 2.1.25156；--external --resilient +*</x:v>
      </x:c>
      <x:c r="N130" s="10" t="str">
        <x:v>Windows 完整语义目标；失败不自动排除</x:v>
      </x:c>
      <x:c r="O130" s="10" t="str">
        <x:v>本轮未复测</x:v>
      </x:c>
      <x:c r="P130" s="10" t="str">
        <x:v>原版外部套件</x:v>
      </x:c>
    </x:row>
    <x:row r="131" ht="44" customHeight="1">
      <x:c r="A131" s="11" t="str">
        <x:v>NATIVE-019</x:v>
      </x:c>
      <x:c r="B131" s="11" t="str">
        <x:v>L2</x:v>
      </x:c>
      <x:c r="C131" s="11" t="str">
        <x:v>并发与文件锁</x:v>
      </x:c>
      <x:c r="D131" s="11" t="str">
        <x:v>打开句柄下的待删除状态（原版）</x:v>
      </x:c>
      <x:c r="E131" s="11" t="str">
        <x:v>B Windows / WinFsp</x:v>
      </x:c>
      <x:c r="F131" s="11" t="str">
        <x:v>已通过</x:v>
      </x:c>
      <x:c r="G131" s="11" t="str">
        <x:v>本地后端 JuiceFS 同步／后台；NTFS 与直连结果在历史执行明细</x:v>
      </x:c>
      <x:c r="H131" s="11" t="str">
        <x:v>原版 WinFsp 2.1 外部模式的全部启用断言；与 NTFS 对照核对差异</x:v>
      </x:c>
      <x:c r="I131" s="11" t="str">
        <x:v>delete_pending_test</x:v>
      </x:c>
      <x:c r="J131" s="11" t="str">
        <x:v>E09；S06；S07</x:v>
      </x:c>
      <x:c r="K131" s="11" t="str">
        <x:v>参数化用例</x:v>
      </x:c>
      <x:c r="L131" s="11" t="str">
        <x:v>2026-10-10 历史结果；当前构建及三网盘尚未按严格配置复测。</x:v>
      </x:c>
      <x:c r="M131" s="11" t="str">
        <x:v>WinFsp tests 2.1.25156；--external --resilient +*</x:v>
      </x:c>
      <x:c r="N131" s="11" t="str">
        <x:v>Windows 完整语义目标；失败不自动排除</x:v>
      </x:c>
      <x:c r="O131" s="11" t="str">
        <x:v>本轮未复测</x:v>
      </x:c>
      <x:c r="P131" s="11" t="str">
        <x:v>原版外部套件</x:v>
      </x:c>
    </x:row>
    <x:row r="132" ht="44" customHeight="1">
      <x:c r="A132" s="10" t="str">
        <x:v>NATIVE-025</x:v>
      </x:c>
      <x:c r="B132" s="10" t="str">
        <x:v>L2</x:v>
      </x:c>
      <x:c r="C132" s="10" t="str">
        <x:v>并发与文件锁</x:v>
      </x:c>
      <x:c r="D132" s="10" t="str">
        <x:v>打开文件重命名（原版）</x:v>
      </x:c>
      <x:c r="E132" s="10" t="str">
        <x:v>B Windows / WinFsp</x:v>
      </x:c>
      <x:c r="F132" s="10" t="str">
        <x:v>已通过</x:v>
      </x:c>
      <x:c r="G132" s="10" t="str">
        <x:v>本地后端 JuiceFS 同步／后台；NTFS 与直连结果在历史执行明细</x:v>
      </x:c>
      <x:c r="H132" s="10" t="str">
        <x:v>原版 WinFsp 2.1 外部模式的全部启用断言；与 NTFS 对照核对差异</x:v>
      </x:c>
      <x:c r="I132" s="10" t="str">
        <x:v>rename_open_test</x:v>
      </x:c>
      <x:c r="J132" s="10" t="str">
        <x:v>E09；S06；S07</x:v>
      </x:c>
      <x:c r="K132" s="10" t="str">
        <x:v>参数化用例</x:v>
      </x:c>
      <x:c r="L132" s="10" t="str">
        <x:v>2026-10-10 历史结果；当前构建及三网盘尚未按严格配置复测。</x:v>
      </x:c>
      <x:c r="M132" s="10" t="str">
        <x:v>WinFsp tests 2.1.25156；--external --resilient +*</x:v>
      </x:c>
      <x:c r="N132" s="10" t="str">
        <x:v>Windows 完整语义目标；失败不自动排除</x:v>
      </x:c>
      <x:c r="O132" s="10" t="str">
        <x:v>本轮未复测</x:v>
      </x:c>
      <x:c r="P132" s="10" t="str">
        <x:v>原版外部套件</x:v>
      </x:c>
    </x:row>
    <x:row r="133" ht="44" customHeight="1">
      <x:c r="A133" s="11" t="str">
        <x:v>NATIVE-048</x:v>
      </x:c>
      <x:c r="B133" s="11" t="str">
        <x:v>L2</x:v>
      </x:c>
      <x:c r="C133" s="11" t="str">
        <x:v>并发与文件锁</x:v>
      </x:c>
      <x:c r="D133" s="11" t="str">
        <x:v>非缓存文件锁（原版）</x:v>
      </x:c>
      <x:c r="E133" s="11" t="str">
        <x:v>B Windows / WinFsp</x:v>
      </x:c>
      <x:c r="F133" s="11" t="str">
        <x:v>已通过</x:v>
      </x:c>
      <x:c r="G133" s="11" t="str">
        <x:v>本地后端 JuiceFS 同步／后台；NTFS 与直连结果在历史执行明细</x:v>
      </x:c>
      <x:c r="H133" s="11" t="str">
        <x:v>原版 WinFsp 2.1 外部模式的全部启用断言；与 NTFS 对照核对差异</x:v>
      </x:c>
      <x:c r="I133" s="11" t="str">
        <x:v>lock_noncached_test</x:v>
      </x:c>
      <x:c r="J133" s="11" t="str">
        <x:v>E09；S06；S07</x:v>
      </x:c>
      <x:c r="K133" s="11" t="str">
        <x:v>参数化用例</x:v>
      </x:c>
      <x:c r="L133" s="11" t="str">
        <x:v>2026-10-10 历史结果；当前构建及三网盘尚未按严格配置复测。</x:v>
      </x:c>
      <x:c r="M133" s="11" t="str">
        <x:v>WinFsp tests 2.1.25156；--external --resilient +*</x:v>
      </x:c>
      <x:c r="N133" s="11" t="str">
        <x:v>Windows 完整语义目标；失败不自动排除</x:v>
      </x:c>
      <x:c r="O133" s="11" t="str">
        <x:v>本轮未复测</x:v>
      </x:c>
      <x:c r="P133" s="11" t="str">
        <x:v>原版外部套件</x:v>
      </x:c>
    </x:row>
    <x:row r="134" ht="44" customHeight="1">
      <x:c r="A134" s="10" t="str">
        <x:v>NATIVE-049</x:v>
      </x:c>
      <x:c r="B134" s="10" t="str">
        <x:v>L2</x:v>
      </x:c>
      <x:c r="C134" s="10" t="str">
        <x:v>并发与文件锁</x:v>
      </x:c>
      <x:c r="D134" s="10" t="str">
        <x:v>非缓存异步文件锁（原版）</x:v>
      </x:c>
      <x:c r="E134" s="10" t="str">
        <x:v>B Windows / WinFsp</x:v>
      </x:c>
      <x:c r="F134" s="10" t="str">
        <x:v>已通过</x:v>
      </x:c>
      <x:c r="G134" s="10" t="str">
        <x:v>本地后端 JuiceFS 同步／后台；NTFS 与直连结果在历史执行明细</x:v>
      </x:c>
      <x:c r="H134" s="10" t="str">
        <x:v>原版 WinFsp 2.1 外部模式的全部启用断言；与 NTFS 对照核对差异</x:v>
      </x:c>
      <x:c r="I134" s="10" t="str">
        <x:v>lock_noncached_overlapped_test</x:v>
      </x:c>
      <x:c r="J134" s="10" t="str">
        <x:v>E09；S06；S07</x:v>
      </x:c>
      <x:c r="K134" s="10" t="str">
        <x:v>参数化用例</x:v>
      </x:c>
      <x:c r="L134" s="10" t="str">
        <x:v>2026-10-10 历史结果；当前构建及三网盘尚未按严格配置复测。</x:v>
      </x:c>
      <x:c r="M134" s="10" t="str">
        <x:v>WinFsp tests 2.1.25156；--external --resilient +*</x:v>
      </x:c>
      <x:c r="N134" s="10" t="str">
        <x:v>Windows 完整语义目标；失败不自动排除</x:v>
      </x:c>
      <x:c r="O134" s="10" t="str">
        <x:v>本轮未复测</x:v>
      </x:c>
      <x:c r="P134" s="10" t="str">
        <x:v>原版外部套件</x:v>
      </x:c>
    </x:row>
    <x:row r="135" ht="44" customHeight="1">
      <x:c r="A135" s="11" t="str">
        <x:v>NATIVE-050</x:v>
      </x:c>
      <x:c r="B135" s="11" t="str">
        <x:v>L2</x:v>
      </x:c>
      <x:c r="C135" s="11" t="str">
        <x:v>并发与文件锁</x:v>
      </x:c>
      <x:c r="D135" s="11" t="str">
        <x:v>缓存文件锁（原版）</x:v>
      </x:c>
      <x:c r="E135" s="11" t="str">
        <x:v>B Windows / WinFsp</x:v>
      </x:c>
      <x:c r="F135" s="11" t="str">
        <x:v>已通过</x:v>
      </x:c>
      <x:c r="G135" s="11" t="str">
        <x:v>本地后端 JuiceFS 同步／后台；NTFS 与直连结果在历史执行明细</x:v>
      </x:c>
      <x:c r="H135" s="11" t="str">
        <x:v>原版 WinFsp 2.1 外部模式的全部启用断言；与 NTFS 对照核对差异</x:v>
      </x:c>
      <x:c r="I135" s="11" t="str">
        <x:v>lock_cached_test</x:v>
      </x:c>
      <x:c r="J135" s="11" t="str">
        <x:v>E09；S06；S07</x:v>
      </x:c>
      <x:c r="K135" s="11" t="str">
        <x:v>参数化用例</x:v>
      </x:c>
      <x:c r="L135" s="11" t="str">
        <x:v>2026-10-10 历史结果；当前构建及三网盘尚未按严格配置复测。</x:v>
      </x:c>
      <x:c r="M135" s="11" t="str">
        <x:v>WinFsp tests 2.1.25156；--external --resilient +*</x:v>
      </x:c>
      <x:c r="N135" s="11" t="str">
        <x:v>Windows 完整语义目标；失败不自动排除</x:v>
      </x:c>
      <x:c r="O135" s="11" t="str">
        <x:v>本轮未复测</x:v>
      </x:c>
      <x:c r="P135" s="11" t="str">
        <x:v>原版外部套件</x:v>
      </x:c>
    </x:row>
    <x:row r="136" ht="44" customHeight="1">
      <x:c r="A136" s="10" t="str">
        <x:v>NATIVE-051</x:v>
      </x:c>
      <x:c r="B136" s="10" t="str">
        <x:v>L2</x:v>
      </x:c>
      <x:c r="C136" s="10" t="str">
        <x:v>并发与文件锁</x:v>
      </x:c>
      <x:c r="D136" s="10" t="str">
        <x:v>缓存异步文件锁（原版）</x:v>
      </x:c>
      <x:c r="E136" s="10" t="str">
        <x:v>B Windows / WinFsp</x:v>
      </x:c>
      <x:c r="F136" s="10" t="str">
        <x:v>已通过</x:v>
      </x:c>
      <x:c r="G136" s="10" t="str">
        <x:v>本地后端 JuiceFS 同步／后台；NTFS 与直连结果在历史执行明细</x:v>
      </x:c>
      <x:c r="H136" s="10" t="str">
        <x:v>原版 WinFsp 2.1 外部模式的全部启用断言；与 NTFS 对照核对差异</x:v>
      </x:c>
      <x:c r="I136" s="10" t="str">
        <x:v>lock_cached_overlapped_test</x:v>
      </x:c>
      <x:c r="J136" s="10" t="str">
        <x:v>E09；S06；S07</x:v>
      </x:c>
      <x:c r="K136" s="10" t="str">
        <x:v>参数化用例</x:v>
      </x:c>
      <x:c r="L136" s="10" t="str">
        <x:v>2026-10-10 历史结果；当前构建及三网盘尚未按严格配置复测。</x:v>
      </x:c>
      <x:c r="M136" s="10" t="str">
        <x:v>WinFsp tests 2.1.25156；--external --resilient +*</x:v>
      </x:c>
      <x:c r="N136" s="10" t="str">
        <x:v>Windows 完整语义目标；失败不自动排除</x:v>
      </x:c>
      <x:c r="O136" s="10" t="str">
        <x:v>本轮未复测</x:v>
      </x:c>
      <x:c r="P136" s="10" t="str">
        <x:v>原版外部套件</x:v>
      </x:c>
    </x:row>
    <x:row r="137" ht="60" customHeight="1">
      <x:c r="A137" s="11" t="str">
        <x:v>NATIVE-074</x:v>
      </x:c>
      <x:c r="B137" s="11" t="str">
        <x:v>L2</x:v>
      </x:c>
      <x:c r="C137" s="11" t="str">
        <x:v>并发与文件锁</x:v>
      </x:c>
      <x:c r="D137" s="11" t="str">
        <x:v>命名流：共享打开（原版）</x:v>
      </x:c>
      <x:c r="E137" s="11" t="str">
        <x:v>B Windows / WinFsp</x:v>
      </x:c>
      <x:c r="F137" s="11" t="str">
        <x:v>已失败</x:v>
      </x:c>
      <x:c r="G137" s="11" t="str">
        <x:v>本地后端 JuiceFS 同步／后台；NTFS 与直连结果在历史执行明细</x:v>
      </x:c>
      <x:c r="H137" s="11" t="str">
        <x:v>原版 WinFsp 2.1 外部模式的全部启用断言；与 NTFS 对照核对差异</x:v>
      </x:c>
      <x:c r="I137" s="11" t="str">
        <x:v>stream_create_share_test</x:v>
      </x:c>
      <x:c r="J137" s="11" t="str">
        <x:v>E09；S06；S07</x:v>
      </x:c>
      <x:c r="K137" s="11" t="str">
        <x:v>参数化用例</x:v>
      </x:c>
      <x:c r="L137" s="11" t="str">
        <x:v>2026-10-10 历史结果；当前构建及三网盘尚未按严格配置复测。 ASSERT(INVALID_HANDLE_VALUE != Handle1) failed at stream-tests.c:627:stream_create_share_dotest (err=c0000033:123)</x:v>
      </x:c>
      <x:c r="M137" s="11" t="str">
        <x:v>WinFsp tests 2.1.25156；--external --resilient +*</x:v>
      </x:c>
      <x:c r="N137" s="11" t="str">
        <x:v>Windows 完整语义目标；失败不自动排除</x:v>
      </x:c>
      <x:c r="O137" s="11" t="str">
        <x:v>本轮未复测</x:v>
      </x:c>
      <x:c r="P137" s="11" t="str">
        <x:v>原版外部套件</x:v>
      </x:c>
    </x:row>
    <x:row r="138" ht="44" customHeight="1">
      <x:c r="A138" s="10" t="str">
        <x:v>NATIVE-085</x:v>
      </x:c>
      <x:c r="B138" s="10" t="str">
        <x:v>L2</x:v>
      </x:c>
      <x:c r="C138" s="10" t="str">
        <x:v>并发与文件锁</x:v>
      </x:c>
      <x:c r="D138" s="10" t="str">
        <x:v>机会锁：level1（原版）</x:v>
      </x:c>
      <x:c r="E138" s="10" t="str">
        <x:v>B Windows / WinFsp</x:v>
      </x:c>
      <x:c r="F138" s="10" t="str">
        <x:v>已通过</x:v>
      </x:c>
      <x:c r="G138" s="10" t="str">
        <x:v>本地后端 JuiceFS 同步／后台；NTFS 与直连结果在历史执行明细</x:v>
      </x:c>
      <x:c r="H138" s="10" t="str">
        <x:v>原版 WinFsp 2.1 外部模式的全部启用断言；与 NTFS 对照核对差异</x:v>
      </x:c>
      <x:c r="I138" s="10" t="str">
        <x:v>oplock_level1_test</x:v>
      </x:c>
      <x:c r="J138" s="10" t="str">
        <x:v>E09；S06；S07</x:v>
      </x:c>
      <x:c r="K138" s="10" t="str">
        <x:v>参数化用例</x:v>
      </x:c>
      <x:c r="L138" s="10" t="str">
        <x:v>2026-10-10 历史结果；当前构建及三网盘尚未按严格配置复测。</x:v>
      </x:c>
      <x:c r="M138" s="10" t="str">
        <x:v>WinFsp tests 2.1.25156；--external --resilient +*</x:v>
      </x:c>
      <x:c r="N138" s="10" t="str">
        <x:v>Windows 完整语义目标；失败不自动排除</x:v>
      </x:c>
      <x:c r="O138" s="10" t="str">
        <x:v>本轮未复测</x:v>
      </x:c>
      <x:c r="P138" s="10" t="str">
        <x:v>原版外部套件</x:v>
      </x:c>
    </x:row>
    <x:row r="139" ht="44" customHeight="1">
      <x:c r="A139" s="11" t="str">
        <x:v>NATIVE-086</x:v>
      </x:c>
      <x:c r="B139" s="11" t="str">
        <x:v>L2</x:v>
      </x:c>
      <x:c r="C139" s="11" t="str">
        <x:v>并发与文件锁</x:v>
      </x:c>
      <x:c r="D139" s="11" t="str">
        <x:v>机会锁：level2（原版）</x:v>
      </x:c>
      <x:c r="E139" s="11" t="str">
        <x:v>B Windows / WinFsp</x:v>
      </x:c>
      <x:c r="F139" s="11" t="str">
        <x:v>已通过</x:v>
      </x:c>
      <x:c r="G139" s="11" t="str">
        <x:v>本地后端 JuiceFS 同步／后台；NTFS 与直连结果在历史执行明细</x:v>
      </x:c>
      <x:c r="H139" s="11" t="str">
        <x:v>原版 WinFsp 2.1 外部模式的全部启用断言；与 NTFS 对照核对差异</x:v>
      </x:c>
      <x:c r="I139" s="11" t="str">
        <x:v>oplock_level2_test</x:v>
      </x:c>
      <x:c r="J139" s="11" t="str">
        <x:v>E09；S06；S07</x:v>
      </x:c>
      <x:c r="K139" s="11" t="str">
        <x:v>参数化用例</x:v>
      </x:c>
      <x:c r="L139" s="11" t="str">
        <x:v>2026-10-10 历史结果；当前构建及三网盘尚未按严格配置复测。</x:v>
      </x:c>
      <x:c r="M139" s="11" t="str">
        <x:v>WinFsp tests 2.1.25156；--external --resilient +*</x:v>
      </x:c>
      <x:c r="N139" s="11" t="str">
        <x:v>Windows 完整语义目标；失败不自动排除</x:v>
      </x:c>
      <x:c r="O139" s="11" t="str">
        <x:v>本轮未复测</x:v>
      </x:c>
      <x:c r="P139" s="11" t="str">
        <x:v>原版外部套件</x:v>
      </x:c>
    </x:row>
    <x:row r="140" ht="44" customHeight="1">
      <x:c r="A140" s="10" t="str">
        <x:v>NATIVE-087</x:v>
      </x:c>
      <x:c r="B140" s="10" t="str">
        <x:v>L2</x:v>
      </x:c>
      <x:c r="C140" s="10" t="str">
        <x:v>并发与文件锁</x:v>
      </x:c>
      <x:c r="D140" s="10" t="str">
        <x:v>机会锁：batch（原版）</x:v>
      </x:c>
      <x:c r="E140" s="10" t="str">
        <x:v>B Windows / WinFsp</x:v>
      </x:c>
      <x:c r="F140" s="10" t="str">
        <x:v>已通过</x:v>
      </x:c>
      <x:c r="G140" s="10" t="str">
        <x:v>本地后端 JuiceFS 同步／后台；NTFS 与直连结果在历史执行明细</x:v>
      </x:c>
      <x:c r="H140" s="10" t="str">
        <x:v>原版 WinFsp 2.1 外部模式的全部启用断言；与 NTFS 对照核对差异</x:v>
      </x:c>
      <x:c r="I140" s="10" t="str">
        <x:v>oplock_batch_test</x:v>
      </x:c>
      <x:c r="J140" s="10" t="str">
        <x:v>E09；S06；S07</x:v>
      </x:c>
      <x:c r="K140" s="10" t="str">
        <x:v>参数化用例</x:v>
      </x:c>
      <x:c r="L140" s="10" t="str">
        <x:v>2026-10-10 历史结果；当前构建及三网盘尚未按严格配置复测。</x:v>
      </x:c>
      <x:c r="M140" s="10" t="str">
        <x:v>WinFsp tests 2.1.25156；--external --resilient +*</x:v>
      </x:c>
      <x:c r="N140" s="10" t="str">
        <x:v>Windows 完整语义目标；失败不自动排除</x:v>
      </x:c>
      <x:c r="O140" s="10" t="str">
        <x:v>本轮未复测</x:v>
      </x:c>
      <x:c r="P140" s="10" t="str">
        <x:v>原版外部套件</x:v>
      </x:c>
    </x:row>
    <x:row r="141" ht="44" customHeight="1">
      <x:c r="A141" s="11" t="str">
        <x:v>NATIVE-088</x:v>
      </x:c>
      <x:c r="B141" s="11" t="str">
        <x:v>L2</x:v>
      </x:c>
      <x:c r="C141" s="11" t="str">
        <x:v>并发与文件锁</x:v>
      </x:c>
      <x:c r="D141" s="11" t="str">
        <x:v>机会锁：filter（原版）</x:v>
      </x:c>
      <x:c r="E141" s="11" t="str">
        <x:v>B Windows / WinFsp</x:v>
      </x:c>
      <x:c r="F141" s="11" t="str">
        <x:v>已通过</x:v>
      </x:c>
      <x:c r="G141" s="11" t="str">
        <x:v>本地后端 JuiceFS 同步／后台；NTFS 与直连结果在历史执行明细</x:v>
      </x:c>
      <x:c r="H141" s="11" t="str">
        <x:v>原版 WinFsp 2.1 外部模式的全部启用断言；与 NTFS 对照核对差异</x:v>
      </x:c>
      <x:c r="I141" s="11" t="str">
        <x:v>oplock_filter_test</x:v>
      </x:c>
      <x:c r="J141" s="11" t="str">
        <x:v>E09；S06；S07</x:v>
      </x:c>
      <x:c r="K141" s="11" t="str">
        <x:v>参数化用例</x:v>
      </x:c>
      <x:c r="L141" s="11" t="str">
        <x:v>2026-10-10 历史结果；当前构建及三网盘尚未按严格配置复测。</x:v>
      </x:c>
      <x:c r="M141" s="11" t="str">
        <x:v>WinFsp tests 2.1.25156；--external --resilient +*</x:v>
      </x:c>
      <x:c r="N141" s="11" t="str">
        <x:v>Windows 完整语义目标；失败不自动排除</x:v>
      </x:c>
      <x:c r="O141" s="11" t="str">
        <x:v>本轮未复测</x:v>
      </x:c>
      <x:c r="P141" s="11" t="str">
        <x:v>原版外部套件</x:v>
      </x:c>
    </x:row>
    <x:row r="142" ht="44" customHeight="1">
      <x:c r="A142" s="10" t="str">
        <x:v>NATIVE-089</x:v>
      </x:c>
      <x:c r="B142" s="10" t="str">
        <x:v>L2</x:v>
      </x:c>
      <x:c r="C142" s="10" t="str">
        <x:v>并发与文件锁</x:v>
      </x:c>
      <x:c r="D142" s="10" t="str">
        <x:v>机会锁：rwh（原版）</x:v>
      </x:c>
      <x:c r="E142" s="10" t="str">
        <x:v>B Windows / WinFsp</x:v>
      </x:c>
      <x:c r="F142" s="10" t="str">
        <x:v>已通过</x:v>
      </x:c>
      <x:c r="G142" s="10" t="str">
        <x:v>本地后端 JuiceFS 同步／后台；NTFS 与直连结果在历史执行明细</x:v>
      </x:c>
      <x:c r="H142" s="10" t="str">
        <x:v>原版 WinFsp 2.1 外部模式的全部启用断言；与 NTFS 对照核对差异</x:v>
      </x:c>
      <x:c r="I142" s="10" t="str">
        <x:v>oplock_rwh_test</x:v>
      </x:c>
      <x:c r="J142" s="10" t="str">
        <x:v>E09；S06；S07</x:v>
      </x:c>
      <x:c r="K142" s="10" t="str">
        <x:v>参数化用例</x:v>
      </x:c>
      <x:c r="L142" s="10" t="str">
        <x:v>2026-10-10 历史结果；当前构建及三网盘尚未按严格配置复测。</x:v>
      </x:c>
      <x:c r="M142" s="10" t="str">
        <x:v>WinFsp tests 2.1.25156；--external --resilient +*</x:v>
      </x:c>
      <x:c r="N142" s="10" t="str">
        <x:v>Windows 完整语义目标；失败不自动排除</x:v>
      </x:c>
      <x:c r="O142" s="10" t="str">
        <x:v>本轮未复测</x:v>
      </x:c>
      <x:c r="P142" s="10" t="str">
        <x:v>原版外部套件</x:v>
      </x:c>
    </x:row>
    <x:row r="143" ht="44" customHeight="1">
      <x:c r="A143" s="11" t="str">
        <x:v>NATIVE-090</x:v>
      </x:c>
      <x:c r="B143" s="11" t="str">
        <x:v>L2</x:v>
      </x:c>
      <x:c r="C143" s="11" t="str">
        <x:v>并发与文件锁</x:v>
      </x:c>
      <x:c r="D143" s="11" t="str">
        <x:v>机会锁：rw（原版）</x:v>
      </x:c>
      <x:c r="E143" s="11" t="str">
        <x:v>B Windows / WinFsp</x:v>
      </x:c>
      <x:c r="F143" s="11" t="str">
        <x:v>已通过</x:v>
      </x:c>
      <x:c r="G143" s="11" t="str">
        <x:v>本地后端 JuiceFS 同步／后台；NTFS 与直连结果在历史执行明细</x:v>
      </x:c>
      <x:c r="H143" s="11" t="str">
        <x:v>原版 WinFsp 2.1 外部模式的全部启用断言；与 NTFS 对照核对差异</x:v>
      </x:c>
      <x:c r="I143" s="11" t="str">
        <x:v>oplock_rw_test</x:v>
      </x:c>
      <x:c r="J143" s="11" t="str">
        <x:v>E09；S06；S07</x:v>
      </x:c>
      <x:c r="K143" s="11" t="str">
        <x:v>参数化用例</x:v>
      </x:c>
      <x:c r="L143" s="11" t="str">
        <x:v>2026-10-10 历史结果；当前构建及三网盘尚未按严格配置复测。</x:v>
      </x:c>
      <x:c r="M143" s="11" t="str">
        <x:v>WinFsp tests 2.1.25156；--external --resilient +*</x:v>
      </x:c>
      <x:c r="N143" s="11" t="str">
        <x:v>Windows 完整语义目标；失败不自动排除</x:v>
      </x:c>
      <x:c r="O143" s="11" t="str">
        <x:v>本轮未复测</x:v>
      </x:c>
      <x:c r="P143" s="11" t="str">
        <x:v>原版外部套件</x:v>
      </x:c>
    </x:row>
    <x:row r="144" ht="44" customHeight="1">
      <x:c r="A144" s="10" t="str">
        <x:v>NATIVE-091</x:v>
      </x:c>
      <x:c r="B144" s="10" t="str">
        <x:v>L2</x:v>
      </x:c>
      <x:c r="C144" s="10" t="str">
        <x:v>并发与文件锁</x:v>
      </x:c>
      <x:c r="D144" s="10" t="str">
        <x:v>机会锁：rh（原版）</x:v>
      </x:c>
      <x:c r="E144" s="10" t="str">
        <x:v>B Windows / WinFsp</x:v>
      </x:c>
      <x:c r="F144" s="10" t="str">
        <x:v>已通过</x:v>
      </x:c>
      <x:c r="G144" s="10" t="str">
        <x:v>本地后端 JuiceFS 同步／后台；NTFS 与直连结果在历史执行明细</x:v>
      </x:c>
      <x:c r="H144" s="10" t="str">
        <x:v>原版 WinFsp 2.1 外部模式的全部启用断言；与 NTFS 对照核对差异</x:v>
      </x:c>
      <x:c r="I144" s="10" t="str">
        <x:v>oplock_rh_test</x:v>
      </x:c>
      <x:c r="J144" s="10" t="str">
        <x:v>E09；S06；S07</x:v>
      </x:c>
      <x:c r="K144" s="10" t="str">
        <x:v>参数化用例</x:v>
      </x:c>
      <x:c r="L144" s="10" t="str">
        <x:v>2026-10-10 历史结果；当前构建及三网盘尚未按严格配置复测。</x:v>
      </x:c>
      <x:c r="M144" s="10" t="str">
        <x:v>WinFsp tests 2.1.25156；--external --resilient +*</x:v>
      </x:c>
      <x:c r="N144" s="10" t="str">
        <x:v>Windows 完整语义目标；失败不自动排除</x:v>
      </x:c>
      <x:c r="O144" s="10" t="str">
        <x:v>本轮未复测</x:v>
      </x:c>
      <x:c r="P144" s="10" t="str">
        <x:v>原版外部套件</x:v>
      </x:c>
    </x:row>
    <x:row r="145" ht="44" customHeight="1">
      <x:c r="A145" s="11" t="str">
        <x:v>NATIVE-092</x:v>
      </x:c>
      <x:c r="B145" s="11" t="str">
        <x:v>L2</x:v>
      </x:c>
      <x:c r="C145" s="11" t="str">
        <x:v>并发与文件锁</x:v>
      </x:c>
      <x:c r="D145" s="11" t="str">
        <x:v>机会锁：r（原版）</x:v>
      </x:c>
      <x:c r="E145" s="11" t="str">
        <x:v>B Windows / WinFsp</x:v>
      </x:c>
      <x:c r="F145" s="11" t="str">
        <x:v>已通过</x:v>
      </x:c>
      <x:c r="G145" s="11" t="str">
        <x:v>本地后端 JuiceFS 同步／后台；NTFS 与直连结果在历史执行明细</x:v>
      </x:c>
      <x:c r="H145" s="11" t="str">
        <x:v>原版 WinFsp 2.1 外部模式的全部启用断言；与 NTFS 对照核对差异</x:v>
      </x:c>
      <x:c r="I145" s="11" t="str">
        <x:v>oplock_r_test</x:v>
      </x:c>
      <x:c r="J145" s="11" t="str">
        <x:v>E09；S06；S07</x:v>
      </x:c>
      <x:c r="K145" s="11" t="str">
        <x:v>参数化用例</x:v>
      </x:c>
      <x:c r="L145" s="11" t="str">
        <x:v>2026-10-10 历史结果；当前构建及三网盘尚未按严格配置复测。</x:v>
      </x:c>
      <x:c r="M145" s="11" t="str">
        <x:v>WinFsp tests 2.1.25156；--external --resilient +*</x:v>
      </x:c>
      <x:c r="N145" s="11" t="str">
        <x:v>Windows 完整语义目标；失败不自动排除</x:v>
      </x:c>
      <x:c r="O145" s="11" t="str">
        <x:v>本轮未复测</x:v>
      </x:c>
      <x:c r="P145" s="11" t="str">
        <x:v>原版外部套件</x:v>
      </x:c>
    </x:row>
    <x:row r="146" ht="44" customHeight="1">
      <x:c r="A146" s="10" t="str">
        <x:v>NATIVE-093</x:v>
      </x:c>
      <x:c r="B146" s="10" t="str">
        <x:v>L2</x:v>
      </x:c>
      <x:c r="C146" s="10" t="str">
        <x:v>并发与文件锁</x:v>
      </x:c>
      <x:c r="D146" s="10" t="str">
        <x:v>机会锁：not_granted（原版）</x:v>
      </x:c>
      <x:c r="E146" s="10" t="str">
        <x:v>B Windows / WinFsp</x:v>
      </x:c>
      <x:c r="F146" s="10" t="str">
        <x:v>已通过</x:v>
      </x:c>
      <x:c r="G146" s="10" t="str">
        <x:v>本地后端 JuiceFS 同步／后台；NTFS 与直连结果在历史执行明细</x:v>
      </x:c>
      <x:c r="H146" s="10" t="str">
        <x:v>原版 WinFsp 2.1 外部模式的全部启用断言；与 NTFS 对照核对差异</x:v>
      </x:c>
      <x:c r="I146" s="10" t="str">
        <x:v>oplock_not_granted_test</x:v>
      </x:c>
      <x:c r="J146" s="10" t="str">
        <x:v>E09；S06；S07</x:v>
      </x:c>
      <x:c r="K146" s="10" t="str">
        <x:v>参数化用例</x:v>
      </x:c>
      <x:c r="L146" s="10" t="str">
        <x:v>2026-10-10 历史结果；当前构建及三网盘尚未按严格配置复测。</x:v>
      </x:c>
      <x:c r="M146" s="10" t="str">
        <x:v>WinFsp tests 2.1.25156；--external --resilient +*</x:v>
      </x:c>
      <x:c r="N146" s="10" t="str">
        <x:v>Windows 完整语义目标；失败不自动排除</x:v>
      </x:c>
      <x:c r="O146" s="10" t="str">
        <x:v>本轮未复测</x:v>
      </x:c>
      <x:c r="P146" s="10" t="str">
        <x:v>原版外部套件</x:v>
      </x:c>
    </x:row>
    <x:row r="147" ht="108" customHeight="1">
      <x:c r="A147" s="11" t="str">
        <x:v>NATIVE-103</x:v>
      </x:c>
      <x:c r="B147" s="11" t="str">
        <x:v>L2</x:v>
      </x:c>
      <x:c r="C147" s="11" t="str">
        <x:v>并发与文件锁</x:v>
      </x:c>
      <x:c r="D147" s="11" t="str">
        <x:v>待删除状态与目录枚举（原版）</x:v>
      </x:c>
      <x:c r="E147" s="11" t="str">
        <x:v>B Windows / WinFsp</x:v>
      </x:c>
      <x:c r="F147" s="11" t="str">
        <x:v>已失败</x:v>
      </x:c>
      <x:c r="G147" s="11" t="str">
        <x:v>本地后端 JuiceFS 同步／后台；NTFS 与直连结果在历史执行明细</x:v>
      </x:c>
      <x:c r="H147" s="11" t="str">
        <x:v>STATUS_DELETE_PENDING</x:v>
      </x:c>
      <x:c r="I147" s="11" t="str">
        <x:v>winfstest-base/08.t</x:v>
      </x:c>
      <x:c r="J147" s="11" t="str">
        <x:v>E09；S06；S07</x:v>
      </x:c>
      <x:c r="K147" s="11" t="str">
        <x:v>脚本组</x:v>
      </x:c>
      <x:c r="L147" s="11" t="str">
        <x:v>2026-10-10 历史结果；当前构建及三网盘尚未按严格配置复测。 NTFS 同名用例也失败，需比较具体断言，不能自动豁免。 not ok 4 - expect "CreateFile 478adcd7 GENERIC_READ FILE_SHARE_READ+FILE_SHARE_WRITE+FILE_SHARE_DELETE 0 OPEN_EXISTING 0 0" ERROR_ACCESS_DENIED - got ERROR_FILE_NOT_FOUND not ok 9 - testeval(len(s) == 3) not ok 12 - testeval("foo" in s)</x:v>
      </x:c>
      <x:c r="M147" s="11" t="str">
        <x:v>secfs.test 6ac65cda46abc2be39c7b137debf9521052edbaf</x:v>
      </x:c>
      <x:c r="N147" s="11" t="str">
        <x:v>Windows 完整语义目标；失败不自动排除</x:v>
      </x:c>
      <x:c r="O147" s="11" t="str">
        <x:v>本轮未复测</x:v>
      </x:c>
      <x:c r="P147" s="11" t="str">
        <x:v>原版外部套件</x:v>
      </x:c>
    </x:row>
    <x:row r="148" ht="44" customHeight="1">
      <x:c r="A148" s="10" t="str">
        <x:v>NATIVE-104</x:v>
      </x:c>
      <x:c r="B148" s="10" t="str">
        <x:v>L2</x:v>
      </x:c>
      <x:c r="C148" s="10" t="str">
        <x:v>并发与文件锁</x:v>
      </x:c>
      <x:c r="D148" s="10" t="str">
        <x:v>文件共享模式（原版）</x:v>
      </x:c>
      <x:c r="E148" s="10" t="str">
        <x:v>B Windows / WinFsp</x:v>
      </x:c>
      <x:c r="F148" s="10" t="str">
        <x:v>已通过</x:v>
      </x:c>
      <x:c r="G148" s="10" t="str">
        <x:v>本地后端 JuiceFS 同步／后台；NTFS 与直连结果在历史执行明细</x:v>
      </x:c>
      <x:c r="H148" s="10" t="str">
        <x:v>CreateFile share mode</x:v>
      </x:c>
      <x:c r="I148" s="10" t="str">
        <x:v>winfstest-base/09.t</x:v>
      </x:c>
      <x:c r="J148" s="10" t="str">
        <x:v>E09；S06；S07</x:v>
      </x:c>
      <x:c r="K148" s="10" t="str">
        <x:v>脚本组</x:v>
      </x:c>
      <x:c r="L148" s="10" t="str">
        <x:v>2026-10-10 历史结果；当前构建及三网盘尚未按严格配置复测。</x:v>
      </x:c>
      <x:c r="M148" s="10" t="str">
        <x:v>secfs.test 6ac65cda46abc2be39c7b137debf9521052edbaf</x:v>
      </x:c>
      <x:c r="N148" s="10" t="str">
        <x:v>Windows 完整语义目标；失败不自动排除</x:v>
      </x:c>
      <x:c r="O148" s="10" t="str">
        <x:v>本轮未复测</x:v>
      </x:c>
      <x:c r="P148" s="10" t="str">
        <x:v>原版外部套件</x:v>
      </x:c>
    </x:row>
    <x:row r="149" ht="44" customHeight="1">
      <x:c r="A149" s="11" t="str">
        <x:v>WFP-06</x:v>
      </x:c>
      <x:c r="B149" s="11" t="str">
        <x:v>L2</x:v>
      </x:c>
      <x:c r="C149" s="11" t="str">
        <x:v>并发与文件锁</x:v>
      </x:c>
      <x:c r="D149" s="11" t="str">
        <x:v>打开共享模式</x:v>
      </x:c>
      <x:c r="E149" s="11" t="str">
        <x:v>B Windows / WinFsp</x:v>
      </x:c>
      <x:c r="F149" s="11" t="str">
        <x:v>已通过</x:v>
      </x:c>
      <x:c r="G149" s="11" t="str">
        <x:v>本地、百度、Google、OneDrive；同步/后台，共 8 组</x:v>
      </x:c>
      <x:c r="H149" s="11" t="str">
        <x:v>该用例在官方 FUSE 兼容参数下通过；断言范围以原用例为准</x:v>
      </x:c>
      <x:c r="I149" s="11" t="str">
        <x:v>create_share_test</x:v>
      </x:c>
      <x:c r="J149" s="11" t="str">
        <x:v>E01；S04</x:v>
      </x:c>
      <x:c r="K149" s="11" t="str">
        <x:v>用例</x:v>
      </x:c>
      <x:c r="L149" s="11" t="str">
        <x:v>--fuse-external --resilient --case-insensitive-cmp；不代表全部 NTFS 语义</x:v>
      </x:c>
      <x:c r="M149" s="11" t="str">
        <x:v>juicedata/winfsp testing_suit_20250324；默认 FUSE 参数</x:v>
      </x:c>
      <x:c r="N149" s="11" t="str">
        <x:v>Windows 单机产品；按已测范围解释</x:v>
      </x:c>
      <x:c r="O149" s="11" t="str">
        <x:v>本轮仅补充矩阵，未复测</x:v>
      </x:c>
      <x:c r="P149" s="11" t="str">
        <x:v>JuiceFS fork 外部</x:v>
      </x:c>
    </x:row>
    <x:row r="150" ht="44" customHeight="1">
      <x:c r="A150" s="10" t="str">
        <x:v>WFP-12</x:v>
      </x:c>
      <x:c r="B150" s="10" t="str">
        <x:v>L2</x:v>
      </x:c>
      <x:c r="C150" s="10" t="str">
        <x:v>并发与文件锁</x:v>
      </x:c>
      <x:c r="D150" s="10" t="str">
        <x:v>打开句柄下的待删除状态</x:v>
      </x:c>
      <x:c r="E150" s="10" t="str">
        <x:v>B Windows / WinFsp</x:v>
      </x:c>
      <x:c r="F150" s="10" t="str">
        <x:v>已通过</x:v>
      </x:c>
      <x:c r="G150" s="10" t="str">
        <x:v>本地、百度、Google、OneDrive；同步/后台，共 8 组</x:v>
      </x:c>
      <x:c r="H150" s="10" t="str">
        <x:v>该用例在官方 FUSE 兼容参数下通过；断言范围以原用例为准</x:v>
      </x:c>
      <x:c r="I150" s="10" t="str">
        <x:v>delete_pending_test</x:v>
      </x:c>
      <x:c r="J150" s="10" t="str">
        <x:v>E01；S04</x:v>
      </x:c>
      <x:c r="K150" s="10" t="str">
        <x:v>用例</x:v>
      </x:c>
      <x:c r="L150" s="10" t="str">
        <x:v>--fuse-external --resilient --case-insensitive-cmp；不代表全部 NTFS 语义</x:v>
      </x:c>
      <x:c r="M150" s="10" t="str">
        <x:v>juicedata/winfsp testing_suit_20250324；默认 FUSE 参数</x:v>
      </x:c>
      <x:c r="N150" s="10" t="str">
        <x:v>Windows 单机产品；按已测范围解释</x:v>
      </x:c>
      <x:c r="O150" s="10" t="str">
        <x:v>本轮仅补充矩阵，未复测</x:v>
      </x:c>
      <x:c r="P150" s="10" t="str">
        <x:v>JuiceFS fork 外部</x:v>
      </x:c>
    </x:row>
    <x:row r="151" ht="44" customHeight="1">
      <x:c r="A151" s="11" t="str">
        <x:v>WFP-18</x:v>
      </x:c>
      <x:c r="B151" s="11" t="str">
        <x:v>L2</x:v>
      </x:c>
      <x:c r="C151" s="11" t="str">
        <x:v>并发与文件锁</x:v>
      </x:c>
      <x:c r="D151" s="11" t="str">
        <x:v>打开文件重命名</x:v>
      </x:c>
      <x:c r="E151" s="11" t="str">
        <x:v>B Windows / WinFsp</x:v>
      </x:c>
      <x:c r="F151" s="11" t="str">
        <x:v>已通过</x:v>
      </x:c>
      <x:c r="G151" s="11" t="str">
        <x:v>本地、百度、Google、OneDrive；同步/后台，共 8 组</x:v>
      </x:c>
      <x:c r="H151" s="11" t="str">
        <x:v>该用例在官方 FUSE 兼容参数下通过；断言范围以原用例为准</x:v>
      </x:c>
      <x:c r="I151" s="11" t="str">
        <x:v>rename_open_test</x:v>
      </x:c>
      <x:c r="J151" s="11" t="str">
        <x:v>E01；S04</x:v>
      </x:c>
      <x:c r="K151" s="11" t="str">
        <x:v>用例</x:v>
      </x:c>
      <x:c r="L151" s="11" t="str">
        <x:v>--fuse-external --resilient --case-insensitive-cmp；不代表全部 NTFS 语义</x:v>
      </x:c>
      <x:c r="M151" s="11" t="str">
        <x:v>juicedata/winfsp testing_suit_20250324；默认 FUSE 参数</x:v>
      </x:c>
      <x:c r="N151" s="11" t="str">
        <x:v>Windows 单机产品；按已测范围解释</x:v>
      </x:c>
      <x:c r="O151" s="11" t="str">
        <x:v>本轮仅补充矩阵，未复测</x:v>
      </x:c>
      <x:c r="P151" s="11" t="str">
        <x:v>JuiceFS fork 外部</x:v>
      </x:c>
    </x:row>
    <x:row r="152" ht="44" customHeight="1">
      <x:c r="A152" s="10" t="str">
        <x:v>WFP-39</x:v>
      </x:c>
      <x:c r="B152" s="10" t="str">
        <x:v>L2</x:v>
      </x:c>
      <x:c r="C152" s="10" t="str">
        <x:v>并发与文件锁</x:v>
      </x:c>
      <x:c r="D152" s="10" t="str">
        <x:v>非缓存文件锁</x:v>
      </x:c>
      <x:c r="E152" s="10" t="str">
        <x:v>B Windows / WinFsp</x:v>
      </x:c>
      <x:c r="F152" s="10" t="str">
        <x:v>已通过</x:v>
      </x:c>
      <x:c r="G152" s="10" t="str">
        <x:v>本地、百度、Google、OneDrive；同步/后台，共 8 组</x:v>
      </x:c>
      <x:c r="H152" s="10" t="str">
        <x:v>该用例在官方 FUSE 兼容参数下通过；断言范围以原用例为准</x:v>
      </x:c>
      <x:c r="I152" s="10" t="str">
        <x:v>lock_noncached_test</x:v>
      </x:c>
      <x:c r="J152" s="10" t="str">
        <x:v>E01；S04</x:v>
      </x:c>
      <x:c r="K152" s="10" t="str">
        <x:v>用例</x:v>
      </x:c>
      <x:c r="L152" s="10" t="str">
        <x:v>--fuse-external --resilient --case-insensitive-cmp；不代表全部 NTFS 语义</x:v>
      </x:c>
      <x:c r="M152" s="10" t="str">
        <x:v>juicedata/winfsp testing_suit_20250324；默认 FUSE 参数</x:v>
      </x:c>
      <x:c r="N152" s="10" t="str">
        <x:v>Windows 单机产品；按已测范围解释</x:v>
      </x:c>
      <x:c r="O152" s="10" t="str">
        <x:v>本轮仅补充矩阵，未复测</x:v>
      </x:c>
      <x:c r="P152" s="10" t="str">
        <x:v>JuiceFS fork 外部</x:v>
      </x:c>
    </x:row>
    <x:row r="153" ht="44" customHeight="1">
      <x:c r="A153" s="11" t="str">
        <x:v>WFP-40</x:v>
      </x:c>
      <x:c r="B153" s="11" t="str">
        <x:v>L2</x:v>
      </x:c>
      <x:c r="C153" s="11" t="str">
        <x:v>并发与文件锁</x:v>
      </x:c>
      <x:c r="D153" s="11" t="str">
        <x:v>非缓存异步文件锁</x:v>
      </x:c>
      <x:c r="E153" s="11" t="str">
        <x:v>B Windows / WinFsp</x:v>
      </x:c>
      <x:c r="F153" s="11" t="str">
        <x:v>已通过</x:v>
      </x:c>
      <x:c r="G153" s="11" t="str">
        <x:v>本地、百度、Google、OneDrive；同步/后台，共 8 组</x:v>
      </x:c>
      <x:c r="H153" s="11" t="str">
        <x:v>该用例在官方 FUSE 兼容参数下通过；断言范围以原用例为准</x:v>
      </x:c>
      <x:c r="I153" s="11" t="str">
        <x:v>lock_noncached_overlapped_test</x:v>
      </x:c>
      <x:c r="J153" s="11" t="str">
        <x:v>E01；S04</x:v>
      </x:c>
      <x:c r="K153" s="11" t="str">
        <x:v>用例</x:v>
      </x:c>
      <x:c r="L153" s="11" t="str">
        <x:v>--fuse-external --resilient --case-insensitive-cmp；不代表全部 NTFS 语义</x:v>
      </x:c>
      <x:c r="M153" s="11" t="str">
        <x:v>juicedata/winfsp testing_suit_20250324；默认 FUSE 参数</x:v>
      </x:c>
      <x:c r="N153" s="11" t="str">
        <x:v>Windows 单机产品；按已测范围解释</x:v>
      </x:c>
      <x:c r="O153" s="11" t="str">
        <x:v>本轮仅补充矩阵，未复测</x:v>
      </x:c>
      <x:c r="P153" s="11" t="str">
        <x:v>JuiceFS fork 外部</x:v>
      </x:c>
    </x:row>
    <x:row r="154" ht="44" customHeight="1">
      <x:c r="A154" s="10" t="str">
        <x:v>WFP-41</x:v>
      </x:c>
      <x:c r="B154" s="10" t="str">
        <x:v>L2</x:v>
      </x:c>
      <x:c r="C154" s="10" t="str">
        <x:v>并发与文件锁</x:v>
      </x:c>
      <x:c r="D154" s="10" t="str">
        <x:v>缓存文件锁</x:v>
      </x:c>
      <x:c r="E154" s="10" t="str">
        <x:v>B Windows / WinFsp</x:v>
      </x:c>
      <x:c r="F154" s="10" t="str">
        <x:v>已通过</x:v>
      </x:c>
      <x:c r="G154" s="10" t="str">
        <x:v>本地、百度、Google、OneDrive；同步/后台，共 8 组</x:v>
      </x:c>
      <x:c r="H154" s="10" t="str">
        <x:v>该用例在官方 FUSE 兼容参数下通过；断言范围以原用例为准</x:v>
      </x:c>
      <x:c r="I154" s="10" t="str">
        <x:v>lock_cached_test</x:v>
      </x:c>
      <x:c r="J154" s="10" t="str">
        <x:v>E01；S04</x:v>
      </x:c>
      <x:c r="K154" s="10" t="str">
        <x:v>用例</x:v>
      </x:c>
      <x:c r="L154" s="10" t="str">
        <x:v>--fuse-external --resilient --case-insensitive-cmp；不代表全部 NTFS 语义</x:v>
      </x:c>
      <x:c r="M154" s="10" t="str">
        <x:v>juicedata/winfsp testing_suit_20250324；默认 FUSE 参数</x:v>
      </x:c>
      <x:c r="N154" s="10" t="str">
        <x:v>Windows 单机产品；按已测范围解释</x:v>
      </x:c>
      <x:c r="O154" s="10" t="str">
        <x:v>本轮仅补充矩阵，未复测</x:v>
      </x:c>
      <x:c r="P154" s="10" t="str">
        <x:v>JuiceFS fork 外部</x:v>
      </x:c>
    </x:row>
    <x:row r="155" ht="44" customHeight="1">
      <x:c r="A155" s="11" t="str">
        <x:v>WFP-42</x:v>
      </x:c>
      <x:c r="B155" s="11" t="str">
        <x:v>L2</x:v>
      </x:c>
      <x:c r="C155" s="11" t="str">
        <x:v>并发与文件锁</x:v>
      </x:c>
      <x:c r="D155" s="11" t="str">
        <x:v>缓存异步文件锁</x:v>
      </x:c>
      <x:c r="E155" s="11" t="str">
        <x:v>B Windows / WinFsp</x:v>
      </x:c>
      <x:c r="F155" s="11" t="str">
        <x:v>已通过</x:v>
      </x:c>
      <x:c r="G155" s="11" t="str">
        <x:v>本地、百度、Google、OneDrive；同步/后台，共 8 组</x:v>
      </x:c>
      <x:c r="H155" s="11" t="str">
        <x:v>该用例在官方 FUSE 兼容参数下通过；断言范围以原用例为准</x:v>
      </x:c>
      <x:c r="I155" s="11" t="str">
        <x:v>lock_cached_overlapped_test</x:v>
      </x:c>
      <x:c r="J155" s="11" t="str">
        <x:v>E01；S04</x:v>
      </x:c>
      <x:c r="K155" s="11" t="str">
        <x:v>用例</x:v>
      </x:c>
      <x:c r="L155" s="11" t="str">
        <x:v>--fuse-external --resilient --case-insensitive-cmp；不代表全部 NTFS 语义</x:v>
      </x:c>
      <x:c r="M155" s="11" t="str">
        <x:v>juicedata/winfsp testing_suit_20250324；默认 FUSE 参数</x:v>
      </x:c>
      <x:c r="N155" s="11" t="str">
        <x:v>Windows 单机产品；按已测范围解释</x:v>
      </x:c>
      <x:c r="O155" s="11" t="str">
        <x:v>本轮仅补充矩阵，未复测</x:v>
      </x:c>
      <x:c r="P155" s="11" t="str">
        <x:v>JuiceFS fork 外部</x:v>
      </x:c>
    </x:row>
    <x:row r="156" ht="44" customHeight="1">
      <x:c r="A156" s="10" t="str">
        <x:v>WFP-OPT-17</x:v>
      </x:c>
      <x:c r="B156" s="10" t="str">
        <x:v>L2</x:v>
      </x:c>
      <x:c r="C156" s="10" t="str">
        <x:v>并发与文件锁</x:v>
      </x:c>
      <x:c r="D156" s="10" t="str">
        <x:v>命名流：共享打开（JuiceFS fork）</x:v>
      </x:c>
      <x:c r="E156" s="10" t="str">
        <x:v>B Windows / WinFsp</x:v>
      </x:c>
      <x:c r="F156" s="10" t="str">
        <x:v>待执行</x:v>
      </x:c>
      <x:c r="G156" s="10" t="str">
        <x:v>JuiceFS 测试包全部外部模式；此版本无逐项执行证据</x:v>
      </x:c>
      <x:c r="H156" s="10" t="str">
        <x:v>保留该测试包断言；原版同名结果不能转记为此包通过</x:v>
      </x:c>
      <x:c r="I156" s="10" t="str">
        <x:v>stream_create_share_test</x:v>
      </x:c>
      <x:c r="J156" s="10" t="str">
        <x:v>S04；E10</x:v>
      </x:c>
      <x:c r="K156" s="10" t="str">
        <x:v>用例</x:v>
      </x:c>
      <x:c r="L156" s="10" t="str">
        <x:v>已完整登记；原版同名入口见 NATIVE-074，执行版本和参数不同</x:v>
      </x:c>
      <x:c r="M156" s="10" t="str">
        <x:v>juicedata/winfsp testing_suit_20250324；--external --resilient +*</x:v>
      </x:c>
      <x:c r="N156" s="10" t="str">
        <x:v>Windows 语义补测</x:v>
      </x:c>
      <x:c r="O156" s="10" t="str">
        <x:v>未执行该版本入口</x:v>
      </x:c>
      <x:c r="P156" s="10" t="str">
        <x:v>JuiceFS fork 外部</x:v>
      </x:c>
    </x:row>
    <x:row r="157" ht="44" customHeight="1">
      <x:c r="A157" s="11" t="str">
        <x:v>WFP-OPT-28</x:v>
      </x:c>
      <x:c r="B157" s="11" t="str">
        <x:v>L2</x:v>
      </x:c>
      <x:c r="C157" s="11" t="str">
        <x:v>并发与文件锁</x:v>
      </x:c>
      <x:c r="D157" s="11" t="str">
        <x:v>机会锁：level1（JuiceFS fork）</x:v>
      </x:c>
      <x:c r="E157" s="11" t="str">
        <x:v>B Windows / WinFsp</x:v>
      </x:c>
      <x:c r="F157" s="11" t="str">
        <x:v>待执行</x:v>
      </x:c>
      <x:c r="G157" s="11" t="str">
        <x:v>JuiceFS 测试包全部外部模式；此版本无逐项执行证据</x:v>
      </x:c>
      <x:c r="H157" s="11" t="str">
        <x:v>保留该测试包断言；原版同名结果不能转记为此包通过</x:v>
      </x:c>
      <x:c r="I157" s="11" t="str">
        <x:v>oplock_level1_test</x:v>
      </x:c>
      <x:c r="J157" s="11" t="str">
        <x:v>S04；E10</x:v>
      </x:c>
      <x:c r="K157" s="11" t="str">
        <x:v>用例</x:v>
      </x:c>
      <x:c r="L157" s="11" t="str">
        <x:v>已完整登记；原版同名入口见 NATIVE-085，执行版本和参数不同</x:v>
      </x:c>
      <x:c r="M157" s="11" t="str">
        <x:v>juicedata/winfsp testing_suit_20250324；--external --resilient +*</x:v>
      </x:c>
      <x:c r="N157" s="11" t="str">
        <x:v>Windows 语义补测</x:v>
      </x:c>
      <x:c r="O157" s="11" t="str">
        <x:v>未执行该版本入口</x:v>
      </x:c>
      <x:c r="P157" s="11" t="str">
        <x:v>JuiceFS fork 外部</x:v>
      </x:c>
    </x:row>
    <x:row r="158" ht="44" customHeight="1">
      <x:c r="A158" s="10" t="str">
        <x:v>WFP-OPT-29</x:v>
      </x:c>
      <x:c r="B158" s="10" t="str">
        <x:v>L2</x:v>
      </x:c>
      <x:c r="C158" s="10" t="str">
        <x:v>并发与文件锁</x:v>
      </x:c>
      <x:c r="D158" s="10" t="str">
        <x:v>机会锁：level2（JuiceFS fork）</x:v>
      </x:c>
      <x:c r="E158" s="10" t="str">
        <x:v>B Windows / WinFsp</x:v>
      </x:c>
      <x:c r="F158" s="10" t="str">
        <x:v>待执行</x:v>
      </x:c>
      <x:c r="G158" s="10" t="str">
        <x:v>JuiceFS 测试包全部外部模式；此版本无逐项执行证据</x:v>
      </x:c>
      <x:c r="H158" s="10" t="str">
        <x:v>保留该测试包断言；原版同名结果不能转记为此包通过</x:v>
      </x:c>
      <x:c r="I158" s="10" t="str">
        <x:v>oplock_level2_test</x:v>
      </x:c>
      <x:c r="J158" s="10" t="str">
        <x:v>S04；E10</x:v>
      </x:c>
      <x:c r="K158" s="10" t="str">
        <x:v>用例</x:v>
      </x:c>
      <x:c r="L158" s="10" t="str">
        <x:v>已完整登记；原版同名入口见 NATIVE-086，执行版本和参数不同</x:v>
      </x:c>
      <x:c r="M158" s="10" t="str">
        <x:v>juicedata/winfsp testing_suit_20250324；--external --resilient +*</x:v>
      </x:c>
      <x:c r="N158" s="10" t="str">
        <x:v>Windows 语义补测</x:v>
      </x:c>
      <x:c r="O158" s="10" t="str">
        <x:v>未执行该版本入口</x:v>
      </x:c>
      <x:c r="P158" s="10" t="str">
        <x:v>JuiceFS fork 外部</x:v>
      </x:c>
    </x:row>
    <x:row r="159" ht="44" customHeight="1">
      <x:c r="A159" s="11" t="str">
        <x:v>WFP-OPT-30</x:v>
      </x:c>
      <x:c r="B159" s="11" t="str">
        <x:v>L2</x:v>
      </x:c>
      <x:c r="C159" s="11" t="str">
        <x:v>并发与文件锁</x:v>
      </x:c>
      <x:c r="D159" s="11" t="str">
        <x:v>机会锁：batch（JuiceFS fork）</x:v>
      </x:c>
      <x:c r="E159" s="11" t="str">
        <x:v>B Windows / WinFsp</x:v>
      </x:c>
      <x:c r="F159" s="11" t="str">
        <x:v>待执行</x:v>
      </x:c>
      <x:c r="G159" s="11" t="str">
        <x:v>JuiceFS 测试包全部外部模式；此版本无逐项执行证据</x:v>
      </x:c>
      <x:c r="H159" s="11" t="str">
        <x:v>保留该测试包断言；原版同名结果不能转记为此包通过</x:v>
      </x:c>
      <x:c r="I159" s="11" t="str">
        <x:v>oplock_batch_test</x:v>
      </x:c>
      <x:c r="J159" s="11" t="str">
        <x:v>S04；E10</x:v>
      </x:c>
      <x:c r="K159" s="11" t="str">
        <x:v>用例</x:v>
      </x:c>
      <x:c r="L159" s="11" t="str">
        <x:v>已完整登记；原版同名入口见 NATIVE-087，执行版本和参数不同</x:v>
      </x:c>
      <x:c r="M159" s="11" t="str">
        <x:v>juicedata/winfsp testing_suit_20250324；--external --resilient +*</x:v>
      </x:c>
      <x:c r="N159" s="11" t="str">
        <x:v>Windows 语义补测</x:v>
      </x:c>
      <x:c r="O159" s="11" t="str">
        <x:v>未执行该版本入口</x:v>
      </x:c>
      <x:c r="P159" s="11" t="str">
        <x:v>JuiceFS fork 外部</x:v>
      </x:c>
    </x:row>
    <x:row r="160" ht="44" customHeight="1">
      <x:c r="A160" s="10" t="str">
        <x:v>WFP-OPT-31</x:v>
      </x:c>
      <x:c r="B160" s="10" t="str">
        <x:v>L2</x:v>
      </x:c>
      <x:c r="C160" s="10" t="str">
        <x:v>并发与文件锁</x:v>
      </x:c>
      <x:c r="D160" s="10" t="str">
        <x:v>机会锁：filter（JuiceFS fork）</x:v>
      </x:c>
      <x:c r="E160" s="10" t="str">
        <x:v>B Windows / WinFsp</x:v>
      </x:c>
      <x:c r="F160" s="10" t="str">
        <x:v>待执行</x:v>
      </x:c>
      <x:c r="G160" s="10" t="str">
        <x:v>JuiceFS 测试包全部外部模式；此版本无逐项执行证据</x:v>
      </x:c>
      <x:c r="H160" s="10" t="str">
        <x:v>保留该测试包断言；原版同名结果不能转记为此包通过</x:v>
      </x:c>
      <x:c r="I160" s="10" t="str">
        <x:v>oplock_filter_test</x:v>
      </x:c>
      <x:c r="J160" s="10" t="str">
        <x:v>S04；E10</x:v>
      </x:c>
      <x:c r="K160" s="10" t="str">
        <x:v>用例</x:v>
      </x:c>
      <x:c r="L160" s="10" t="str">
        <x:v>已完整登记；原版同名入口见 NATIVE-088，执行版本和参数不同</x:v>
      </x:c>
      <x:c r="M160" s="10" t="str">
        <x:v>juicedata/winfsp testing_suit_20250324；--external --resilient +*</x:v>
      </x:c>
      <x:c r="N160" s="10" t="str">
        <x:v>Windows 语义补测</x:v>
      </x:c>
      <x:c r="O160" s="10" t="str">
        <x:v>未执行该版本入口</x:v>
      </x:c>
      <x:c r="P160" s="10" t="str">
        <x:v>JuiceFS fork 外部</x:v>
      </x:c>
    </x:row>
    <x:row r="161" ht="44" customHeight="1">
      <x:c r="A161" s="11" t="str">
        <x:v>WFP-OPT-32</x:v>
      </x:c>
      <x:c r="B161" s="11" t="str">
        <x:v>L2</x:v>
      </x:c>
      <x:c r="C161" s="11" t="str">
        <x:v>并发与文件锁</x:v>
      </x:c>
      <x:c r="D161" s="11" t="str">
        <x:v>机会锁：rwh（JuiceFS fork）</x:v>
      </x:c>
      <x:c r="E161" s="11" t="str">
        <x:v>B Windows / WinFsp</x:v>
      </x:c>
      <x:c r="F161" s="11" t="str">
        <x:v>待执行</x:v>
      </x:c>
      <x:c r="G161" s="11" t="str">
        <x:v>JuiceFS 测试包全部外部模式；此版本无逐项执行证据</x:v>
      </x:c>
      <x:c r="H161" s="11" t="str">
        <x:v>保留该测试包断言；原版同名结果不能转记为此包通过</x:v>
      </x:c>
      <x:c r="I161" s="11" t="str">
        <x:v>oplock_rwh_test</x:v>
      </x:c>
      <x:c r="J161" s="11" t="str">
        <x:v>S04；E10</x:v>
      </x:c>
      <x:c r="K161" s="11" t="str">
        <x:v>用例</x:v>
      </x:c>
      <x:c r="L161" s="11" t="str">
        <x:v>已完整登记；原版同名入口见 NATIVE-089，执行版本和参数不同</x:v>
      </x:c>
      <x:c r="M161" s="11" t="str">
        <x:v>juicedata/winfsp testing_suit_20250324；--external --resilient +*</x:v>
      </x:c>
      <x:c r="N161" s="11" t="str">
        <x:v>Windows 语义补测</x:v>
      </x:c>
      <x:c r="O161" s="11" t="str">
        <x:v>未执行该版本入口</x:v>
      </x:c>
      <x:c r="P161" s="11" t="str">
        <x:v>JuiceFS fork 外部</x:v>
      </x:c>
    </x:row>
    <x:row r="162" ht="44" customHeight="1">
      <x:c r="A162" s="10" t="str">
        <x:v>WFP-OPT-33</x:v>
      </x:c>
      <x:c r="B162" s="10" t="str">
        <x:v>L2</x:v>
      </x:c>
      <x:c r="C162" s="10" t="str">
        <x:v>并发与文件锁</x:v>
      </x:c>
      <x:c r="D162" s="10" t="str">
        <x:v>机会锁：rw（JuiceFS fork）</x:v>
      </x:c>
      <x:c r="E162" s="10" t="str">
        <x:v>B Windows / WinFsp</x:v>
      </x:c>
      <x:c r="F162" s="10" t="str">
        <x:v>待执行</x:v>
      </x:c>
      <x:c r="G162" s="10" t="str">
        <x:v>JuiceFS 测试包全部外部模式；此版本无逐项执行证据</x:v>
      </x:c>
      <x:c r="H162" s="10" t="str">
        <x:v>保留该测试包断言；原版同名结果不能转记为此包通过</x:v>
      </x:c>
      <x:c r="I162" s="10" t="str">
        <x:v>oplock_rw_test</x:v>
      </x:c>
      <x:c r="J162" s="10" t="str">
        <x:v>S04；E10</x:v>
      </x:c>
      <x:c r="K162" s="10" t="str">
        <x:v>用例</x:v>
      </x:c>
      <x:c r="L162" s="10" t="str">
        <x:v>已完整登记；原版同名入口见 NATIVE-090，执行版本和参数不同</x:v>
      </x:c>
      <x:c r="M162" s="10" t="str">
        <x:v>juicedata/winfsp testing_suit_20250324；--external --resilient +*</x:v>
      </x:c>
      <x:c r="N162" s="10" t="str">
        <x:v>Windows 语义补测</x:v>
      </x:c>
      <x:c r="O162" s="10" t="str">
        <x:v>未执行该版本入口</x:v>
      </x:c>
      <x:c r="P162" s="10" t="str">
        <x:v>JuiceFS fork 外部</x:v>
      </x:c>
    </x:row>
    <x:row r="163" ht="44" customHeight="1">
      <x:c r="A163" s="11" t="str">
        <x:v>WFP-OPT-34</x:v>
      </x:c>
      <x:c r="B163" s="11" t="str">
        <x:v>L2</x:v>
      </x:c>
      <x:c r="C163" s="11" t="str">
        <x:v>并发与文件锁</x:v>
      </x:c>
      <x:c r="D163" s="11" t="str">
        <x:v>机会锁：rh（JuiceFS fork）</x:v>
      </x:c>
      <x:c r="E163" s="11" t="str">
        <x:v>B Windows / WinFsp</x:v>
      </x:c>
      <x:c r="F163" s="11" t="str">
        <x:v>待执行</x:v>
      </x:c>
      <x:c r="G163" s="11" t="str">
        <x:v>JuiceFS 测试包全部外部模式；此版本无逐项执行证据</x:v>
      </x:c>
      <x:c r="H163" s="11" t="str">
        <x:v>保留该测试包断言；原版同名结果不能转记为此包通过</x:v>
      </x:c>
      <x:c r="I163" s="11" t="str">
        <x:v>oplock_rh_test</x:v>
      </x:c>
      <x:c r="J163" s="11" t="str">
        <x:v>S04；E10</x:v>
      </x:c>
      <x:c r="K163" s="11" t="str">
        <x:v>用例</x:v>
      </x:c>
      <x:c r="L163" s="11" t="str">
        <x:v>已完整登记；原版同名入口见 NATIVE-091，执行版本和参数不同</x:v>
      </x:c>
      <x:c r="M163" s="11" t="str">
        <x:v>juicedata/winfsp testing_suit_20250324；--external --resilient +*</x:v>
      </x:c>
      <x:c r="N163" s="11" t="str">
        <x:v>Windows 语义补测</x:v>
      </x:c>
      <x:c r="O163" s="11" t="str">
        <x:v>未执行该版本入口</x:v>
      </x:c>
      <x:c r="P163" s="11" t="str">
        <x:v>JuiceFS fork 外部</x:v>
      </x:c>
    </x:row>
    <x:row r="164" ht="44" customHeight="1">
      <x:c r="A164" s="10" t="str">
        <x:v>WFP-OPT-35</x:v>
      </x:c>
      <x:c r="B164" s="10" t="str">
        <x:v>L2</x:v>
      </x:c>
      <x:c r="C164" s="10" t="str">
        <x:v>并发与文件锁</x:v>
      </x:c>
      <x:c r="D164" s="10" t="str">
        <x:v>机会锁：r（JuiceFS fork）</x:v>
      </x:c>
      <x:c r="E164" s="10" t="str">
        <x:v>B Windows / WinFsp</x:v>
      </x:c>
      <x:c r="F164" s="10" t="str">
        <x:v>待执行</x:v>
      </x:c>
      <x:c r="G164" s="10" t="str">
        <x:v>JuiceFS 测试包全部外部模式；此版本无逐项执行证据</x:v>
      </x:c>
      <x:c r="H164" s="10" t="str">
        <x:v>保留该测试包断言；原版同名结果不能转记为此包通过</x:v>
      </x:c>
      <x:c r="I164" s="10" t="str">
        <x:v>oplock_r_test</x:v>
      </x:c>
      <x:c r="J164" s="10" t="str">
        <x:v>S04；E10</x:v>
      </x:c>
      <x:c r="K164" s="10" t="str">
        <x:v>用例</x:v>
      </x:c>
      <x:c r="L164" s="10" t="str">
        <x:v>已完整登记；原版同名入口见 NATIVE-092，执行版本和参数不同</x:v>
      </x:c>
      <x:c r="M164" s="10" t="str">
        <x:v>juicedata/winfsp testing_suit_20250324；--external --resilient +*</x:v>
      </x:c>
      <x:c r="N164" s="10" t="str">
        <x:v>Windows 语义补测</x:v>
      </x:c>
      <x:c r="O164" s="10" t="str">
        <x:v>未执行该版本入口</x:v>
      </x:c>
      <x:c r="P164" s="10" t="str">
        <x:v>JuiceFS fork 外部</x:v>
      </x:c>
    </x:row>
    <x:row r="165" ht="44" customHeight="1">
      <x:c r="A165" s="11" t="str">
        <x:v>WFP-OPT-36</x:v>
      </x:c>
      <x:c r="B165" s="11" t="str">
        <x:v>L2</x:v>
      </x:c>
      <x:c r="C165" s="11" t="str">
        <x:v>并发与文件锁</x:v>
      </x:c>
      <x:c r="D165" s="11" t="str">
        <x:v>机会锁：not_granted（JuiceFS fork）</x:v>
      </x:c>
      <x:c r="E165" s="11" t="str">
        <x:v>B Windows / WinFsp</x:v>
      </x:c>
      <x:c r="F165" s="11" t="str">
        <x:v>待执行</x:v>
      </x:c>
      <x:c r="G165" s="11" t="str">
        <x:v>JuiceFS 测试包全部外部模式；此版本无逐项执行证据</x:v>
      </x:c>
      <x:c r="H165" s="11" t="str">
        <x:v>保留该测试包断言；原版同名结果不能转记为此包通过</x:v>
      </x:c>
      <x:c r="I165" s="11" t="str">
        <x:v>oplock_not_granted_test</x:v>
      </x:c>
      <x:c r="J165" s="11" t="str">
        <x:v>S04；E10</x:v>
      </x:c>
      <x:c r="K165" s="11" t="str">
        <x:v>用例</x:v>
      </x:c>
      <x:c r="L165" s="11" t="str">
        <x:v>已完整登记；原版同名入口见 NATIVE-093，执行版本和参数不同</x:v>
      </x:c>
      <x:c r="M165" s="11" t="str">
        <x:v>juicedata/winfsp testing_suit_20250324；--external --resilient +*</x:v>
      </x:c>
      <x:c r="N165" s="11" t="str">
        <x:v>Windows 语义补测</x:v>
      </x:c>
      <x:c r="O165" s="11" t="str">
        <x:v>未执行该版本入口</x:v>
      </x:c>
      <x:c r="P165" s="11" t="str">
        <x:v>JuiceFS fork 外部</x:v>
      </x:c>
    </x:row>
    <x:row r="166" ht="44" customHeight="1">
      <x:c r="A166" s="10" t="str">
        <x:v>WFT-08</x:v>
      </x:c>
      <x:c r="B166" s="10" t="str">
        <x:v>L2</x:v>
      </x:c>
      <x:c r="C166" s="10" t="str">
        <x:v>并发与文件锁</x:v>
      </x:c>
      <x:c r="D166" s="10" t="str">
        <x:v>待删除状态与目录枚举</x:v>
      </x:c>
      <x:c r="E166" s="10" t="str">
        <x:v>B Windows / WinFsp</x:v>
      </x:c>
      <x:c r="F166" s="10" t="str">
        <x:v>已通过</x:v>
      </x:c>
      <x:c r="G166" s="10" t="str">
        <x:v>本地、百度、Google、OneDrive；同步/后台，共 8 组</x:v>
      </x:c>
      <x:c r="H166" s="10" t="str">
        <x:v>STATUS_DELETE_PENDING；按保留的已启用断言验证</x:v>
      </x:c>
      <x:c r="I166" s="10" t="str">
        <x:v>winfstest t/base/08.t</x:v>
      </x:c>
      <x:c r="J166" s="10" t="str">
        <x:v>E01；S03</x:v>
      </x:c>
      <x:c r="K166" s="10" t="str">
        <x:v>脚本组</x:v>
      </x:c>
      <x:c r="L166" s="10" t="str">
        <x:v>11 脚本合计 152 断言；已注释断言不算覆盖</x:v>
      </x:c>
      <x:c r="M166" s="10" t="str">
        <x:v>juicedata/winfstest testing_20250313</x:v>
      </x:c>
      <x:c r="N166" s="10" t="str">
        <x:v>Windows 单机产品；按已测范围解释</x:v>
      </x:c>
      <x:c r="O166" s="10" t="str">
        <x:v>本轮仅补充矩阵，未复测</x:v>
      </x:c>
      <x:c r="P166" s="10" t="str">
        <x:v>JuiceFS fork 脚本</x:v>
      </x:c>
    </x:row>
    <x:row r="167" ht="44" customHeight="1">
      <x:c r="A167" s="11" t="str">
        <x:v>WFT-09</x:v>
      </x:c>
      <x:c r="B167" s="11" t="str">
        <x:v>L2</x:v>
      </x:c>
      <x:c r="C167" s="11" t="str">
        <x:v>并发与文件锁</x:v>
      </x:c>
      <x:c r="D167" s="11" t="str">
        <x:v>文件共享模式</x:v>
      </x:c>
      <x:c r="E167" s="11" t="str">
        <x:v>B Windows / WinFsp</x:v>
      </x:c>
      <x:c r="F167" s="11" t="str">
        <x:v>已通过</x:v>
      </x:c>
      <x:c r="G167" s="11" t="str">
        <x:v>本地、百度、Google、OneDrive；同步/后台，共 8 组</x:v>
      </x:c>
      <x:c r="H167" s="11" t="str">
        <x:v>CreateFile share mode；按保留的已启用断言验证</x:v>
      </x:c>
      <x:c r="I167" s="11" t="str">
        <x:v>winfstest t/base/09.t</x:v>
      </x:c>
      <x:c r="J167" s="11" t="str">
        <x:v>E01；S03</x:v>
      </x:c>
      <x:c r="K167" s="11" t="str">
        <x:v>脚本组</x:v>
      </x:c>
      <x:c r="L167" s="11" t="str">
        <x:v>旧 09.t 子进程竞态在 NTFS 亦复现；不自动重试掩盖失败</x:v>
      </x:c>
      <x:c r="M167" s="11" t="str">
        <x:v>juicedata/winfstest testing_20250313</x:v>
      </x:c>
      <x:c r="N167" s="11" t="str">
        <x:v>Windows 单机产品；按已测范围解释</x:v>
      </x:c>
      <x:c r="O167" s="11" t="str">
        <x:v>本轮仅补充矩阵，未复测</x:v>
      </x:c>
      <x:c r="P167" s="11" t="str">
        <x:v>JuiceFS fork 脚本</x:v>
      </x:c>
    </x:row>
    <x:row r="168" ht="44" customHeight="1">
      <x:c r="A168" s="10" t="str">
        <x:v>CACHE-001</x:v>
      </x:c>
      <x:c r="B168" s="10" t="str">
        <x:v>L2</x:v>
      </x:c>
      <x:c r="C168" s="10" t="str">
        <x:v>缓存与后台上传</x:v>
      </x:c>
      <x:c r="D168" s="10" t="str">
        <x:v>后台上传默认值与显式关闭</x:v>
      </x:c>
      <x:c r="E168" s="10" t="str">
        <x:v>C 项目补充</x:v>
      </x:c>
      <x:c r="F168" s="10" t="str">
        <x:v>已通过</x:v>
      </x:c>
      <x:c r="G168" s="10" t="str">
        <x:v>应用单元测试；模拟依赖，不等同真实故障挂载</x:v>
      </x:c>
      <x:c r="H168" s="10" t="str">
        <x:v>新卷默认开启；显式同步配置保留；非法值拒绝</x:v>
      </x:c>
      <x:c r="I168" s="10" t="str">
        <x:v>tests/plans.test.cjs / new volumes default to disk writeback</x:v>
      </x:c>
      <x:c r="J168" s="10" t="str">
        <x:v>E03</x:v>
      </x:c>
      <x:c r="K168" s="10" t="str">
        <x:v>场景组</x:v>
      </x:c>
      <x:c r="L168" s="10" t="str">
        <x:v>发布版本需复测；按已有范围解释结果</x:v>
      </x:c>
      <x:c r="M168" s="10" t="str">
        <x:v>项目代码与参数见对应证据</x:v>
      </x:c>
      <x:c r="N168" s="10" t="str">
        <x:v>Windows 单机产品；按已测范围解释</x:v>
      </x:c>
      <x:c r="O168" s="10" t="str">
        <x:v>本轮仅补充矩阵，未复测</x:v>
      </x:c>
      <x:c r="P168" s="10" t="str">
        <x:v>项目场景</x:v>
      </x:c>
    </x:row>
    <x:row r="169" ht="44" customHeight="1">
      <x:c r="A169" s="11" t="str">
        <x:v>CACHE-004</x:v>
      </x:c>
      <x:c r="B169" s="11" t="str">
        <x:v>L2</x:v>
      </x:c>
      <x:c r="C169" s="11" t="str">
        <x:v>缓存与后台上传</x:v>
      </x:c>
      <x:c r="D169" s="11" t="str">
        <x:v>缓存配置持久化并保留卷身份</x:v>
      </x:c>
      <x:c r="E169" s="11" t="str">
        <x:v>C 项目补充</x:v>
      </x:c>
      <x:c r="F169" s="11" t="str">
        <x:v>已通过</x:v>
      </x:c>
      <x:c r="G169" s="11" t="str">
        <x:v>应用单元测试；模拟依赖，不等同真实故障挂载</x:v>
      </x:c>
      <x:c r="H169" s="11" t="str">
        <x:v>改开关/容量/名称不改变元数据、缓存路径和卷身份</x:v>
      </x:c>
      <x:c r="I169" s="11" t="str">
        <x:v>tests/manager.test.cjs / volume cache settings persist</x:v>
      </x:c>
      <x:c r="J169" s="11" t="str">
        <x:v>E03</x:v>
      </x:c>
      <x:c r="K169" s="11" t="str">
        <x:v>场景组</x:v>
      </x:c>
      <x:c r="L169" s="11" t="str">
        <x:v>发布版本需复测；按已有范围解释结果</x:v>
      </x:c>
      <x:c r="M169" s="11" t="str">
        <x:v>项目代码与参数见对应证据</x:v>
      </x:c>
      <x:c r="N169" s="11" t="str">
        <x:v>Windows 单机产品；按已测范围解释</x:v>
      </x:c>
      <x:c r="O169" s="11" t="str">
        <x:v>本轮仅补充矩阵，未复测</x:v>
      </x:c>
      <x:c r="P169" s="11" t="str">
        <x:v>项目场景</x:v>
      </x:c>
    </x:row>
    <x:row r="170" ht="42" customHeight="1">
      <x:c r="A170" s="10" t="str">
        <x:v>CACHE-006</x:v>
      </x:c>
      <x:c r="B170" s="10" t="str">
        <x:v>L2</x:v>
      </x:c>
      <x:c r="C170" s="10" t="str">
        <x:v>缓存与后台上传</x:v>
      </x:c>
      <x:c r="D170" s="10" t="str">
        <x:v>挂载中禁止修改缓存配置</x:v>
      </x:c>
      <x:c r="E170" s="10" t="str">
        <x:v>C 项目补充</x:v>
      </x:c>
      <x:c r="F170" s="10" t="str">
        <x:v>已通过</x:v>
      </x:c>
      <x:c r="G170" s="10" t="str">
        <x:v>本地真实挂载 + 单元</x:v>
      </x:c>
      <x:c r="H170" s="10" t="str">
        <x:v>挂载时拒绝修改；卸载后可修改</x:v>
      </x:c>
      <x:c r="I170" s="10" t="str">
        <x:v>windows-cache-settings-integration.cjs / mounted edit blocked</x:v>
      </x:c>
      <x:c r="J170" s="10" t="str">
        <x:v>E03；E04</x:v>
      </x:c>
      <x:c r="K170" s="10" t="str">
        <x:v>场景组</x:v>
      </x:c>
      <x:c r="L170" s="10" t="str">
        <x:v>发布版本需复测；按已有范围解释结果</x:v>
      </x:c>
      <x:c r="M170" s="10" t="str">
        <x:v>项目代码与参数见对应证据</x:v>
      </x:c>
      <x:c r="N170" s="10" t="str">
        <x:v>Windows 单机产品；按已测范围解释</x:v>
      </x:c>
      <x:c r="O170" s="10" t="str">
        <x:v>本轮仅补充矩阵，未复测</x:v>
      </x:c>
      <x:c r="P170" s="10" t="str">
        <x:v>项目场景</x:v>
      </x:c>
    </x:row>
    <x:row r="171" ht="44" customHeight="1">
      <x:c r="A171" s="11" t="str">
        <x:v>OBS-001</x:v>
      </x:c>
      <x:c r="B171" s="11" t="str">
        <x:v>L2</x:v>
      </x:c>
      <x:c r="C171" s="11" t="str">
        <x:v>缓存与后台上传</x:v>
      </x:c>
      <x:c r="D171" s="11" t="str">
        <x:v>未知上传指标不能当作已排空</x:v>
      </x:c>
      <x:c r="E171" s="11" t="str">
        <x:v>C 项目补充</x:v>
      </x:c>
      <x:c r="F171" s="11" t="str">
        <x:v>已通过</x:v>
      </x:c>
      <x:c r="G171" s="11" t="str">
        <x:v>应用单元测试；模拟依赖，不等同真实故障挂载</x:v>
      </x:c>
      <x:c r="H171" s="11" t="str">
        <x:v>缺失指标保留未知状态；不能仅据此允许退出</x:v>
      </x:c>
      <x:c r="I171" s="11" t="str">
        <x:v>tests/plans.test.cjs / missing metrics are unknown</x:v>
      </x:c>
      <x:c r="J171" s="11" t="str">
        <x:v>E03</x:v>
      </x:c>
      <x:c r="K171" s="11" t="str">
        <x:v>场景组</x:v>
      </x:c>
      <x:c r="L171" s="11" t="str">
        <x:v>实际故障指标一致性待 PLAN-012</x:v>
      </x:c>
      <x:c r="M171" s="11" t="str">
        <x:v>项目代码与参数见对应证据</x:v>
      </x:c>
      <x:c r="N171" s="11" t="str">
        <x:v>Windows 单机产品；按已测范围解释</x:v>
      </x:c>
      <x:c r="O171" s="11" t="str">
        <x:v>本轮仅补充矩阵，未复测</x:v>
      </x:c>
      <x:c r="P171" s="11" t="str">
        <x:v>项目场景</x:v>
      </x:c>
    </x:row>
    <x:row r="172" ht="44" customHeight="1">
      <x:c r="A172" s="10" t="str">
        <x:v>PLAN-012</x:v>
      </x:c>
      <x:c r="B172" s="10" t="str">
        <x:v>L2</x:v>
      </x:c>
      <x:c r="C172" s="10" t="str">
        <x:v>缓存与后台上传</x:v>
      </x:c>
      <x:c r="D172" s="10" t="str">
        <x:v>故障时队列与界面状态一致</x:v>
      </x:c>
      <x:c r="E172" s="10" t="str">
        <x:v>C 项目补充</x:v>
      </x:c>
      <x:c r="F172" s="10" t="str">
        <x:v>待补充</x:v>
      </x:c>
      <x:c r="G172" s="10" t="str">
        <x:v>真实挂载；注入超时和未知指标</x:v>
      </x:c>
      <x:c r="H172" s="10" t="str">
        <x:v>界面待上传/失败/完成与实际队列一致</x:v>
      </x:c>
      <x:c r="I172" s="10" t="str">
        <x:v>拟补充场景；未记录可执行完整用例</x:v>
      </x:c>
      <x:c r="J172" s="10" t="str">
        <x:v>需求缺口分析；无通过证据</x:v>
      </x:c>
      <x:c r="K172" s="10" t="str">
        <x:v>待细化场景</x:v>
      </x:c>
      <x:c r="L172" s="10" t="str">
        <x:v>不允许指标未知显示为全部上传完成</x:v>
      </x:c>
      <x:c r="M172" s="10" t="str">
        <x:v>项目代码与参数见对应证据</x:v>
      </x:c>
      <x:c r="N172" s="10" t="str">
        <x:v>Windows 单机产品；按已测范围解释</x:v>
      </x:c>
      <x:c r="O172" s="10" t="str">
        <x:v>本轮仅补充矩阵，未复测</x:v>
      </x:c>
      <x:c r="P172" s="10" t="str">
        <x:v>项目场景</x:v>
      </x:c>
    </x:row>
    <x:row r="173" ht="44" customHeight="1">
      <x:c r="A173" s="11" t="str">
        <x:v>CLOUD-008</x:v>
      </x:c>
      <x:c r="B173" s="11" t="str">
        <x:v>L2</x:v>
      </x:c>
      <x:c r="C173" s="11" t="str">
        <x:v>挂载与元数据生命周期</x:v>
      </x:c>
      <x:c r="D173" s="11" t="str">
        <x:v>正常排空、卸载与重新挂载</x:v>
      </x:c>
      <x:c r="E173" s="11" t="str">
        <x:v>C 项目补充</x:v>
      </x:c>
      <x:c r="F173" s="11" t="str">
        <x:v>已通过</x:v>
      </x:c>
      <x:c r="G173" s="11" t="str">
        <x:v>本地、百度、Google、OneDrive；同步/后台，共 8 组</x:v>
      </x:c>
      <x:c r="H173" s="11" t="str">
        <x:v>上传排空，盘符消失，原卷可重新挂载</x:v>
      </x:c>
      <x:c r="I173" s="11" t="str">
        <x:v>windows-juicefs-upstream-integration.cjs</x:v>
      </x:c>
      <x:c r="J173" s="11" t="str">
        <x:v>E01</x:v>
      </x:c>
      <x:c r="K173" s="11" t="str">
        <x:v>场景组</x:v>
      </x:c>
      <x:c r="L173" s="11" t="str">
        <x:v>发布版本需复测；按已有范围解释结果</x:v>
      </x:c>
      <x:c r="M173" s="11" t="str">
        <x:v>项目代码与参数见对应证据</x:v>
      </x:c>
      <x:c r="N173" s="11" t="str">
        <x:v>Windows 单机产品；按已测范围解释</x:v>
      </x:c>
      <x:c r="O173" s="11" t="str">
        <x:v>本轮仅补充矩阵，未复测</x:v>
      </x:c>
      <x:c r="P173" s="11" t="str">
        <x:v>项目场景</x:v>
      </x:c>
    </x:row>
    <x:row r="174" ht="44" customHeight="1">
      <x:c r="A174" s="10" t="str">
        <x:v>JFS-CLI-01</x:v>
      </x:c>
      <x:c r="B174" s="10" t="str">
        <x:v>L2</x:v>
      </x:c>
      <x:c r="C174" s="10" t="str">
        <x:v>挂载与元数据生命周期</x:v>
      </x:c>
      <x:c r="D174" s="10" t="str">
        <x:v>ACL 配置切换</x:v>
      </x:c>
      <x:c r="E174" s="10" t="str">
        <x:v>A JuiceFS 官方 Windows</x:v>
      </x:c>
      <x:c r="F174" s="10" t="str">
        <x:v>已跳过</x:v>
      </x:c>
      <x:c r="G174" s="10" t="str">
        <x:v>Windows；原流程 Redis；SQLite 适配需另行记录</x:v>
      </x:c>
      <x:c r="H174" s="10" t="str">
        <x:v>原函数断言与预期结果；环境适配不冒充原 CI 原样执行</x:v>
      </x:c>
      <x:c r="I174" s="10" t="str">
        <x:v>.github/scripts/command-win/acl.sh:6 / test_modify_acl_config</x:v>
      </x:c>
      <x:c r="J174" s="10" t="str">
        <x:v>S08；E11</x:v>
      </x:c>
      <x:c r="K174" s="10" t="str">
        <x:v>命名函数</x:v>
      </x:c>
      <x:c r="L174" s="10" t="str">
        <x:v>上游 command-win.yml 已登记；本项目无执行此原始函数的证据。 上游 workflow 明确 if: false；不代表本项目 ACL 能力已验证。</x:v>
      </x:c>
      <x:c r="M174" s="10" t="str">
        <x:v>JuiceFS 30190ca1094d26e85f19a979ca51b0ea19af1eaa</x:v>
      </x:c>
      <x:c r="N174" s="10" t="str">
        <x:v>Windows 权限目标仍需验证</x:v>
      </x:c>
      <x:c r="O174" s="10" t="str">
        <x:v>本轮未执行</x:v>
      </x:c>
      <x:c r="P174" s="10" t="str">
        <x:v>Windows CLI 函数</x:v>
      </x:c>
    </x:row>
    <x:row r="175" ht="44" customHeight="1">
      <x:c r="A175" s="11" t="str">
        <x:v>JFS-CLI-02</x:v>
      </x:c>
      <x:c r="B175" s="11" t="str">
        <x:v>L2</x:v>
      </x:c>
      <x:c r="C175" s="11" t="str">
        <x:v>挂载与元数据生命周期</x:v>
      </x:c>
      <x:c r="D175" s="11" t="str">
        <x:v>克隆源码目录</x:v>
      </x:c>
      <x:c r="E175" s="11" t="str">
        <x:v>A JuiceFS 官方 Windows</x:v>
      </x:c>
      <x:c r="F175" s="11" t="str">
        <x:v>待执行</x:v>
      </x:c>
      <x:c r="G175" s="11" t="str">
        <x:v>Windows；原流程 Redis；SQLite 适配需另行记录</x:v>
      </x:c>
      <x:c r="H175" s="11" t="str">
        <x:v>原函数断言与预期结果；环境适配不冒充原 CI 原样执行</x:v>
      </x:c>
      <x:c r="I175" s="11" t="str">
        <x:v>.github/scripts/command-win/clone.sh:7 / test_clone_with_jfs_source</x:v>
      </x:c>
      <x:c r="J175" s="11" t="str">
        <x:v>S08；E11</x:v>
      </x:c>
      <x:c r="K175" s="11" t="str">
        <x:v>命名函数</x:v>
      </x:c>
      <x:c r="L175" s="11" t="str">
        <x:v>上游 command-win.yml 已登记；本项目无执行此原始函数的证据。</x:v>
      </x:c>
      <x:c r="M175" s="11" t="str">
        <x:v>JuiceFS 30190ca1094d26e85f19a979ca51b0ea19af1eaa</x:v>
      </x:c>
      <x:c r="N175" s="11" t="str">
        <x:v>需隔离卷；原脚本含固定盘符和破坏性准备</x:v>
      </x:c>
      <x:c r="O175" s="11" t="str">
        <x:v>本轮未执行</x:v>
      </x:c>
      <x:c r="P175" s="11" t="str">
        <x:v>Windows CLI 函数</x:v>
      </x:c>
    </x:row>
    <x:row r="176" ht="60" customHeight="1">
      <x:c r="A176" s="10" t="str">
        <x:v>JFS-CLI-03</x:v>
      </x:c>
      <x:c r="B176" s="10" t="str">
        <x:v>L2</x:v>
      </x:c>
      <x:c r="C176" s="10" t="str">
        <x:v>挂载与元数据生命周期</x:v>
      </x:c>
      <x:c r="D176" s="10" t="str">
        <x:v>克隆大量小文件</x:v>
      </x:c>
      <x:c r="E176" s="10" t="str">
        <x:v>A JuiceFS 官方 Windows</x:v>
      </x:c>
      <x:c r="F176" s="10" t="str">
        <x:v>待执行</x:v>
      </x:c>
      <x:c r="G176" s="10" t="str">
        <x:v>Windows；原流程 Redis；SQLite 适配需另行记录</x:v>
      </x:c>
      <x:c r="H176" s="10" t="str">
        <x:v>原函数断言与预期结果；环境适配不冒充原 CI 原样执行</x:v>
      </x:c>
      <x:c r="I176" s="10" t="str">
        <x:v>.github/scripts/command-win/clone.sh:39 / test_clone_with_small_files</x:v>
      </x:c>
      <x:c r="J176" s="10" t="str">
        <x:v>S08；E11</x:v>
      </x:c>
      <x:c r="K176" s="10" t="str">
        <x:v>命名函数</x:v>
      </x:c>
      <x:c r="L176" s="10" t="str">
        <x:v>上游 command-win.yml 已登记；本项目无执行此原始函数的证据。 原脚本 diff /z/test1 /z/test1 为自比较；需增加独立源／目标校验，原断言不能作为充分判据。</x:v>
      </x:c>
      <x:c r="M176" s="10" t="str">
        <x:v>JuiceFS 30190ca1094d26e85f19a979ca51b0ea19af1eaa</x:v>
      </x:c>
      <x:c r="N176" s="10" t="str">
        <x:v>需隔离卷；原脚本含固定盘符和破坏性准备</x:v>
      </x:c>
      <x:c r="O176" s="10" t="str">
        <x:v>本轮未执行</x:v>
      </x:c>
      <x:c r="P176" s="10" t="str">
        <x:v>Windows CLI 函数</x:v>
      </x:c>
    </x:row>
    <x:row r="177" ht="44" customHeight="1">
      <x:c r="A177" s="11" t="str">
        <x:v>JFS-CLI-04</x:v>
      </x:c>
      <x:c r="B177" s="11" t="str">
        <x:v>L2</x:v>
      </x:c>
      <x:c r="C177" s="11" t="str">
        <x:v>挂载与元数据生命周期</x:v>
      </x:c>
      <x:c r="D177" s="11" t="str">
        <x:v>正常挂载诊断</x:v>
      </x:c>
      <x:c r="E177" s="11" t="str">
        <x:v>A JuiceFS 官方 Windows</x:v>
      </x:c>
      <x:c r="F177" s="11" t="str">
        <x:v>待执行</x:v>
      </x:c>
      <x:c r="G177" s="11" t="str">
        <x:v>Windows；原流程 Redis；SQLite 适配需另行记录</x:v>
      </x:c>
      <x:c r="H177" s="11" t="str">
        <x:v>原函数断言与预期结果；环境适配不冒充原 CI 原样执行</x:v>
      </x:c>
      <x:c r="I177" s="11" t="str">
        <x:v>.github/scripts/command-win/debug.sh:29 / test_debug_juicefs</x:v>
      </x:c>
      <x:c r="J177" s="11" t="str">
        <x:v>S08；E11</x:v>
      </x:c>
      <x:c r="K177" s="11" t="str">
        <x:v>命名函数</x:v>
      </x:c>
      <x:c r="L177" s="11" t="str">
        <x:v>上游 command-win.yml 已登记；本项目无执行此原始函数的证据。</x:v>
      </x:c>
      <x:c r="M177" s="11" t="str">
        <x:v>JuiceFS 30190ca1094d26e85f19a979ca51b0ea19af1eaa</x:v>
      </x:c>
      <x:c r="N177" s="11" t="str">
        <x:v>需隔离卷；原脚本含固定盘符和破坏性准备</x:v>
      </x:c>
      <x:c r="O177" s="11" t="str">
        <x:v>本轮未执行</x:v>
      </x:c>
      <x:c r="P177" s="11" t="str">
        <x:v>Windows CLI 函数</x:v>
      </x:c>
    </x:row>
    <x:row r="178" ht="44" customHeight="1">
      <x:c r="A178" s="10" t="str">
        <x:v>JFS-CLI-05</x:v>
      </x:c>
      <x:c r="B178" s="10" t="str">
        <x:v>L2</x:v>
      </x:c>
      <x:c r="C178" s="10" t="str">
        <x:v>挂载与元数据生命周期</x:v>
      </x:c>
      <x:c r="D178" s="10" t="str">
        <x:v>异常挂载诊断</x:v>
      </x:c>
      <x:c r="E178" s="10" t="str">
        <x:v>A JuiceFS 官方 Windows</x:v>
      </x:c>
      <x:c r="F178" s="10" t="str">
        <x:v>待执行</x:v>
      </x:c>
      <x:c r="G178" s="10" t="str">
        <x:v>Windows；原流程 Redis；SQLite 适配需另行记录</x:v>
      </x:c>
      <x:c r="H178" s="10" t="str">
        <x:v>原函数断言与预期结果；环境适配不冒充原 CI 原样执行</x:v>
      </x:c>
      <x:c r="I178" s="10" t="str">
        <x:v>.github/scripts/command-win/debug.sh:40 / test_debug_abnormal_juicefs</x:v>
      </x:c>
      <x:c r="J178" s="10" t="str">
        <x:v>S08；E11</x:v>
      </x:c>
      <x:c r="K178" s="10" t="str">
        <x:v>命名函数</x:v>
      </x:c>
      <x:c r="L178" s="10" t="str">
        <x:v>上游 command-win.yml 已登记；本项目无执行此原始函数的证据。</x:v>
      </x:c>
      <x:c r="M178" s="10" t="str">
        <x:v>JuiceFS 30190ca1094d26e85f19a979ca51b0ea19af1eaa</x:v>
      </x:c>
      <x:c r="N178" s="10" t="str">
        <x:v>需隔离卷；原脚本含固定盘符和破坏性准备</x:v>
      </x:c>
      <x:c r="O178" s="10" t="str">
        <x:v>本轮未执行</x:v>
      </x:c>
      <x:c r="P178" s="10" t="str">
        <x:v>Windows CLI 函数</x:v>
      </x:c>
    </x:row>
    <x:row r="179" ht="44" customHeight="1">
      <x:c r="A179" s="11" t="str">
        <x:v>JFS-CLI-09</x:v>
      </x:c>
      <x:c r="B179" s="11" t="str">
        <x:v>L2</x:v>
      </x:c>
      <x:c r="C179" s="11" t="str">
        <x:v>挂载与元数据生命周期</x:v>
      </x:c>
      <x:c r="D179" s="11" t="str">
        <x:v>中断压力后修复目录统计</x:v>
      </x:c>
      <x:c r="E179" s="11" t="str">
        <x:v>A JuiceFS 官方 Windows</x:v>
      </x:c>
      <x:c r="F179" s="11" t="str">
        <x:v>待执行</x:v>
      </x:c>
      <x:c r="G179" s="11" t="str">
        <x:v>Windows；原流程 Redis；SQLite 适配需另行记录</x:v>
      </x:c>
      <x:c r="H179" s="11" t="str">
        <x:v>原函数断言与预期结果；环境适配不冒充原 CI 原样执行</x:v>
      </x:c>
      <x:c r="I179" s="11" t="str">
        <x:v>.github/scripts/command-win/fsck.sh:8 / test_sync_dir_stat</x:v>
      </x:c>
      <x:c r="J179" s="11" t="str">
        <x:v>S08；E11</x:v>
      </x:c>
      <x:c r="K179" s="11" t="str">
        <x:v>命名函数</x:v>
      </x:c>
      <x:c r="L179" s="11" t="str">
        <x:v>上游 command-win.yml 已登记；本项目无执行此原始函数的证据。 含中断 mdtest 与 --repair，不等同已有只读 fsck。</x:v>
      </x:c>
      <x:c r="M179" s="11" t="str">
        <x:v>JuiceFS 30190ca1094d26e85f19a979ca51b0ea19af1eaa</x:v>
      </x:c>
      <x:c r="N179" s="11" t="str">
        <x:v>需隔离卷；原脚本含固定盘符和破坏性准备</x:v>
      </x:c>
      <x:c r="O179" s="11" t="str">
        <x:v>本轮未执行</x:v>
      </x:c>
      <x:c r="P179" s="11" t="str">
        <x:v>Windows CLI 函数</x:v>
      </x:c>
    </x:row>
    <x:row r="180" ht="44" customHeight="1">
      <x:c r="A180" s="10" t="str">
        <x:v>JFS-SMOKE-01</x:v>
      </x:c>
      <x:c r="B180" s="10" t="str">
        <x:v>L2</x:v>
      </x:c>
      <x:c r="C180" s="10" t="str">
        <x:v>挂载与元数据生命周期</x:v>
      </x:c>
      <x:c r="D180" s="10" t="str">
        <x:v>官方命令冒烟：info</x:v>
      </x:c>
      <x:c r="E180" s="10" t="str">
        <x:v>A JuiceFS 官方 Windows</x:v>
      </x:c>
      <x:c r="F180" s="10" t="str">
        <x:v>待执行</x:v>
      </x:c>
      <x:c r="G180" s="10" t="str">
        <x:v>wintest.yml 的 basic subcommand tests</x:v>
      </x:c>
      <x:c r="H180" s="10" t="str">
        <x:v>按官方步骤成功执行并校验输出；不能用集成中的旁路调用推定已跑该步骤</x:v>
      </x:c>
      <x:c r="I180" s="10" t="str">
        <x:v>info</x:v>
      </x:c>
      <x:c r="J180" s="10" t="str">
        <x:v>S08；E11</x:v>
      </x:c>
      <x:c r="K180" s="10" t="str">
        <x:v>命令入口</x:v>
      </x:c>
      <x:c r="L180" s="10" t="str">
        <x:v>已有产品调用仅为局部证据；完整官方步骤尚未登记为执行通过</x:v>
      </x:c>
      <x:c r="M180" s="10" t="str">
        <x:v>JuiceFS 30190ca1094d26e85f19a979ca51b0ea19af1eaa</x:v>
      </x:c>
      <x:c r="N180" s="10" t="str">
        <x:v>Windows 工具链</x:v>
      </x:c>
      <x:c r="O180" s="10" t="str">
        <x:v>本轮未执行</x:v>
      </x:c>
      <x:c r="P180" s="10" t="str">
        <x:v>官方命令冒烟</x:v>
      </x:c>
    </x:row>
    <x:row r="181" ht="44" customHeight="1">
      <x:c r="A181" s="11" t="str">
        <x:v>JFS-SMOKE-02</x:v>
      </x:c>
      <x:c r="B181" s="11" t="str">
        <x:v>L2</x:v>
      </x:c>
      <x:c r="C181" s="11" t="str">
        <x:v>挂载与元数据生命周期</x:v>
      </x:c>
      <x:c r="D181" s="11" t="str">
        <x:v>官方命令冒烟：status</x:v>
      </x:c>
      <x:c r="E181" s="11" t="str">
        <x:v>A JuiceFS 官方 Windows</x:v>
      </x:c>
      <x:c r="F181" s="11" t="str">
        <x:v>待执行</x:v>
      </x:c>
      <x:c r="G181" s="11" t="str">
        <x:v>wintest.yml 的 basic subcommand tests</x:v>
      </x:c>
      <x:c r="H181" s="11" t="str">
        <x:v>按官方步骤成功执行并校验输出；不能用集成中的旁路调用推定已跑该步骤</x:v>
      </x:c>
      <x:c r="I181" s="11" t="str">
        <x:v>status</x:v>
      </x:c>
      <x:c r="J181" s="11" t="str">
        <x:v>S08；E11</x:v>
      </x:c>
      <x:c r="K181" s="11" t="str">
        <x:v>命令入口</x:v>
      </x:c>
      <x:c r="L181" s="11" t="str">
        <x:v>已有产品调用仅为局部证据；完整官方步骤尚未登记为执行通过</x:v>
      </x:c>
      <x:c r="M181" s="11" t="str">
        <x:v>JuiceFS 30190ca1094d26e85f19a979ca51b0ea19af1eaa</x:v>
      </x:c>
      <x:c r="N181" s="11" t="str">
        <x:v>Windows 工具链</x:v>
      </x:c>
      <x:c r="O181" s="11" t="str">
        <x:v>本轮未执行</x:v>
      </x:c>
      <x:c r="P181" s="11" t="str">
        <x:v>官方命令冒烟</x:v>
      </x:c>
    </x:row>
    <x:row r="182" ht="44" customHeight="1">
      <x:c r="A182" s="10" t="str">
        <x:v>JFS-SMOKE-04</x:v>
      </x:c>
      <x:c r="B182" s="10" t="str">
        <x:v>L2</x:v>
      </x:c>
      <x:c r="C182" s="10" t="str">
        <x:v>挂载与元数据生命周期</x:v>
      </x:c>
      <x:c r="D182" s="10" t="str">
        <x:v>官方命令冒烟：summary</x:v>
      </x:c>
      <x:c r="E182" s="10" t="str">
        <x:v>A JuiceFS 官方 Windows</x:v>
      </x:c>
      <x:c r="F182" s="10" t="str">
        <x:v>待执行</x:v>
      </x:c>
      <x:c r="G182" s="10" t="str">
        <x:v>wintest.yml 的 basic subcommand tests</x:v>
      </x:c>
      <x:c r="H182" s="10" t="str">
        <x:v>按官方步骤成功执行并校验输出；不能用集成中的旁路调用推定已跑该步骤</x:v>
      </x:c>
      <x:c r="I182" s="10" t="str">
        <x:v>summary</x:v>
      </x:c>
      <x:c r="J182" s="10" t="str">
        <x:v>S08；E11</x:v>
      </x:c>
      <x:c r="K182" s="10" t="str">
        <x:v>命令入口</x:v>
      </x:c>
      <x:c r="L182" s="10" t="str">
        <x:v>已有产品调用仅为局部证据；完整官方步骤尚未登记为执行通过</x:v>
      </x:c>
      <x:c r="M182" s="10" t="str">
        <x:v>JuiceFS 30190ca1094d26e85f19a979ca51b0ea19af1eaa</x:v>
      </x:c>
      <x:c r="N182" s="10" t="str">
        <x:v>Windows 工具链</x:v>
      </x:c>
      <x:c r="O182" s="10" t="str">
        <x:v>本轮未执行</x:v>
      </x:c>
      <x:c r="P182" s="10" t="str">
        <x:v>官方命令冒烟</x:v>
      </x:c>
    </x:row>
    <x:row r="183" ht="44" customHeight="1">
      <x:c r="A183" s="11" t="str">
        <x:v>JFS-SMOKE-05</x:v>
      </x:c>
      <x:c r="B183" s="11" t="str">
        <x:v>L2</x:v>
      </x:c>
      <x:c r="C183" s="11" t="str">
        <x:v>挂载与元数据生命周期</x:v>
      </x:c>
      <x:c r="D183" s="11" t="str">
        <x:v>官方命令冒烟：stats</x:v>
      </x:c>
      <x:c r="E183" s="11" t="str">
        <x:v>A JuiceFS 官方 Windows</x:v>
      </x:c>
      <x:c r="F183" s="11" t="str">
        <x:v>待执行</x:v>
      </x:c>
      <x:c r="G183" s="11" t="str">
        <x:v>wintest.yml 的 basic subcommand tests</x:v>
      </x:c>
      <x:c r="H183" s="11" t="str">
        <x:v>按官方步骤成功执行并校验输出；不能用集成中的旁路调用推定已跑该步骤</x:v>
      </x:c>
      <x:c r="I183" s="11" t="str">
        <x:v>stats</x:v>
      </x:c>
      <x:c r="J183" s="11" t="str">
        <x:v>S08；E11</x:v>
      </x:c>
      <x:c r="K183" s="11" t="str">
        <x:v>命令入口</x:v>
      </x:c>
      <x:c r="L183" s="11" t="str">
        <x:v>已有产品调用仅为局部证据；完整官方步骤尚未登记为执行通过</x:v>
      </x:c>
      <x:c r="M183" s="11" t="str">
        <x:v>JuiceFS 30190ca1094d26e85f19a979ca51b0ea19af1eaa</x:v>
      </x:c>
      <x:c r="N183" s="11" t="str">
        <x:v>Windows 工具链</x:v>
      </x:c>
      <x:c r="O183" s="11" t="str">
        <x:v>本轮未执行</x:v>
      </x:c>
      <x:c r="P183" s="11" t="str">
        <x:v>官方命令冒烟</x:v>
      </x:c>
    </x:row>
    <x:row r="184" ht="44" customHeight="1">
      <x:c r="A184" s="10" t="str">
        <x:v>META-006</x:v>
      </x:c>
      <x:c r="B184" s="10" t="str">
        <x:v>L2</x:v>
      </x:c>
      <x:c r="C184" s="10" t="str">
        <x:v>挂载与元数据生命周期</x:v>
      </x:c>
      <x:c r="D184" s="10" t="str">
        <x:v>挂载前置失败不留下虚假会话</x:v>
      </x:c>
      <x:c r="E184" s="10" t="str">
        <x:v>C 项目补充</x:v>
      </x:c>
      <x:c r="F184" s="10" t="str">
        <x:v>已通过</x:v>
      </x:c>
      <x:c r="G184" s="10" t="str">
        <x:v>应用单元测试；模拟依赖，不等同真实故障挂载</x:v>
      </x:c>
      <x:c r="H184" s="10" t="str">
        <x:v>后端目录准备失败时无残留会话，可安全退出</x:v>
      </x:c>
      <x:c r="I184" s="10" t="str">
        <x:v>tests/juicefs.test.cjs / failure preparing a cloud root</x:v>
      </x:c>
      <x:c r="J184" s="10" t="str">
        <x:v>E03</x:v>
      </x:c>
      <x:c r="K184" s="10" t="str">
        <x:v>场景组</x:v>
      </x:c>
      <x:c r="L184" s="10" t="str">
        <x:v>发布版本需复测；按已有范围解释结果</x:v>
      </x:c>
      <x:c r="M184" s="10" t="str">
        <x:v>项目代码与参数见对应证据</x:v>
      </x:c>
      <x:c r="N184" s="10" t="str">
        <x:v>Windows 单机产品；按已测范围解释</x:v>
      </x:c>
      <x:c r="O184" s="10" t="str">
        <x:v>本轮仅补充矩阵，未复测</x:v>
      </x:c>
      <x:c r="P184" s="10" t="str">
        <x:v>项目场景</x:v>
      </x:c>
    </x:row>
    <x:row r="185" ht="44" customHeight="1">
      <x:c r="A185" s="11" t="str">
        <x:v>PLAN-015</x:v>
      </x:c>
      <x:c r="B185" s="11" t="str">
        <x:v>L2</x:v>
      </x:c>
      <x:c r="C185" s="11" t="str">
        <x:v>挂载与元数据生命周期</x:v>
      </x:c>
      <x:c r="D185" s="11" t="str">
        <x:v>多卷并发挂载、退出与缓存竞争</x:v>
      </x:c>
      <x:c r="E185" s="11" t="str">
        <x:v>C 项目补充</x:v>
      </x:c>
      <x:c r="F185" s="11" t="str">
        <x:v>待补充</x:v>
      </x:c>
      <x:c r="G185" s="11" t="str">
        <x:v>同一缓存磁盘，多后端同步运行</x:v>
      </x:c>
      <x:c r="H185" s="11" t="str">
        <x:v>卷身份隔离、退出互不误停、资源压力可恢复</x:v>
      </x:c>
      <x:c r="I185" s="11" t="str">
        <x:v>拟补充场景；未记录可执行完整用例</x:v>
      </x:c>
      <x:c r="J185" s="11" t="str">
        <x:v>需求缺口分析；无通过证据</x:v>
      </x:c>
      <x:c r="K185" s="11" t="str">
        <x:v>待细化场景</x:v>
      </x:c>
      <x:c r="L185" s="11" t="str">
        <x:v>与单卷八组分别执行不同</x:v>
      </x:c>
      <x:c r="M185" s="11" t="str">
        <x:v>项目代码与参数见对应证据</x:v>
      </x:c>
      <x:c r="N185" s="11" t="str">
        <x:v>Windows 单机产品；按已测范围解释</x:v>
      </x:c>
      <x:c r="O185" s="11" t="str">
        <x:v>本轮仅补充矩阵，未复测</x:v>
      </x:c>
      <x:c r="P185" s="11" t="str">
        <x:v>项目场景</x:v>
      </x:c>
    </x:row>
    <x:row r="186" ht="44" customHeight="1">
      <x:c r="A186" s="10" t="str">
        <x:v>PLAN-027</x:v>
      </x:c>
      <x:c r="B186" s="10" t="str">
        <x:v>L2</x:v>
      </x:c>
      <x:c r="C186" s="10" t="str">
        <x:v>挂载与元数据生命周期</x:v>
      </x:c>
      <x:c r="D186" s="10" t="str">
        <x:v>发布候选版本八组完整复测</x:v>
      </x:c>
      <x:c r="E186" s="10" t="str">
        <x:v>C 项目补充</x:v>
      </x:c>
      <x:c r="F186" s="10" t="str">
        <x:v>待补充</x:v>
      </x:c>
      <x:c r="G186" s="10" t="str">
        <x:v>四后端 × 同步/后台</x:v>
      </x:c>
      <x:c r="H186" s="10" t="str">
        <x:v>在同一构建及固定配置上完整运行，保留全部失败和跳过</x:v>
      </x:c>
      <x:c r="I186" s="10" t="str">
        <x:v>拟补充场景；未记录可执行完整用例</x:v>
      </x:c>
      <x:c r="J186" s="10" t="str">
        <x:v>需求缺口分析；无通过证据</x:v>
      </x:c>
      <x:c r="K186" s="10" t="str">
        <x:v>待细化场景</x:v>
      </x:c>
      <x:c r="L186" s="10" t="str">
        <x:v>最新缓存改动后尚未完成八组复跑</x:v>
      </x:c>
      <x:c r="M186" s="10" t="str">
        <x:v>项目代码与参数见对应证据</x:v>
      </x:c>
      <x:c r="N186" s="10" t="str">
        <x:v>Windows 单机产品；按已测范围解释</x:v>
      </x:c>
      <x:c r="O186" s="10" t="str">
        <x:v>本轮仅补充矩阵，未复测</x:v>
      </x:c>
      <x:c r="P186" s="10" t="str">
        <x:v>项目场景</x:v>
      </x:c>
    </x:row>
    <x:row r="187" ht="42" customHeight="1">
      <x:c r="A187" s="11" t="str">
        <x:v>GW-004</x:v>
      </x:c>
      <x:c r="B187" s="11" t="str">
        <x:v>L2</x:v>
      </x:c>
      <x:c r="C187" s="11" t="str">
        <x:v>网关与后端重试</x:v>
      </x:c>
      <x:c r="D187" s="11" t="str">
        <x:v>块删除与父目录保留</x:v>
      </x:c>
      <x:c r="E187" s="11" t="str">
        <x:v>C 项目补充</x:v>
      </x:c>
      <x:c r="F187" s="11" t="str">
        <x:v>已通过</x:v>
      </x:c>
      <x:c r="G187" s="11" t="str">
        <x:v>S3 网关回归</x:v>
      </x:c>
      <x:c r="H187" s="11" t="str">
        <x:v>--no-cleanup 保留父目录，避免与并发创建竞争</x:v>
      </x:c>
      <x:c r="I187" s="11" t="str">
        <x:v>S3 gateway regression / no-cleanup preserves parents</x:v>
      </x:c>
      <x:c r="J187" s="11" t="str">
        <x:v>E02</x:v>
      </x:c>
      <x:c r="K187" s="11" t="str">
        <x:v>场景组</x:v>
      </x:c>
      <x:c r="L187" s="11" t="str">
        <x:v>发布版本需复测；按已有范围解释结果</x:v>
      </x:c>
      <x:c r="M187" s="11" t="str">
        <x:v>项目代码与参数见对应证据</x:v>
      </x:c>
      <x:c r="N187" s="11" t="str">
        <x:v>Windows 单机产品；按已测范围解释</x:v>
      </x:c>
      <x:c r="O187" s="11" t="str">
        <x:v>本轮仅补充矩阵，未复测</x:v>
      </x:c>
      <x:c r="P187" s="11" t="str">
        <x:v>项目场景</x:v>
      </x:c>
    </x:row>
    <x:row r="188" ht="44" customHeight="1">
      <x:c r="A188" s="10" t="str">
        <x:v>GW-005</x:v>
      </x:c>
      <x:c r="B188" s="10" t="str">
        <x:v>L2</x:v>
      </x:c>
      <x:c r="C188" s="10" t="str">
        <x:v>网关与后端重试</x:v>
      </x:c>
      <x:c r="D188" s="10" t="str">
        <x:v>OneDrive 上传并发与网关配置</x:v>
      </x:c>
      <x:c r="E188" s="10" t="str">
        <x:v>C 项目补充</x:v>
      </x:c>
      <x:c r="F188" s="10" t="str">
        <x:v>已通过</x:v>
      </x:c>
      <x:c r="G188" s="10" t="str">
        <x:v>应用单元测试；模拟依赖，不等同真实故障挂载</x:v>
      </x:c>
      <x:c r="H188" s="10" t="str">
        <x:v>OneDrive 上传并发为 1；网关关闭异步 VFS 缓存并绑定回环地址</x:v>
      </x:c>
      <x:c r="I188" s="10" t="str">
        <x:v>tests/plans.test.cjs / OneDrive sessions; S3 gateway local</x:v>
      </x:c>
      <x:c r="J188" s="10" t="str">
        <x:v>E03</x:v>
      </x:c>
      <x:c r="K188" s="10" t="str">
        <x:v>场景组</x:v>
      </x:c>
      <x:c r="L188" s="10" t="str">
        <x:v>参数单测不等同吞吐或限流故障验证</x:v>
      </x:c>
      <x:c r="M188" s="10" t="str">
        <x:v>项目代码与参数见对应证据</x:v>
      </x:c>
      <x:c r="N188" s="10" t="str">
        <x:v>Windows 单机产品；按已测范围解释</x:v>
      </x:c>
      <x:c r="O188" s="10" t="str">
        <x:v>本轮仅补充矩阵，未复测</x:v>
      </x:c>
      <x:c r="P188" s="10" t="str">
        <x:v>项目场景</x:v>
      </x:c>
    </x:row>
    <x:row r="189" ht="44" customHeight="1">
      <x:c r="A189" s="11" t="str">
        <x:v>PLAN-013</x:v>
      </x:c>
      <x:c r="B189" s="11" t="str">
        <x:v>L2</x:v>
      </x:c>
      <x:c r="C189" s="11" t="str">
        <x:v>网关与后端重试</x:v>
      </x:c>
      <x:c r="D189" s="11" t="str">
        <x:v>长时间令牌刷新与撤销授权</x:v>
      </x:c>
      <x:c r="E189" s="11" t="str">
        <x:v>C 项目补充</x:v>
      </x:c>
      <x:c r="F189" s="11" t="str">
        <x:v>待补充</x:v>
      </x:c>
      <x:c r="G189" s="11" t="str">
        <x:v>三网盘隔离账号</x:v>
      </x:c>
      <x:c r="H189" s="11" t="str">
        <x:v>运行中令牌刷新不中断有效写入；撤权明确失败，重新授权可恢复</x:v>
      </x:c>
      <x:c r="I189" s="11" t="str">
        <x:v>拟补充场景；未记录可执行完整用例</x:v>
      </x:c>
      <x:c r="J189" s="11" t="str">
        <x:v>需求缺口分析；无通过证据</x:v>
      </x:c>
      <x:c r="K189" s="11" t="str">
        <x:v>待细化场景</x:v>
      </x:c>
      <x:c r="L189" s="11" t="str">
        <x:v>不输出凭据到测试报告</x:v>
      </x:c>
      <x:c r="M189" s="11" t="str">
        <x:v>项目代码与参数见对应证据</x:v>
      </x:c>
      <x:c r="N189" s="11" t="str">
        <x:v>Windows 单机产品；按已测范围解释</x:v>
      </x:c>
      <x:c r="O189" s="11" t="str">
        <x:v>本轮仅补充矩阵，未复测</x:v>
      </x:c>
      <x:c r="P189" s="11" t="str">
        <x:v>项目场景</x:v>
      </x:c>
    </x:row>
    <x:row r="190" ht="44" customHeight="1">
      <x:c r="A190" s="10" t="str">
        <x:v>JFS-CLI-20</x:v>
      </x:c>
      <x:c r="B190" s="10" t="str">
        <x:v>L2</x:v>
      </x:c>
      <x:c r="C190" s="10" t="str">
        <x:v>崩溃与资源耗尽</x:v>
      </x:c>
      <x:c r="D190" s="10" t="str">
        <x:v>文件系统总容量配额</x:v>
      </x:c>
      <x:c r="E190" s="10" t="str">
        <x:v>A JuiceFS 官方 Windows</x:v>
      </x:c>
      <x:c r="F190" s="10" t="str">
        <x:v>待执行</x:v>
      </x:c>
      <x:c r="G190" s="10" t="str">
        <x:v>Windows；原流程 Redis；SQLite 适配需另行记录</x:v>
      </x:c>
      <x:c r="H190" s="10" t="str">
        <x:v>原函数断言与预期结果；环境适配不冒充原 CI 原样执行</x:v>
      </x:c>
      <x:c r="I190" s="10" t="str">
        <x:v>.github/scripts/command-win/quota.sh:11 / test_total_capacity</x:v>
      </x:c>
      <x:c r="J190" s="10" t="str">
        <x:v>S08；E11</x:v>
      </x:c>
      <x:c r="K190" s="10" t="str">
        <x:v>命名函数</x:v>
      </x:c>
      <x:c r="L190" s="10" t="str">
        <x:v>上游 command-win.yml 已登记；本项目无执行此原始函数的证据。</x:v>
      </x:c>
      <x:c r="M190" s="10" t="str">
        <x:v>JuiceFS 30190ca1094d26e85f19a979ca51b0ea19af1eaa</x:v>
      </x:c>
      <x:c r="N190" s="10" t="str">
        <x:v>需隔离卷；原脚本含固定盘符和破坏性准备</x:v>
      </x:c>
      <x:c r="O190" s="10" t="str">
        <x:v>本轮未执行</x:v>
      </x:c>
      <x:c r="P190" s="10" t="str">
        <x:v>Windows CLI 函数</x:v>
      </x:c>
    </x:row>
    <x:row r="191" ht="44" customHeight="1">
      <x:c r="A191" s="11" t="str">
        <x:v>JFS-CLI-21</x:v>
      </x:c>
      <x:c r="B191" s="11" t="str">
        <x:v>L2</x:v>
      </x:c>
      <x:c r="C191" s="11" t="str">
        <x:v>崩溃与资源耗尽</x:v>
      </x:c>
      <x:c r="D191" s="11" t="str">
        <x:v>文件系统 inode 配额</x:v>
      </x:c>
      <x:c r="E191" s="11" t="str">
        <x:v>A JuiceFS 官方 Windows</x:v>
      </x:c>
      <x:c r="F191" s="11" t="str">
        <x:v>待执行</x:v>
      </x:c>
      <x:c r="G191" s="11" t="str">
        <x:v>Windows；原流程 Redis；SQLite 适配需另行记录</x:v>
      </x:c>
      <x:c r="H191" s="11" t="str">
        <x:v>原函数断言与预期结果；环境适配不冒充原 CI 原样执行</x:v>
      </x:c>
      <x:c r="I191" s="11" t="str">
        <x:v>.github/scripts/command-win/quota.sh:25 / test_total_inodes</x:v>
      </x:c>
      <x:c r="J191" s="11" t="str">
        <x:v>S08；E11</x:v>
      </x:c>
      <x:c r="K191" s="11" t="str">
        <x:v>命名函数</x:v>
      </x:c>
      <x:c r="L191" s="11" t="str">
        <x:v>上游 command-win.yml 已登记；本项目无执行此原始函数的证据。</x:v>
      </x:c>
      <x:c r="M191" s="11" t="str">
        <x:v>JuiceFS 30190ca1094d26e85f19a979ca51b0ea19af1eaa</x:v>
      </x:c>
      <x:c r="N191" s="11" t="str">
        <x:v>需隔离卷；原脚本含固定盘符和破坏性准备</x:v>
      </x:c>
      <x:c r="O191" s="11" t="str">
        <x:v>本轮未执行</x:v>
      </x:c>
      <x:c r="P191" s="11" t="str">
        <x:v>Windows CLI 函数</x:v>
      </x:c>
    </x:row>
    <x:row r="192" ht="44" customHeight="1">
      <x:c r="A192" s="10" t="str">
        <x:v>JFS-CLI-22</x:v>
      </x:c>
      <x:c r="B192" s="10" t="str">
        <x:v>L2</x:v>
      </x:c>
      <x:c r="C192" s="10" t="str">
        <x:v>崩溃与资源耗尽</x:v>
      </x:c>
      <x:c r="D192" s="10" t="str">
        <x:v>删除与恢复目录配额</x:v>
      </x:c>
      <x:c r="E192" s="10" t="str">
        <x:v>A JuiceFS 官方 Windows</x:v>
      </x:c>
      <x:c r="F192" s="10" t="str">
        <x:v>待执行</x:v>
      </x:c>
      <x:c r="G192" s="10" t="str">
        <x:v>Windows；原流程 Redis；SQLite 适配需另行记录</x:v>
      </x:c>
      <x:c r="H192" s="10" t="str">
        <x:v>原函数断言与预期结果；环境适配不冒充原 CI 原样执行</x:v>
      </x:c>
      <x:c r="I192" s="10" t="str">
        <x:v>.github/scripts/command-win/quota.sh:48 / test_remove_and_restore</x:v>
      </x:c>
      <x:c r="J192" s="10" t="str">
        <x:v>S08；E11</x:v>
      </x:c>
      <x:c r="K192" s="10" t="str">
        <x:v>命名函数</x:v>
      </x:c>
      <x:c r="L192" s="10" t="str">
        <x:v>上游 command-win.yml 已登记；本项目无执行此原始函数的证据。</x:v>
      </x:c>
      <x:c r="M192" s="10" t="str">
        <x:v>JuiceFS 30190ca1094d26e85f19a979ca51b0ea19af1eaa</x:v>
      </x:c>
      <x:c r="N192" s="10" t="str">
        <x:v>需隔离卷；原脚本含固定盘符和破坏性准备</x:v>
      </x:c>
      <x:c r="O192" s="10" t="str">
        <x:v>本轮未执行</x:v>
      </x:c>
      <x:c r="P192" s="10" t="str">
        <x:v>Windows CLI 函数</x:v>
      </x:c>
    </x:row>
    <x:row r="193" ht="44" customHeight="1">
      <x:c r="A193" s="11" t="str">
        <x:v>JFS-CLI-23</x:v>
      </x:c>
      <x:c r="B193" s="11" t="str">
        <x:v>L2</x:v>
      </x:c>
      <x:c r="C193" s="11" t="str">
        <x:v>崩溃与资源耗尽</x:v>
      </x:c>
      <x:c r="D193" s="11" t="str">
        <x:v>目录容量配额</x:v>
      </x:c>
      <x:c r="E193" s="11" t="str">
        <x:v>A JuiceFS 官方 Windows</x:v>
      </x:c>
      <x:c r="F193" s="11" t="str">
        <x:v>待执行</x:v>
      </x:c>
      <x:c r="G193" s="11" t="str">
        <x:v>Windows；原流程 Redis；SQLite 适配需另行记录</x:v>
      </x:c>
      <x:c r="H193" s="11" t="str">
        <x:v>原函数断言与预期结果；环境适配不冒充原 CI 原样执行</x:v>
      </x:c>
      <x:c r="I193" s="11" t="str">
        <x:v>.github/scripts/command-win/quota.sh:77 / test_dir_capacity</x:v>
      </x:c>
      <x:c r="J193" s="11" t="str">
        <x:v>S08；E11</x:v>
      </x:c>
      <x:c r="K193" s="11" t="str">
        <x:v>命名函数</x:v>
      </x:c>
      <x:c r="L193" s="11" t="str">
        <x:v>上游 command-win.yml 已登记；本项目无执行此原始函数的证据。</x:v>
      </x:c>
      <x:c r="M193" s="11" t="str">
        <x:v>JuiceFS 30190ca1094d26e85f19a979ca51b0ea19af1eaa</x:v>
      </x:c>
      <x:c r="N193" s="11" t="str">
        <x:v>需隔离卷；原脚本含固定盘符和破坏性准备</x:v>
      </x:c>
      <x:c r="O193" s="11" t="str">
        <x:v>本轮未执行</x:v>
      </x:c>
      <x:c r="P193" s="11" t="str">
        <x:v>Windows CLI 函数</x:v>
      </x:c>
    </x:row>
    <x:row r="194" ht="44" customHeight="1">
      <x:c r="A194" s="10" t="str">
        <x:v>JFS-CLI-24</x:v>
      </x:c>
      <x:c r="B194" s="10" t="str">
        <x:v>L2</x:v>
      </x:c>
      <x:c r="C194" s="10" t="str">
        <x:v>崩溃与资源耗尽</x:v>
      </x:c>
      <x:c r="D194" s="10" t="str">
        <x:v>目录 inode 配额</x:v>
      </x:c>
      <x:c r="E194" s="10" t="str">
        <x:v>A JuiceFS 官方 Windows</x:v>
      </x:c>
      <x:c r="F194" s="10" t="str">
        <x:v>待执行</x:v>
      </x:c>
      <x:c r="G194" s="10" t="str">
        <x:v>Windows；原流程 Redis；SQLite 适配需另行记录</x:v>
      </x:c>
      <x:c r="H194" s="10" t="str">
        <x:v>原函数断言与预期结果；环境适配不冒充原 CI 原样执行</x:v>
      </x:c>
      <x:c r="I194" s="10" t="str">
        <x:v>.github/scripts/command-win/quota.sh:105 / test_dir_inodes</x:v>
      </x:c>
      <x:c r="J194" s="10" t="str">
        <x:v>S08；E11</x:v>
      </x:c>
      <x:c r="K194" s="10" t="str">
        <x:v>命名函数</x:v>
      </x:c>
      <x:c r="L194" s="10" t="str">
        <x:v>上游 command-win.yml 已登记；本项目无执行此原始函数的证据。</x:v>
      </x:c>
      <x:c r="M194" s="10" t="str">
        <x:v>JuiceFS 30190ca1094d26e85f19a979ca51b0ea19af1eaa</x:v>
      </x:c>
      <x:c r="N194" s="10" t="str">
        <x:v>需隔离卷；原脚本含固定盘符和破坏性准备</x:v>
      </x:c>
      <x:c r="O194" s="10" t="str">
        <x:v>本轮未执行</x:v>
      </x:c>
      <x:c r="P194" s="10" t="str">
        <x:v>Windows CLI 函数</x:v>
      </x:c>
    </x:row>
    <x:row r="195" ht="44" customHeight="1">
      <x:c r="A195" s="11" t="str">
        <x:v>BASE-004</x:v>
      </x:c>
      <x:c r="B195" s="11" t="str">
        <x:v>L2</x:v>
      </x:c>
      <x:c r="C195" s="11" t="str">
        <x:v>应用与界面兼容</x:v>
      </x:c>
      <x:c r="D195" s="11" t="str">
        <x:v>Git 与编辑器原子保存回归</x:v>
      </x:c>
      <x:c r="E195" s="11" t="str">
        <x:v>D 外部基准补充</x:v>
      </x:c>
      <x:c r="F195" s="11" t="str">
        <x:v>待补充</x:v>
      </x:c>
      <x:c r="G195" s="11" t="str">
        <x:v>隔离 Git 仓库、编辑器保存流程</x:v>
      </x:c>
      <x:c r="H195" s="11" t="str">
        <x:v>checkout、增删改、重命名、锁文件与临时文件替换符合预期；保留 Windows 工具版本</x:v>
      </x:c>
      <x:c r="I195" s="11" t="str">
        <x:v>应用工作负载；补充 PLAN-019</x:v>
      </x:c>
      <x:c r="J195" s="11" t="str">
        <x:v>S09</x:v>
      </x:c>
      <x:c r="K195" s="11" t="str">
        <x:v>待细化场景</x:v>
      </x:c>
      <x:c r="L195" s="11" t="str">
        <x:v>此条为需实现的基准方案；无执行结果，不计作通过</x:v>
      </x:c>
      <x:c r="M195" s="11" t="str">
        <x:v>待固定工具版本与可执行配置</x:v>
      </x:c>
      <x:c r="N195" s="11" t="str">
        <x:v>按场景执行</x:v>
      </x:c>
      <x:c r="O195" s="11" t="str">
        <x:v>未实现完整入口</x:v>
      </x:c>
      <x:c r="P195" s="11" t="str">
        <x:v>新增基准方案</x:v>
      </x:c>
    </x:row>
    <x:row r="196" ht="44" customHeight="1">
      <x:c r="A196" s="10" t="str">
        <x:v>NATIVE-059</x:v>
      </x:c>
      <x:c r="B196" s="10" t="str">
        <x:v>L2</x:v>
      </x:c>
      <x:c r="C196" s="10" t="str">
        <x:v>应用与界面兼容</x:v>
      </x:c>
      <x:c r="D196" s="10" t="str">
        <x:v>卷内程序执行（原版）</x:v>
      </x:c>
      <x:c r="E196" s="10" t="str">
        <x:v>B Windows / WinFsp</x:v>
      </x:c>
      <x:c r="F196" s="10" t="str">
        <x:v>已通过</x:v>
      </x:c>
      <x:c r="G196" s="10" t="str">
        <x:v>本地后端 JuiceFS 同步／后台；NTFS 与直连结果在历史执行明细</x:v>
      </x:c>
      <x:c r="H196" s="10" t="str">
        <x:v>原版 WinFsp 2.1 外部模式的全部启用断言；与 NTFS 对照核对差异</x:v>
      </x:c>
      <x:c r="I196" s="10" t="str">
        <x:v>exec_test</x:v>
      </x:c>
      <x:c r="J196" s="10" t="str">
        <x:v>E09；S06；S07</x:v>
      </x:c>
      <x:c r="K196" s="10" t="str">
        <x:v>参数化用例</x:v>
      </x:c>
      <x:c r="L196" s="10" t="str">
        <x:v>2026-10-10 历史结果；当前构建及三网盘尚未按严格配置复测。</x:v>
      </x:c>
      <x:c r="M196" s="10" t="str">
        <x:v>WinFsp tests 2.1.25156；--external --resilient +*</x:v>
      </x:c>
      <x:c r="N196" s="10" t="str">
        <x:v>Windows 完整语义目标；失败不自动排除</x:v>
      </x:c>
      <x:c r="O196" s="10" t="str">
        <x:v>本轮未复测</x:v>
      </x:c>
      <x:c r="P196" s="10" t="str">
        <x:v>原版外部套件</x:v>
      </x:c>
    </x:row>
    <x:row r="197" ht="44" customHeight="1">
      <x:c r="A197" s="11" t="str">
        <x:v>NATIVE-060</x:v>
      </x:c>
      <x:c r="B197" s="11" t="str">
        <x:v>L2</x:v>
      </x:c>
      <x:c r="C197" s="11" t="str">
        <x:v>应用与界面兼容</x:v>
      </x:c>
      <x:c r="D197" s="11" t="str">
        <x:v>程序执行与删除（原版）</x:v>
      </x:c>
      <x:c r="E197" s="11" t="str">
        <x:v>B Windows / WinFsp</x:v>
      </x:c>
      <x:c r="F197" s="11" t="str">
        <x:v>已通过</x:v>
      </x:c>
      <x:c r="G197" s="11" t="str">
        <x:v>本地后端 JuiceFS 同步／后台；NTFS 与直连结果在历史执行明细</x:v>
      </x:c>
      <x:c r="H197" s="11" t="str">
        <x:v>原版 WinFsp 2.1 外部模式的全部启用断言；与 NTFS 对照核对差异</x:v>
      </x:c>
      <x:c r="I197" s="11" t="str">
        <x:v>exec_delete_test</x:v>
      </x:c>
      <x:c r="J197" s="11" t="str">
        <x:v>E09；S06；S07</x:v>
      </x:c>
      <x:c r="K197" s="11" t="str">
        <x:v>参数化用例</x:v>
      </x:c>
      <x:c r="L197" s="11" t="str">
        <x:v>2026-10-10 历史结果；当前构建及三网盘尚未按严格配置复测。</x:v>
      </x:c>
      <x:c r="M197" s="11" t="str">
        <x:v>WinFsp tests 2.1.25156；--external --resilient +*</x:v>
      </x:c>
      <x:c r="N197" s="11" t="str">
        <x:v>Windows 完整语义目标；失败不自动排除</x:v>
      </x:c>
      <x:c r="O197" s="11" t="str">
        <x:v>本轮未复测</x:v>
      </x:c>
      <x:c r="P197" s="11" t="str">
        <x:v>原版外部套件</x:v>
      </x:c>
    </x:row>
    <x:row r="198" ht="44" customHeight="1">
      <x:c r="A198" s="10" t="str">
        <x:v>NATIVE-061</x:v>
      </x:c>
      <x:c r="B198" s="10" t="str">
        <x:v>L2</x:v>
      </x:c>
      <x:c r="C198" s="10" t="str">
        <x:v>应用与界面兼容</x:v>
      </x:c>
      <x:c r="D198" s="10" t="str">
        <x:v>程序执行与文件改名（原版）</x:v>
      </x:c>
      <x:c r="E198" s="10" t="str">
        <x:v>B Windows / WinFsp</x:v>
      </x:c>
      <x:c r="F198" s="10" t="str">
        <x:v>已通过</x:v>
      </x:c>
      <x:c r="G198" s="10" t="str">
        <x:v>本地后端 JuiceFS 同步／后台；NTFS 与直连结果在历史执行明细</x:v>
      </x:c>
      <x:c r="H198" s="10" t="str">
        <x:v>原版 WinFsp 2.1 外部模式的全部启用断言；与 NTFS 对照核对差异</x:v>
      </x:c>
      <x:c r="I198" s="10" t="str">
        <x:v>exec_rename_test</x:v>
      </x:c>
      <x:c r="J198" s="10" t="str">
        <x:v>E09；S06；S07</x:v>
      </x:c>
      <x:c r="K198" s="10" t="str">
        <x:v>参数化用例</x:v>
      </x:c>
      <x:c r="L198" s="10" t="str">
        <x:v>2026-10-10 历史结果；当前构建及三网盘尚未按严格配置复测。</x:v>
      </x:c>
      <x:c r="M198" s="10" t="str">
        <x:v>WinFsp tests 2.1.25156；--external --resilient +*</x:v>
      </x:c>
      <x:c r="N198" s="10" t="str">
        <x:v>Windows 完整语义目标；失败不自动排除</x:v>
      </x:c>
      <x:c r="O198" s="10" t="str">
        <x:v>本轮未复测</x:v>
      </x:c>
      <x:c r="P198" s="10" t="str">
        <x:v>原版外部套件</x:v>
      </x:c>
    </x:row>
    <x:row r="199" ht="44" customHeight="1">
      <x:c r="A199" s="11" t="str">
        <x:v>NATIVE-062</x:v>
      </x:c>
      <x:c r="B199" s="11" t="str">
        <x:v>L2</x:v>
      </x:c>
      <x:c r="C199" s="11" t="str">
        <x:v>应用与界面兼容</x:v>
      </x:c>
      <x:c r="D199" s="11" t="str">
        <x:v>程序执行与目录改名（原版）</x:v>
      </x:c>
      <x:c r="E199" s="11" t="str">
        <x:v>B Windows / WinFsp</x:v>
      </x:c>
      <x:c r="F199" s="11" t="str">
        <x:v>已通过</x:v>
      </x:c>
      <x:c r="G199" s="11" t="str">
        <x:v>本地后端 JuiceFS 同步／后台；NTFS 与直连结果在历史执行明细</x:v>
      </x:c>
      <x:c r="H199" s="11" t="str">
        <x:v>原版 WinFsp 2.1 外部模式的全部启用断言；与 NTFS 对照核对差异</x:v>
      </x:c>
      <x:c r="I199" s="11" t="str">
        <x:v>exec_rename_dir_test</x:v>
      </x:c>
      <x:c r="J199" s="11" t="str">
        <x:v>E09；S06；S07</x:v>
      </x:c>
      <x:c r="K199" s="11" t="str">
        <x:v>参数化用例</x:v>
      </x:c>
      <x:c r="L199" s="11" t="str">
        <x:v>2026-10-10 历史结果；当前构建及三网盘尚未按严格配置复测。</x:v>
      </x:c>
      <x:c r="M199" s="11" t="str">
        <x:v>WinFsp tests 2.1.25156；--external --resilient +*</x:v>
      </x:c>
      <x:c r="N199" s="11" t="str">
        <x:v>Windows 完整语义目标；失败不自动排除</x:v>
      </x:c>
      <x:c r="O199" s="11" t="str">
        <x:v>本轮未复测</x:v>
      </x:c>
      <x:c r="P199" s="11" t="str">
        <x:v>原版外部套件</x:v>
      </x:c>
    </x:row>
    <x:row r="200" ht="44" customHeight="1">
      <x:c r="A200" s="10" t="str">
        <x:v>PLAN-019</x:v>
      </x:c>
      <x:c r="B200" s="10" t="str">
        <x:v>L2</x:v>
      </x:c>
      <x:c r="C200" s="10" t="str">
        <x:v>应用与界面兼容</x:v>
      </x:c>
      <x:c r="D200" s="10" t="str">
        <x:v>真实应用的临时文件替换保存</x:v>
      </x:c>
      <x:c r="E200" s="10" t="str">
        <x:v>C 项目补充</x:v>
      </x:c>
      <x:c r="F200" s="10" t="str">
        <x:v>待补充</x:v>
      </x:c>
      <x:c r="G200" s="10" t="str">
        <x:v>Office/编辑器，按支持清单选取</x:v>
      </x:c>
      <x:c r="H200" s="10" t="str">
        <x:v>保存、覆盖、崩溃中断及重新打开内容正确</x:v>
      </x:c>
      <x:c r="I200" s="10" t="str">
        <x:v>拟补充场景；未记录可执行完整用例</x:v>
      </x:c>
      <x:c r="J200" s="10" t="str">
        <x:v>需求缺口分析；无通过证据</x:v>
      </x:c>
      <x:c r="K200" s="10" t="str">
        <x:v>待细化场景</x:v>
      </x:c>
      <x:c r="L200" s="10" t="str">
        <x:v>已有程序执行测试不等同文档保存兼容</x:v>
      </x:c>
      <x:c r="M200" s="10" t="str">
        <x:v>项目代码与参数见对应证据</x:v>
      </x:c>
      <x:c r="N200" s="10" t="str">
        <x:v>Windows 单机产品；按已测范围解释</x:v>
      </x:c>
      <x:c r="O200" s="10" t="str">
        <x:v>本轮仅补充矩阵，未复测</x:v>
      </x:c>
      <x:c r="P200" s="10" t="str">
        <x:v>项目场景</x:v>
      </x:c>
    </x:row>
    <x:row r="201" ht="44" customHeight="1">
      <x:c r="A201" s="11" t="str">
        <x:v>WFP-48</x:v>
      </x:c>
      <x:c r="B201" s="11" t="str">
        <x:v>L2</x:v>
      </x:c>
      <x:c r="C201" s="11" t="str">
        <x:v>应用与界面兼容</x:v>
      </x:c>
      <x:c r="D201" s="11" t="str">
        <x:v>卷内程序执行</x:v>
      </x:c>
      <x:c r="E201" s="11" t="str">
        <x:v>B Windows / WinFsp</x:v>
      </x:c>
      <x:c r="F201" s="11" t="str">
        <x:v>已通过</x:v>
      </x:c>
      <x:c r="G201" s="11" t="str">
        <x:v>本地、百度、Google、OneDrive；同步/后台，共 8 组</x:v>
      </x:c>
      <x:c r="H201" s="11" t="str">
        <x:v>该用例在官方 FUSE 兼容参数下通过；断言范围以原用例为准</x:v>
      </x:c>
      <x:c r="I201" s="11" t="str">
        <x:v>exec_test</x:v>
      </x:c>
      <x:c r="J201" s="11" t="str">
        <x:v>E01；S04</x:v>
      </x:c>
      <x:c r="K201" s="11" t="str">
        <x:v>用例</x:v>
      </x:c>
      <x:c r="L201" s="11" t="str">
        <x:v>--fuse-external --resilient --case-insensitive-cmp；不代表全部 NTFS 语义</x:v>
      </x:c>
      <x:c r="M201" s="11" t="str">
        <x:v>juicedata/winfsp testing_suit_20250324；默认 FUSE 参数</x:v>
      </x:c>
      <x:c r="N201" s="11" t="str">
        <x:v>Windows 单机产品；按已测范围解释</x:v>
      </x:c>
      <x:c r="O201" s="11" t="str">
        <x:v>本轮仅补充矩阵，未复测</x:v>
      </x:c>
      <x:c r="P201" s="11" t="str">
        <x:v>JuiceFS fork 外部</x:v>
      </x:c>
    </x:row>
    <x:row r="202" ht="44" customHeight="1">
      <x:c r="A202" s="10" t="str">
        <x:v>WFP-49</x:v>
      </x:c>
      <x:c r="B202" s="10" t="str">
        <x:v>L2</x:v>
      </x:c>
      <x:c r="C202" s="10" t="str">
        <x:v>应用与界面兼容</x:v>
      </x:c>
      <x:c r="D202" s="10" t="str">
        <x:v>程序执行与删除</x:v>
      </x:c>
      <x:c r="E202" s="10" t="str">
        <x:v>B Windows / WinFsp</x:v>
      </x:c>
      <x:c r="F202" s="10" t="str">
        <x:v>已通过</x:v>
      </x:c>
      <x:c r="G202" s="10" t="str">
        <x:v>本地、百度、Google、OneDrive；同步/后台，共 8 组</x:v>
      </x:c>
      <x:c r="H202" s="10" t="str">
        <x:v>该用例在官方 FUSE 兼容参数下通过；断言范围以原用例为准</x:v>
      </x:c>
      <x:c r="I202" s="10" t="str">
        <x:v>exec_delete_test</x:v>
      </x:c>
      <x:c r="J202" s="10" t="str">
        <x:v>E01；S04</x:v>
      </x:c>
      <x:c r="K202" s="10" t="str">
        <x:v>用例</x:v>
      </x:c>
      <x:c r="L202" s="10" t="str">
        <x:v>--fuse-external --resilient --case-insensitive-cmp；不代表全部 NTFS 语义</x:v>
      </x:c>
      <x:c r="M202" s="10" t="str">
        <x:v>juicedata/winfsp testing_suit_20250324；默认 FUSE 参数</x:v>
      </x:c>
      <x:c r="N202" s="10" t="str">
        <x:v>Windows 单机产品；按已测范围解释</x:v>
      </x:c>
      <x:c r="O202" s="10" t="str">
        <x:v>本轮仅补充矩阵，未复测</x:v>
      </x:c>
      <x:c r="P202" s="10" t="str">
        <x:v>JuiceFS fork 外部</x:v>
      </x:c>
    </x:row>
    <x:row r="203" ht="44" customHeight="1">
      <x:c r="A203" s="11" t="str">
        <x:v>WFP-50</x:v>
      </x:c>
      <x:c r="B203" s="11" t="str">
        <x:v>L2</x:v>
      </x:c>
      <x:c r="C203" s="11" t="str">
        <x:v>应用与界面兼容</x:v>
      </x:c>
      <x:c r="D203" s="11" t="str">
        <x:v>程序执行与文件改名</x:v>
      </x:c>
      <x:c r="E203" s="11" t="str">
        <x:v>B Windows / WinFsp</x:v>
      </x:c>
      <x:c r="F203" s="11" t="str">
        <x:v>已通过</x:v>
      </x:c>
      <x:c r="G203" s="11" t="str">
        <x:v>本地、百度、Google、OneDrive；同步/后台，共 8 组</x:v>
      </x:c>
      <x:c r="H203" s="11" t="str">
        <x:v>该用例在官方 FUSE 兼容参数下通过；断言范围以原用例为准</x:v>
      </x:c>
      <x:c r="I203" s="11" t="str">
        <x:v>exec_rename_test</x:v>
      </x:c>
      <x:c r="J203" s="11" t="str">
        <x:v>E01；S04</x:v>
      </x:c>
      <x:c r="K203" s="11" t="str">
        <x:v>用例</x:v>
      </x:c>
      <x:c r="L203" s="11" t="str">
        <x:v>--fuse-external --resilient --case-insensitive-cmp；不代表全部 NTFS 语义</x:v>
      </x:c>
      <x:c r="M203" s="11" t="str">
        <x:v>juicedata/winfsp testing_suit_20250324；默认 FUSE 参数</x:v>
      </x:c>
      <x:c r="N203" s="11" t="str">
        <x:v>Windows 单机产品；按已测范围解释</x:v>
      </x:c>
      <x:c r="O203" s="11" t="str">
        <x:v>本轮仅补充矩阵，未复测</x:v>
      </x:c>
      <x:c r="P203" s="11" t="str">
        <x:v>JuiceFS fork 外部</x:v>
      </x:c>
    </x:row>
    <x:row r="204" ht="44" customHeight="1">
      <x:c r="A204" s="10" t="str">
        <x:v>WFP-51</x:v>
      </x:c>
      <x:c r="B204" s="10" t="str">
        <x:v>L2</x:v>
      </x:c>
      <x:c r="C204" s="10" t="str">
        <x:v>应用与界面兼容</x:v>
      </x:c>
      <x:c r="D204" s="10" t="str">
        <x:v>程序执行与目录改名</x:v>
      </x:c>
      <x:c r="E204" s="10" t="str">
        <x:v>B Windows / WinFsp</x:v>
      </x:c>
      <x:c r="F204" s="10" t="str">
        <x:v>已通过</x:v>
      </x:c>
      <x:c r="G204" s="10" t="str">
        <x:v>本地、百度、Google、OneDrive；同步/后台，共 8 组</x:v>
      </x:c>
      <x:c r="H204" s="10" t="str">
        <x:v>该用例在官方 FUSE 兼容参数下通过；断言范围以原用例为准</x:v>
      </x:c>
      <x:c r="I204" s="10" t="str">
        <x:v>exec_rename_dir_test</x:v>
      </x:c>
      <x:c r="J204" s="10" t="str">
        <x:v>E01；S04</x:v>
      </x:c>
      <x:c r="K204" s="10" t="str">
        <x:v>用例</x:v>
      </x:c>
      <x:c r="L204" s="10" t="str">
        <x:v>--fuse-external --resilient --case-insensitive-cmp；不代表全部 NTFS 语义</x:v>
      </x:c>
      <x:c r="M204" s="10" t="str">
        <x:v>juicedata/winfsp testing_suit_20250324；默认 FUSE 参数</x:v>
      </x:c>
      <x:c r="N204" s="10" t="str">
        <x:v>Windows 单机产品；按已测范围解释</x:v>
      </x:c>
      <x:c r="O204" s="10" t="str">
        <x:v>本轮仅补充矩阵，未复测</x:v>
      </x:c>
      <x:c r="P204" s="10" t="str">
        <x:v>JuiceFS fork 外部</x:v>
      </x:c>
    </x:row>
    <x:row r="205" ht="44" customHeight="1">
      <x:c r="A205" s="11" t="str">
        <x:v>PLAN-016</x:v>
      </x:c>
      <x:c r="B205" s="11" t="str">
        <x:v>L2</x:v>
      </x:c>
      <x:c r="C205" s="11" t="str">
        <x:v>性能与规模</x:v>
      </x:c>
      <x:c r="D205" s="11" t="str">
        <x:v>大文件与多块长序列正确性</x:v>
      </x:c>
      <x:c r="E205" s="11" t="str">
        <x:v>C 项目补充</x:v>
      </x:c>
      <x:c r="F205" s="11" t="str">
        <x:v>待补充</x:v>
      </x:c>
      <x:c r="G205" s="11" t="str">
        <x:v>本地及三网盘</x:v>
      </x:c>
      <x:c r="H205" s="11" t="str">
        <x:v>覆盖数 GiB 以上和块边界；独立预期哈希校验完整内容</x:v>
      </x:c>
      <x:c r="I205" s="11" t="str">
        <x:v>拟补充场景；未记录可执行完整用例</x:v>
      </x:c>
      <x:c r="J205" s="11" t="str">
        <x:v>需求缺口分析；无通过证据</x:v>
      </x:c>
      <x:c r="K205" s="11" t="str">
        <x:v>待细化场景</x:v>
      </x:c>
      <x:c r="L205" s="11" t="str">
        <x:v>用例参数待按测试空间和云端成本确定</x:v>
      </x:c>
      <x:c r="M205" s="11" t="str">
        <x:v>项目代码与参数见对应证据</x:v>
      </x:c>
      <x:c r="N205" s="11" t="str">
        <x:v>Windows 单机产品；按已测范围解释</x:v>
      </x:c>
      <x:c r="O205" s="11" t="str">
        <x:v>本轮仅补充矩阵，未复测</x:v>
      </x:c>
      <x:c r="P205" s="11" t="str">
        <x:v>项目场景</x:v>
      </x:c>
    </x:row>
    <x:row r="206" ht="44" customHeight="1">
      <x:c r="A206" s="10" t="str">
        <x:v>PLAN-017</x:v>
      </x:c>
      <x:c r="B206" s="10" t="str">
        <x:v>L2</x:v>
      </x:c>
      <x:c r="C206" s="10" t="str">
        <x:v>性能与规模</x:v>
      </x:c>
      <x:c r="D206" s="10" t="str">
        <x:v>海量文件与深目录规模正确性</x:v>
      </x:c>
      <x:c r="E206" s="10" t="str">
        <x:v>C 项目补充</x:v>
      </x:c>
      <x:c r="F206" s="10" t="str">
        <x:v>待补充</x:v>
      </x:c>
      <x:c r="G206" s="10" t="str">
        <x:v>本地优先，三网盘抽样</x:v>
      </x:c>
      <x:c r="H206" s="10" t="str">
        <x:v>大量目录项的创建、枚举、移动、删除无缺失，重挂载一致</x:v>
      </x:c>
      <x:c r="I206" s="10" t="str">
        <x:v>拟补充场景；未记录可执行完整用例</x:v>
      </x:c>
      <x:c r="J206" s="10" t="str">
        <x:v>需求缺口分析；无通过证据</x:v>
      </x:c>
      <x:c r="K206" s="10" t="str">
        <x:v>待细化场景</x:v>
      </x:c>
      <x:c r="L206" s="10" t="str">
        <x:v>用例规模待确定，不能沿用 50 文件测试作为证明</x:v>
      </x:c>
      <x:c r="M206" s="10" t="str">
        <x:v>项目代码与参数见对应证据</x:v>
      </x:c>
      <x:c r="N206" s="10" t="str">
        <x:v>Windows 单机产品；按已测范围解释</x:v>
      </x:c>
      <x:c r="O206" s="10" t="str">
        <x:v>本轮仅补充矩阵，未复测</x:v>
      </x:c>
      <x:c r="P206" s="10" t="str">
        <x:v>项目场景</x:v>
      </x:c>
    </x:row>
    <x:row r="207" ht="44" customHeight="1">
      <x:c r="A207" s="11" t="str">
        <x:v>PLAN-018</x:v>
      </x:c>
      <x:c r="B207" s="11" t="str">
        <x:v>L2</x:v>
      </x:c>
      <x:c r="C207" s="11" t="str">
        <x:v>性能与规模</x:v>
      </x:c>
      <x:c r="D207" s="11" t="str">
        <x:v>多随机种子和持续压力</x:v>
      </x:c>
      <x:c r="E207" s="11" t="str">
        <x:v>C 项目补充</x:v>
      </x:c>
      <x:c r="F207" s="11" t="str">
        <x:v>待补充</x:v>
      </x:c>
      <x:c r="G207" s="11" t="str">
        <x:v>本地长跑，三网盘有界长跑</x:v>
      </x:c>
      <x:c r="H207" s="11" t="str">
        <x:v>不同种子 FSX 与混合负载持续运行，恢复后核对独立期望</x:v>
      </x:c>
      <x:c r="I207" s="11" t="str">
        <x:v>拟补充场景；未记录可执行完整用例</x:v>
      </x:c>
      <x:c r="J207" s="11" t="str">
        <x:v>需求缺口分析；无通过证据</x:v>
      </x:c>
      <x:c r="K207" s="11" t="str">
        <x:v>待细化场景</x:v>
      </x:c>
      <x:c r="L207" s="11" t="str">
        <x:v>属于数据正确性测试，不能仅记录吞吐</x:v>
      </x:c>
      <x:c r="M207" s="11" t="str">
        <x:v>项目代码与参数见对应证据</x:v>
      </x:c>
      <x:c r="N207" s="11" t="str">
        <x:v>Windows 单机产品；按已测范围解释</x:v>
      </x:c>
      <x:c r="O207" s="11" t="str">
        <x:v>本轮仅补充矩阵，未复测</x:v>
      </x:c>
      <x:c r="P207" s="11" t="str">
        <x:v>项目场景</x:v>
      </x:c>
    </x:row>
    <x:row r="208" ht="44" customHeight="1">
      <x:c r="A208" s="10" t="str">
        <x:v>BASE-002</x:v>
      </x:c>
      <x:c r="B208" s="10" t="str">
        <x:v>L2</x:v>
      </x:c>
      <x:c r="C208" s="10" t="str">
        <x:v>平台与扩展边界</x:v>
      </x:c>
      <x:c r="D208" s="10" t="str">
        <x:v>微软 IFS／HLK 适用项目</x:v>
      </x:c>
      <x:c r="E208" s="10" t="str">
        <x:v>D 外部基准补充</x:v>
      </x:c>
      <x:c r="F208" s="10" t="str">
        <x:v>待补充</x:v>
      </x:c>
      <x:c r="G208" s="10" t="str">
        <x:v>专用 Windows 测试环境；按平台和组件选项筛选</x:v>
      </x:c>
      <x:c r="H208" s="10" t="str">
        <x:v>先固定工具包及适用项目，逐项建立期望，不能宣称全套 HLK 已纳入或已通过</x:v>
      </x:c>
      <x:c r="I208" s="10" t="str">
        <x:v>https://learn.microsoft.com/en-us/windows-hardware/test/hlk/testref/file-system-testing-prerequisites</x:v>
      </x:c>
      <x:c r="J208" s="10" t="str">
        <x:v>S09</x:v>
      </x:c>
      <x:c r="K208" s="10" t="str">
        <x:v>待细化场景</x:v>
      </x:c>
      <x:c r="L208" s="10" t="str">
        <x:v>此条为需实现的基准方案；无执行结果，不计作通过</x:v>
      </x:c>
      <x:c r="M208" s="10" t="str">
        <x:v>待固定工具版本与可执行配置</x:v>
      </x:c>
      <x:c r="N208" s="10" t="str">
        <x:v>按场景执行</x:v>
      </x:c>
      <x:c r="O208" s="10" t="str">
        <x:v>未实现完整入口</x:v>
      </x:c>
      <x:c r="P208" s="10" t="str">
        <x:v>新增基准方案</x:v>
      </x:c>
    </x:row>
    <x:row r="209" ht="60" customHeight="1">
      <x:c r="A209" s="11" t="str">
        <x:v>NATIVE-070</x:v>
      </x:c>
      <x:c r="B209" s="11" t="str">
        <x:v>L2</x:v>
      </x:c>
      <x:c r="C209" s="11" t="str">
        <x:v>平台与扩展边界</x:v>
      </x:c>
      <x:c r="D209" s="11" t="str">
        <x:v>命名流：创建（原版）</x:v>
      </x:c>
      <x:c r="E209" s="11" t="str">
        <x:v>B Windows / WinFsp</x:v>
      </x:c>
      <x:c r="F209" s="11" t="str">
        <x:v>已失败</x:v>
      </x:c>
      <x:c r="G209" s="11" t="str">
        <x:v>本地后端 JuiceFS 同步／后台；NTFS 与直连结果在历史执行明细</x:v>
      </x:c>
      <x:c r="H209" s="11" t="str">
        <x:v>原版 WinFsp 2.1 外部模式的全部启用断言；与 NTFS 对照核对差异</x:v>
      </x:c>
      <x:c r="I209" s="11" t="str">
        <x:v>stream_create_test</x:v>
      </x:c>
      <x:c r="J209" s="11" t="str">
        <x:v>E09；S06；S07</x:v>
      </x:c>
      <x:c r="K209" s="11" t="str">
        <x:v>参数化用例</x:v>
      </x:c>
      <x:c r="L209" s="11" t="str">
        <x:v>2026-10-10 历史结果；当前构建及三网盘尚未按严格配置复测。 ASSERT(INVALID_HANDLE_VALUE != Handle) failed at stream-tests.c:46:stream_create_dotest (err=c0000033:123)</x:v>
      </x:c>
      <x:c r="M209" s="11" t="str">
        <x:v>WinFsp tests 2.1.25156；--external --resilient +*</x:v>
      </x:c>
      <x:c r="N209" s="11" t="str">
        <x:v>Windows 完整语义目标；失败不自动排除</x:v>
      </x:c>
      <x:c r="O209" s="11" t="str">
        <x:v>本轮未复测</x:v>
      </x:c>
      <x:c r="P209" s="11" t="str">
        <x:v>原版外部套件</x:v>
      </x:c>
    </x:row>
    <x:row r="210" ht="60" customHeight="1">
      <x:c r="A210" s="10" t="str">
        <x:v>NATIVE-071</x:v>
      </x:c>
      <x:c r="B210" s="10" t="str">
        <x:v>L2</x:v>
      </x:c>
      <x:c r="C210" s="10" t="str">
        <x:v>平台与扩展边界</x:v>
      </x:c>
      <x:c r="D210" s="10" t="str">
        <x:v>命名流：创建与覆盖（原版）</x:v>
      </x:c>
      <x:c r="E210" s="10" t="str">
        <x:v>B Windows / WinFsp</x:v>
      </x:c>
      <x:c r="F210" s="10" t="str">
        <x:v>已失败</x:v>
      </x:c>
      <x:c r="G210" s="10" t="str">
        <x:v>本地后端 JuiceFS 同步／后台；NTFS 与直连结果在历史执行明细</x:v>
      </x:c>
      <x:c r="H210" s="10" t="str">
        <x:v>原版 WinFsp 2.1 外部模式的全部启用断言；与 NTFS 对照核对差异</x:v>
      </x:c>
      <x:c r="I210" s="10" t="str">
        <x:v>stream_create_overwrite_test</x:v>
      </x:c>
      <x:c r="J210" s="10" t="str">
        <x:v>E09；S06；S07</x:v>
      </x:c>
      <x:c r="K210" s="10" t="str">
        <x:v>参数化用例</x:v>
      </x:c>
      <x:c r="L210" s="10" t="str">
        <x:v>2026-10-10 历史结果；当前构建及三网盘尚未按严格配置复测。 ASSERT(INVALID_HANDLE_VALUE != Handle) failed at stream-tests.c:381:stream_create_overwrite_dotest (err=c0000033:123)</x:v>
      </x:c>
      <x:c r="M210" s="10" t="str">
        <x:v>WinFsp tests 2.1.25156；--external --resilient +*</x:v>
      </x:c>
      <x:c r="N210" s="10" t="str">
        <x:v>Windows 完整语义目标；失败不自动排除</x:v>
      </x:c>
      <x:c r="O210" s="10" t="str">
        <x:v>本轮未复测</x:v>
      </x:c>
      <x:c r="P210" s="10" t="str">
        <x:v>原版外部套件</x:v>
      </x:c>
    </x:row>
    <x:row r="211" ht="60" customHeight="1">
      <x:c r="A211" s="11" t="str">
        <x:v>NATIVE-072</x:v>
      </x:c>
      <x:c r="B211" s="11" t="str">
        <x:v>L2</x:v>
      </x:c>
      <x:c r="C211" s="11" t="str">
        <x:v>平台与扩展边界</x:v>
      </x:c>
      <x:c r="D211" s="11" t="str">
        <x:v>命名流：关联句柄创建（原版）</x:v>
      </x:c>
      <x:c r="E211" s="11" t="str">
        <x:v>B Windows / WinFsp</x:v>
      </x:c>
      <x:c r="F211" s="11" t="str">
        <x:v>已失败</x:v>
      </x:c>
      <x:c r="G211" s="11" t="str">
        <x:v>本地后端 JuiceFS 同步／后台；NTFS 与直连结果在历史执行明细</x:v>
      </x:c>
      <x:c r="H211" s="11" t="str">
        <x:v>原版 WinFsp 2.1 外部模式的全部启用断言；与 NTFS 对照核对差异</x:v>
      </x:c>
      <x:c r="I211" s="11" t="str">
        <x:v>stream_create_related_test</x:v>
      </x:c>
      <x:c r="J211" s="11" t="str">
        <x:v>E09；S06；S07</x:v>
      </x:c>
      <x:c r="K211" s="11" t="str">
        <x:v>参数化用例</x:v>
      </x:c>
      <x:c r="L211" s="11" t="str">
        <x:v>2026-10-10 历史结果；当前构建及三网盘尚未按严格配置复测。 ASSERT(STATUS_SUCCESS == Result) failed at stream-tests.c:495:stream_create_related_dotest (err=0:0)</x:v>
      </x:c>
      <x:c r="M211" s="11" t="str">
        <x:v>WinFsp tests 2.1.25156；--external --resilient +*</x:v>
      </x:c>
      <x:c r="N211" s="11" t="str">
        <x:v>Windows 完整语义目标；失败不自动排除</x:v>
      </x:c>
      <x:c r="O211" s="11" t="str">
        <x:v>本轮未复测</x:v>
      </x:c>
      <x:c r="P211" s="11" t="str">
        <x:v>原版外部套件</x:v>
      </x:c>
    </x:row>
    <x:row r="212" ht="60" customHeight="1">
      <x:c r="A212" s="10" t="str">
        <x:v>NATIVE-075</x:v>
      </x:c>
      <x:c r="B212" s="10" t="str">
        <x:v>L2</x:v>
      </x:c>
      <x:c r="C212" s="10" t="str">
        <x:v>平台与扩展边界</x:v>
      </x:c>
      <x:c r="D212" s="10" t="str">
        <x:v>命名流：查询信息（原版）</x:v>
      </x:c>
      <x:c r="E212" s="10" t="str">
        <x:v>B Windows / WinFsp</x:v>
      </x:c>
      <x:c r="F212" s="10" t="str">
        <x:v>已失败</x:v>
      </x:c>
      <x:c r="G212" s="10" t="str">
        <x:v>本地后端 JuiceFS 同步／后台；NTFS 与直连结果在历史执行明细</x:v>
      </x:c>
      <x:c r="H212" s="10" t="str">
        <x:v>原版 WinFsp 2.1 外部模式的全部启用断言；与 NTFS 对照核对差异</x:v>
      </x:c>
      <x:c r="I212" s="10" t="str">
        <x:v>stream_getfileinfo_test</x:v>
      </x:c>
      <x:c r="J212" s="10" t="str">
        <x:v>E09；S06；S07</x:v>
      </x:c>
      <x:c r="K212" s="10" t="str">
        <x:v>参数化用例</x:v>
      </x:c>
      <x:c r="L212" s="10" t="str">
        <x:v>2026-10-10 历史结果；当前构建及三网盘尚未按严格配置复测。 ASSERT(INVALID_HANDLE_VALUE != Handle) failed at stream-tests.c:957:stream_getfileinfo_dotest (err=c0000033:123)</x:v>
      </x:c>
      <x:c r="M212" s="10" t="str">
        <x:v>WinFsp tests 2.1.25156；--external --resilient +*</x:v>
      </x:c>
      <x:c r="N212" s="10" t="str">
        <x:v>Windows 完整语义目标；失败不自动排除</x:v>
      </x:c>
      <x:c r="O212" s="10" t="str">
        <x:v>本轮未复测</x:v>
      </x:c>
      <x:c r="P212" s="10" t="str">
        <x:v>原版外部套件</x:v>
      </x:c>
    </x:row>
    <x:row r="213" ht="60" customHeight="1">
      <x:c r="A213" s="11" t="str">
        <x:v>NATIVE-076</x:v>
      </x:c>
      <x:c r="B213" s="11" t="str">
        <x:v>L2</x:v>
      </x:c>
      <x:c r="C213" s="11" t="str">
        <x:v>平台与扩展边界</x:v>
      </x:c>
      <x:c r="D213" s="11" t="str">
        <x:v>命名流：设置信息（原版）</x:v>
      </x:c>
      <x:c r="E213" s="11" t="str">
        <x:v>B Windows / WinFsp</x:v>
      </x:c>
      <x:c r="F213" s="11" t="str">
        <x:v>已失败</x:v>
      </x:c>
      <x:c r="G213" s="11" t="str">
        <x:v>本地后端 JuiceFS 同步／后台；NTFS 与直连结果在历史执行明细</x:v>
      </x:c>
      <x:c r="H213" s="11" t="str">
        <x:v>原版 WinFsp 2.1 外部模式的全部启用断言；与 NTFS 对照核对差异</x:v>
      </x:c>
      <x:c r="I213" s="11" t="str">
        <x:v>stream_setfileinfo_test</x:v>
      </x:c>
      <x:c r="J213" s="11" t="str">
        <x:v>E09；S06；S07</x:v>
      </x:c>
      <x:c r="K213" s="11" t="str">
        <x:v>参数化用例</x:v>
      </x:c>
      <x:c r="L213" s="11" t="str">
        <x:v>2026-10-10 历史结果；当前构建及三网盘尚未按严格配置复测。 ASSERT(INVALID_HANDLE_VALUE != StreamHandle) failed at stream-tests.c:1188:stream_setfileinfo_dotest (err=c0000033:123)</x:v>
      </x:c>
      <x:c r="M213" s="11" t="str">
        <x:v>WinFsp tests 2.1.25156；--external --resilient +*</x:v>
      </x:c>
      <x:c r="N213" s="11" t="str">
        <x:v>Windows 完整语义目标；失败不自动排除</x:v>
      </x:c>
      <x:c r="O213" s="11" t="str">
        <x:v>本轮未复测</x:v>
      </x:c>
      <x:c r="P213" s="11" t="str">
        <x:v>原版外部套件</x:v>
      </x:c>
    </x:row>
    <x:row r="214" ht="60" customHeight="1">
      <x:c r="A214" s="10" t="str">
        <x:v>NATIVE-077</x:v>
      </x:c>
      <x:c r="B214" s="10" t="str">
        <x:v>L2</x:v>
      </x:c>
      <x:c r="C214" s="10" t="str">
        <x:v>平台与扩展边界</x:v>
      </x:c>
      <x:c r="D214" s="10" t="str">
        <x:v>命名流：删除（原版）</x:v>
      </x:c>
      <x:c r="E214" s="10" t="str">
        <x:v>B Windows / WinFsp</x:v>
      </x:c>
      <x:c r="F214" s="10" t="str">
        <x:v>已失败</x:v>
      </x:c>
      <x:c r="G214" s="10" t="str">
        <x:v>本地后端 JuiceFS 同步／后台；NTFS 与直连结果在历史执行明细</x:v>
      </x:c>
      <x:c r="H214" s="10" t="str">
        <x:v>原版 WinFsp 2.1 外部模式的全部启用断言；与 NTFS 对照核对差异</x:v>
      </x:c>
      <x:c r="I214" s="10" t="str">
        <x:v>stream_delete_test</x:v>
      </x:c>
      <x:c r="J214" s="10" t="str">
        <x:v>E09；S06；S07</x:v>
      </x:c>
      <x:c r="K214" s="10" t="str">
        <x:v>参数化用例</x:v>
      </x:c>
      <x:c r="L214" s="10" t="str">
        <x:v>2026-10-10 历史结果；当前构建及三网盘尚未按严格配置复测。 ASSERT(INVALID_HANDLE_VALUE != Handle) failed at stream-tests.c:1329:stream_delete_dotest (err=c0000033:123)</x:v>
      </x:c>
      <x:c r="M214" s="10" t="str">
        <x:v>WinFsp tests 2.1.25156；--external --resilient +*</x:v>
      </x:c>
      <x:c r="N214" s="10" t="str">
        <x:v>Windows 完整语义目标；失败不自动排除</x:v>
      </x:c>
      <x:c r="O214" s="10" t="str">
        <x:v>本轮未复测</x:v>
      </x:c>
      <x:c r="P214" s="10" t="str">
        <x:v>原版外部套件</x:v>
      </x:c>
    </x:row>
    <x:row r="215" ht="60" customHeight="1">
      <x:c r="A215" s="11" t="str">
        <x:v>NATIVE-078</x:v>
      </x:c>
      <x:c r="B215" s="11" t="str">
        <x:v>L2</x:v>
      </x:c>
      <x:c r="C215" s="11" t="str">
        <x:v>平台与扩展边界</x:v>
      </x:c>
      <x:c r="D215" s="11" t="str">
        <x:v>命名流：待删除状态（原版）</x:v>
      </x:c>
      <x:c r="E215" s="11" t="str">
        <x:v>B Windows / WinFsp</x:v>
      </x:c>
      <x:c r="F215" s="11" t="str">
        <x:v>已失败</x:v>
      </x:c>
      <x:c r="G215" s="11" t="str">
        <x:v>本地后端 JuiceFS 同步／后台；NTFS 与直连结果在历史执行明细</x:v>
      </x:c>
      <x:c r="H215" s="11" t="str">
        <x:v>原版 WinFsp 2.1 外部模式的全部启用断言；与 NTFS 对照核对差异</x:v>
      </x:c>
      <x:c r="I215" s="11" t="str">
        <x:v>stream_delete_pending_test</x:v>
      </x:c>
      <x:c r="J215" s="11" t="str">
        <x:v>E09；S06；S07</x:v>
      </x:c>
      <x:c r="K215" s="11" t="str">
        <x:v>参数化用例</x:v>
      </x:c>
      <x:c r="L215" s="11" t="str">
        <x:v>2026-10-10 历史结果；当前构建及三网盘尚未按严格配置复测。 ASSERT(INVALID_HANDLE_VALUE != Handle) failed at stream-tests.c:1413:stream_delete_pending_dotest (err=c0000033:123)</x:v>
      </x:c>
      <x:c r="M215" s="11" t="str">
        <x:v>WinFsp tests 2.1.25156；--external --resilient +*</x:v>
      </x:c>
      <x:c r="N215" s="11" t="str">
        <x:v>Windows 完整语义目标；失败不自动排除</x:v>
      </x:c>
      <x:c r="O215" s="11" t="str">
        <x:v>本轮未复测</x:v>
      </x:c>
      <x:c r="P215" s="11" t="str">
        <x:v>原版外部套件</x:v>
      </x:c>
    </x:row>
    <x:row r="216" ht="60" customHeight="1">
      <x:c r="A216" s="10" t="str">
        <x:v>NATIVE-079</x:v>
      </x:c>
      <x:c r="B216" s="10" t="str">
        <x:v>L2</x:v>
      </x:c>
      <x:c r="C216" s="10" t="str">
        <x:v>平台与扩展边界</x:v>
      </x:c>
      <x:c r="D216" s="10" t="str">
        <x:v>命名流：反复重命名（原版）</x:v>
      </x:c>
      <x:c r="E216" s="10" t="str">
        <x:v>B Windows / WinFsp</x:v>
      </x:c>
      <x:c r="F216" s="10" t="str">
        <x:v>已失败</x:v>
      </x:c>
      <x:c r="G216" s="10" t="str">
        <x:v>本地后端 JuiceFS 同步／后台；NTFS 与直连结果在历史执行明细</x:v>
      </x:c>
      <x:c r="H216" s="10" t="str">
        <x:v>原版 WinFsp 2.1 外部模式的全部启用断言；与 NTFS 对照核对差异</x:v>
      </x:c>
      <x:c r="I216" s="10" t="str">
        <x:v>stream_rename_flipflop_test</x:v>
      </x:c>
      <x:c r="J216" s="10" t="str">
        <x:v>E09；S06；S07</x:v>
      </x:c>
      <x:c r="K216" s="10" t="str">
        <x:v>参数化用例</x:v>
      </x:c>
      <x:c r="L216" s="10" t="str">
        <x:v>2026-10-10 历史结果；当前构建及三网盘尚未按严格配置复测。 ASSERT(INVALID_HANDLE_VALUE != Handle) failed at stream-tests.c:1523:stream_rename_flipflop_dotest (err=c0000033:123)</x:v>
      </x:c>
      <x:c r="M216" s="10" t="str">
        <x:v>WinFsp tests 2.1.25156；--external --resilient +*</x:v>
      </x:c>
      <x:c r="N216" s="10" t="str">
        <x:v>Windows 完整语义目标；失败不自动排除</x:v>
      </x:c>
      <x:c r="O216" s="10" t="str">
        <x:v>本轮未复测</x:v>
      </x:c>
      <x:c r="P216" s="10" t="str">
        <x:v>原版外部套件</x:v>
      </x:c>
    </x:row>
    <x:row r="217" ht="60" customHeight="1">
      <x:c r="A217" s="11" t="str">
        <x:v>NATIVE-082</x:v>
      </x:c>
      <x:c r="B217" s="11" t="str">
        <x:v>L2</x:v>
      </x:c>
      <x:c r="C217" s="11" t="str">
        <x:v>平台与扩展边界</x:v>
      </x:c>
      <x:c r="D217" s="11" t="str">
        <x:v>命名流：枚举命名流（原版）</x:v>
      </x:c>
      <x:c r="E217" s="11" t="str">
        <x:v>B Windows / WinFsp</x:v>
      </x:c>
      <x:c r="F217" s="11" t="str">
        <x:v>已失败</x:v>
      </x:c>
      <x:c r="G217" s="11" t="str">
        <x:v>本地后端 JuiceFS 同步／后台；NTFS 与直连结果在历史执行明细</x:v>
      </x:c>
      <x:c r="H217" s="11" t="str">
        <x:v>原版 WinFsp 2.1 外部模式的全部启用断言；与 NTFS 对照核对差异</x:v>
      </x:c>
      <x:c r="I217" s="11" t="str">
        <x:v>stream_getstreaminfo_test</x:v>
      </x:c>
      <x:c r="J217" s="11" t="str">
        <x:v>E09；S06；S07</x:v>
      </x:c>
      <x:c r="K217" s="11" t="str">
        <x:v>参数化用例</x:v>
      </x:c>
      <x:c r="L217" s="11" t="str">
        <x:v>2026-10-10 历史结果；当前构建及三网盘尚未按严格配置复测。 ASSERT(INVALID_HANDLE_VALUE != Handle) failed at stream-tests.c:1966:stream_getstreaminfo_dotest (err=c0000033:123)</x:v>
      </x:c>
      <x:c r="M217" s="11" t="str">
        <x:v>WinFsp tests 2.1.25156；--external --resilient +*</x:v>
      </x:c>
      <x:c r="N217" s="11" t="str">
        <x:v>Windows 完整语义目标；失败不自动排除</x:v>
      </x:c>
      <x:c r="O217" s="11" t="str">
        <x:v>本轮未复测</x:v>
      </x:c>
      <x:c r="P217" s="11" t="str">
        <x:v>原版外部套件</x:v>
      </x:c>
    </x:row>
    <x:row r="218" ht="44" customHeight="1">
      <x:c r="A218" s="10" t="str">
        <x:v>NATIVE-083</x:v>
      </x:c>
      <x:c r="B218" s="10" t="str">
        <x:v>L2</x:v>
      </x:c>
      <x:c r="C218" s="10" t="str">
        <x:v>平台与扩展边界</x:v>
      </x:c>
      <x:c r="D218" s="10" t="str">
        <x:v>命名流：枚举缓存失效（原版）</x:v>
      </x:c>
      <x:c r="E218" s="10" t="str">
        <x:v>B Windows / WinFsp</x:v>
      </x:c>
      <x:c r="F218" s="10" t="str">
        <x:v>已通过</x:v>
      </x:c>
      <x:c r="G218" s="10" t="str">
        <x:v>本地后端 JuiceFS 同步／后台；NTFS 与直连结果在历史执行明细</x:v>
      </x:c>
      <x:c r="H218" s="10" t="str">
        <x:v>原版 WinFsp 2.1 外部模式的全部启用断言；与 NTFS 对照核对差异</x:v>
      </x:c>
      <x:c r="I218" s="10" t="str">
        <x:v>stream_getstreaminfo_expire_cache_test</x:v>
      </x:c>
      <x:c r="J218" s="10" t="str">
        <x:v>E09；S06；S07</x:v>
      </x:c>
      <x:c r="K218" s="10" t="str">
        <x:v>参数化用例</x:v>
      </x:c>
      <x:c r="L218" s="10" t="str">
        <x:v>2026-10-10 历史结果；当前构建及三网盘尚未按严格配置复测。</x:v>
      </x:c>
      <x:c r="M218" s="10" t="str">
        <x:v>WinFsp tests 2.1.25156；--external --resilient +*</x:v>
      </x:c>
      <x:c r="N218" s="10" t="str">
        <x:v>Windows 完整语义目标；失败不自动排除</x:v>
      </x:c>
      <x:c r="O218" s="10" t="str">
        <x:v>本轮未复测</x:v>
      </x:c>
      <x:c r="P218" s="10" t="str">
        <x:v>原版外部套件</x:v>
      </x:c>
    </x:row>
    <x:row r="219" ht="44" customHeight="1">
      <x:c r="A219" s="11" t="str">
        <x:v>NATIVE-084</x:v>
      </x:c>
      <x:c r="B219" s="11" t="str">
        <x:v>L2</x:v>
      </x:c>
      <x:c r="C219" s="11" t="str">
        <x:v>平台与扩展边界</x:v>
      </x:c>
      <x:c r="D219" s="11" t="str">
        <x:v>命名流：变化通知（原版）</x:v>
      </x:c>
      <x:c r="E219" s="11" t="str">
        <x:v>B Windows / WinFsp</x:v>
      </x:c>
      <x:c r="F219" s="11" t="str">
        <x:v>已超时</x:v>
      </x:c>
      <x:c r="G219" s="11" t="str">
        <x:v>本地后端 JuiceFS 同步／后台；NTFS 与直连结果在历史执行明细</x:v>
      </x:c>
      <x:c r="H219" s="11" t="str">
        <x:v>原版 WinFsp 2.1 外部模式的全部启用断言；与 NTFS 对照核对差异</x:v>
      </x:c>
      <x:c r="I219" s="11" t="str">
        <x:v>stream_dirnotify_test</x:v>
      </x:c>
      <x:c r="J219" s="11" t="str">
        <x:v>E09；S06；S07</x:v>
      </x:c>
      <x:c r="K219" s="11" t="str">
        <x:v>参数化用例</x:v>
      </x:c>
      <x:c r="L219" s="11" t="str">
        <x:v>2026-10-10 历史结果；当前构建及三网盘尚未按严格配置复测。 </x:v>
      </x:c>
      <x:c r="M219" s="11" t="str">
        <x:v>WinFsp tests 2.1.25156；--external --resilient +*</x:v>
      </x:c>
      <x:c r="N219" s="11" t="str">
        <x:v>Windows 完整语义目标；失败不自动排除</x:v>
      </x:c>
      <x:c r="O219" s="11" t="str">
        <x:v>本轮未复测</x:v>
      </x:c>
      <x:c r="P219" s="11" t="str">
        <x:v>原版外部套件</x:v>
      </x:c>
    </x:row>
    <x:row r="220" ht="316" customHeight="1">
      <x:c r="A220" s="10" t="str">
        <x:v>NATIVE-106</x:v>
      </x:c>
      <x:c r="B220" s="10" t="str">
        <x:v>L2</x:v>
      </x:c>
      <x:c r="C220" s="10" t="str">
        <x:v>平台与扩展边界</x:v>
      </x:c>
      <x:c r="D220" s="10" t="str">
        <x:v>重解析点原版脚本 00（原版）</x:v>
      </x:c>
      <x:c r="E220" s="10" t="str">
        <x:v>B Windows / WinFsp</x:v>
      </x:c>
      <x:c r="F220" s="10" t="str">
        <x:v>已失败</x:v>
      </x:c>
      <x:c r="G220" s="10" t="str">
        <x:v>本地后端 JuiceFS 同步／后台；NTFS 与直连结果在历史执行明细</x:v>
      </x:c>
      <x:c r="H220" s="10" t="str">
        <x:v>保留原版脚本断言，不以 JuiceFS fork 的裁剪或调整预期替代</x:v>
      </x:c>
      <x:c r="I220" s="10" t="str">
        <x:v>winfstest-reparse/00.t</x:v>
      </x:c>
      <x:c r="J220" s="10" t="str">
        <x:v>E09；S06；S07</x:v>
      </x:c>
      <x:c r="K220" s="10" t="str">
        <x:v>脚本组</x:v>
      </x:c>
      <x:c r="L220" s="10" t="str">
        <x:v>2026-10-10 历史结果；当前构建及三网盘尚未按严格配置复测。 not ok 3 - expect "SetReparsePoint 06c60a5c 42 {92A23BD8-99F5-4FD6-807C-C56F3A063C52} 1A 2B 3C 4D 5F" 0 - got ERROR(4394) not ok 4 - expect "GetFileInformation 06c60a5c" &lt;lambda&gt; - result [{'VolumeSerialNumber': 375523455, 'FileIndex': 2065, 'NumberOfLinks': 1, 'CreationTime': '2026-10-10T11:28:43Z', 'LastAccessTime': '2026-10-10T11:28:43Z', 'FileSize': 0, 'LastWriteTime': '2026-10-10T11:28:43Z', 'FileAttributes': 32}] not ok 5 - expect "GetReparsePoint 06c60a5c" 0 - got ERROR(4390) not ok 6 - expect "SetReparsePoint 06c60a5c 42 {92A23BD8-99F5-4FD6-807C-C56F3A063C52} A1 B2 C3 D4 F5 1A 2B 3C 4D 5F" 0 - got ERROR(4394) not ok 7 - expect "GetReparsePoint 06c60a5c" 0 - got ERROR(4390) ok 8 - expect "SetReparsePoint 06c60a5c 43 {92A23BD8-99F5-4FD6-807C-C56F3A063C52} A1 B2 C3 D4 F5 1A 2B 3C 4D 5F" ERROR(4394) not ok 9 - expect "SetReparsePoint 06c60a5c 42 {02A23BD8-99F5-4FD6-807C-C56F3A063C52} A1 B2 C3 D4 F5 1A 2B 3C 4D 5F" ERROR(4391) - got ERROR(4394) not ok 13 - expect "SetReparsePoint 06c60a5c 42 {92A23BD8-99F5-4FD6-807C-C56F3A063C52} 1A 2B 3C 4D 5F" 0 - got ERROR(4394)</x:v>
      </x:c>
      <x:c r="M220" s="10" t="str">
        <x:v>secfs.test 6ac65cda46abc2be39c7b137debf9521052edbaf</x:v>
      </x:c>
      <x:c r="N220" s="10" t="str">
        <x:v>Windows 完整语义目标；失败不自动排除</x:v>
      </x:c>
      <x:c r="O220" s="10" t="str">
        <x:v>本轮未复测</x:v>
      </x:c>
      <x:c r="P220" s="10" t="str">
        <x:v>原版外部套件</x:v>
      </x:c>
    </x:row>
    <x:row r="221" ht="316" customHeight="1">
      <x:c r="A221" s="11" t="str">
        <x:v>NATIVE-107</x:v>
      </x:c>
      <x:c r="B221" s="11" t="str">
        <x:v>L2</x:v>
      </x:c>
      <x:c r="C221" s="11" t="str">
        <x:v>平台与扩展边界</x:v>
      </x:c>
      <x:c r="D221" s="11" t="str">
        <x:v>重解析点原版脚本 01（原版）</x:v>
      </x:c>
      <x:c r="E221" s="11" t="str">
        <x:v>B Windows / WinFsp</x:v>
      </x:c>
      <x:c r="F221" s="11" t="str">
        <x:v>已失败</x:v>
      </x:c>
      <x:c r="G221" s="11" t="str">
        <x:v>本地后端 JuiceFS 同步／后台；NTFS 与直连结果在历史执行明细</x:v>
      </x:c>
      <x:c r="H221" s="11" t="str">
        <x:v>保留原版脚本断言，不以 JuiceFS fork 的裁剪或调整预期替代</x:v>
      </x:c>
      <x:c r="I221" s="11" t="str">
        <x:v>winfstest-reparse/01.t</x:v>
      </x:c>
      <x:c r="J221" s="11" t="str">
        <x:v>E09；S06；S07</x:v>
      </x:c>
      <x:c r="K221" s="11" t="str">
        <x:v>脚本组</x:v>
      </x:c>
      <x:c r="L221" s="11" t="str">
        <x:v>2026-10-10 历史结果；当前构建及三网盘尚未按严格配置复测。 not ok 3 - expect "SetReparsePoint 76edf151 42 {92A23BD8-99F5-4FD6-807C-C56F3A063C52} 1A 2B 3C 4D 5F" 0 - got ERROR(4394) not ok 4 - expect "GetFileInformation 76edf151" &lt;lambda&gt; - result [{'VolumeSerialNumber': 375523455, 'FileIndex': 2072, 'NumberOfLinks': 1, 'CreationTime': '2026-10-10T11:28:44Z', 'LastAccessTime': '2026-10-10T11:28:44Z', 'FileSize': 4096, 'LastWriteTime': '2026-10-10T11:28:44Z', 'FileAttributes': 16}] not ok 5 - expect "GetReparsePoint 76edf151" 0 - got ERROR(4390) not ok 6 - expect "SetReparsePoint 76edf151 42 {92A23BD8-99F5-4FD6-807C-C56F3A063C52} A1 B2 C3 D4 F5 1A 2B 3C 4D 5F" 0 - got ERROR(4394) not ok 7 - expect "GetReparsePoint 76edf151" 0 - got ERROR(4390) ok 8 - expect "SetReparsePoint 76edf151 43 {92A23BD8-99F5-4FD6-807C-C56F3A063C52} A1 B2 C3 D4 F5 1A 2B 3C 4D 5F" ERROR(4394) not ok 9 - expect "SetReparsePoint 76edf151 42 {02A23BD8-99F5-4FD6-807C-C56F3A063C52} A1 B2 C3 D4 F5 1A 2B 3C 4D 5F" ERROR(4391) - got ERROR(4394) not ok 13 - expect "SetReparsePoint 76edf151 42 {92A23BD8-99F5-4FD6-807C-C56F3A063C52} 1A 2B 3C 4D 5F" 0 - got ERROR(4394)</x:v>
      </x:c>
      <x:c r="M221" s="11" t="str">
        <x:v>secfs.test 6ac65cda46abc2be39c7b137debf9521052edbaf</x:v>
      </x:c>
      <x:c r="N221" s="11" t="str">
        <x:v>Windows 完整语义目标；失败不自动排除</x:v>
      </x:c>
      <x:c r="O221" s="11" t="str">
        <x:v>本轮未复测</x:v>
      </x:c>
      <x:c r="P221" s="11" t="str">
        <x:v>原版外部套件</x:v>
      </x:c>
    </x:row>
    <x:row r="222" ht="60" customHeight="1">
      <x:c r="A222" s="10" t="str">
        <x:v>NATIVE-108</x:v>
      </x:c>
      <x:c r="B222" s="10" t="str">
        <x:v>L2</x:v>
      </x:c>
      <x:c r="C222" s="10" t="str">
        <x:v>平台与扩展边界</x:v>
      </x:c>
      <x:c r="D222" s="10" t="str">
        <x:v>重解析点原版脚本 02（原版）</x:v>
      </x:c>
      <x:c r="E222" s="10" t="str">
        <x:v>B Windows / WinFsp</x:v>
      </x:c>
      <x:c r="F222" s="10" t="str">
        <x:v>已失败</x:v>
      </x:c>
      <x:c r="G222" s="10" t="str">
        <x:v>本地后端 JuiceFS 同步／后台；NTFS 与直连结果在历史执行明细</x:v>
      </x:c>
      <x:c r="H222" s="10" t="str">
        <x:v>保留原版脚本断言，不以 JuiceFS fork 的裁剪或调整预期替代</x:v>
      </x:c>
      <x:c r="I222" s="10" t="str">
        <x:v>winfstest-reparse/02.t</x:v>
      </x:c>
      <x:c r="J222" s="10" t="str">
        <x:v>E09；S06；S07</x:v>
      </x:c>
      <x:c r="K222" s="10" t="str">
        <x:v>脚本组</x:v>
      </x:c>
      <x:c r="L222" s="10" t="str">
        <x:v>2026-10-10 历史结果；当前构建及三网盘尚未按严格配置复测。 not ok 1 - expect "CreateSymbolicLink ce9ca264 c675fd9b 0" 0 - got ERROR_INVALID_FUNCTION</x:v>
      </x:c>
      <x:c r="M222" s="10" t="str">
        <x:v>secfs.test 6ac65cda46abc2be39c7b137debf9521052edbaf</x:v>
      </x:c>
      <x:c r="N222" s="10" t="str">
        <x:v>Windows 完整语义目标；失败不自动排除</x:v>
      </x:c>
      <x:c r="O222" s="10" t="str">
        <x:v>本轮未复测</x:v>
      </x:c>
      <x:c r="P222" s="10" t="str">
        <x:v>原版外部套件</x:v>
      </x:c>
    </x:row>
    <x:row r="223" ht="60" customHeight="1">
      <x:c r="A223" s="11" t="str">
        <x:v>NATIVE-109</x:v>
      </x:c>
      <x:c r="B223" s="11" t="str">
        <x:v>L2</x:v>
      </x:c>
      <x:c r="C223" s="11" t="str">
        <x:v>平台与扩展边界</x:v>
      </x:c>
      <x:c r="D223" s="11" t="str">
        <x:v>重解析点原版脚本 03（原版）</x:v>
      </x:c>
      <x:c r="E223" s="11" t="str">
        <x:v>B Windows / WinFsp</x:v>
      </x:c>
      <x:c r="F223" s="11" t="str">
        <x:v>已失败</x:v>
      </x:c>
      <x:c r="G223" s="11" t="str">
        <x:v>本地后端 JuiceFS 同步／后台；NTFS 与直连结果在历史执行明细</x:v>
      </x:c>
      <x:c r="H223" s="11" t="str">
        <x:v>保留原版脚本断言，不以 JuiceFS fork 的裁剪或调整预期替代</x:v>
      </x:c>
      <x:c r="I223" s="11" t="str">
        <x:v>winfstest-reparse/03.t</x:v>
      </x:c>
      <x:c r="J223" s="11" t="str">
        <x:v>E09；S06；S07</x:v>
      </x:c>
      <x:c r="K223" s="11" t="str">
        <x:v>脚本组</x:v>
      </x:c>
      <x:c r="L223" s="11" t="str">
        <x:v>2026-10-10 历史结果；当前构建及三网盘尚未按严格配置复测。 not ok 1 - expect "CreateSymbolicLink 1d08d15a 63ae76b2 SYMBOLIC_LINK_FLAG_DIRECTORY" 0 - got ERROR_INVALID_FUNCTION</x:v>
      </x:c>
      <x:c r="M223" s="11" t="str">
        <x:v>secfs.test 6ac65cda46abc2be39c7b137debf9521052edbaf</x:v>
      </x:c>
      <x:c r="N223" s="11" t="str">
        <x:v>Windows 完整语义目标；失败不自动排除</x:v>
      </x:c>
      <x:c r="O223" s="11" t="str">
        <x:v>本轮未复测</x:v>
      </x:c>
      <x:c r="P223" s="11" t="str">
        <x:v>原版外部套件</x:v>
      </x:c>
    </x:row>
    <x:row r="224" ht="156" customHeight="1">
      <x:c r="A224" s="10" t="str">
        <x:v>NATIVE-110</x:v>
      </x:c>
      <x:c r="B224" s="10" t="str">
        <x:v>L2</x:v>
      </x:c>
      <x:c r="C224" s="10" t="str">
        <x:v>平台与扩展边界</x:v>
      </x:c>
      <x:c r="D224" s="10" t="str">
        <x:v>命名流原版脚本 00（原版）</x:v>
      </x:c>
      <x:c r="E224" s="10" t="str">
        <x:v>B Windows / WinFsp</x:v>
      </x:c>
      <x:c r="F224" s="10" t="str">
        <x:v>已失败</x:v>
      </x:c>
      <x:c r="G224" s="10" t="str">
        <x:v>本地后端 JuiceFS 同步／后台；NTFS 与直连结果在历史执行明细</x:v>
      </x:c>
      <x:c r="H224" s="10" t="str">
        <x:v>保留原版脚本断言，不以 JuiceFS fork 的裁剪或调整预期替代</x:v>
      </x:c>
      <x:c r="I224" s="10" t="str">
        <x:v>winfstest-streams/00.t</x:v>
      </x:c>
      <x:c r="J224" s="10" t="str">
        <x:v>E09；S06；S07</x:v>
      </x:c>
      <x:c r="K224" s="10" t="str">
        <x:v>脚本组</x:v>
      </x:c>
      <x:c r="L224" s="10" t="str">
        <x:v>2026-10-10 历史结果；当前构建及三网盘尚未按严格配置复测。 not ok 1 - expect "CreateFile 64ffe36d:foo GENERIC_WRITE 0 0 CREATE_NEW FILE_ATTRIBUTE_NORMAL 0" 0 - got ERROR_INVALID_NAME not ok 2 - expect "CreateFile 64ffe36d GENERIC_WRITE 0 0 CREATE_NEW FILE_ATTRIBUTE_NORMAL 0" ERROR_FILE_EXISTS - got 0 not ok 3 - expect "CreateFile 64ffe36d:foo GENERIC_WRITE 0 0 CREATE_NEW FILE_ATTRIBUTE_NORMAL 0" ERROR_FILE_EXISTS - got ERROR_INVALID_NAME not ok 5 - expect "GetFileInformation 64ffe36d:foo" 0 - got ERROR_INVALID_NAME IndexError: list index out of range</x:v>
      </x:c>
      <x:c r="M224" s="10" t="str">
        <x:v>secfs.test 6ac65cda46abc2be39c7b137debf9521052edbaf</x:v>
      </x:c>
      <x:c r="N224" s="10" t="str">
        <x:v>Windows 完整语义目标；失败不自动排除</x:v>
      </x:c>
      <x:c r="O224" s="10" t="str">
        <x:v>本轮未复测</x:v>
      </x:c>
      <x:c r="P224" s="10" t="str">
        <x:v>原版外部套件</x:v>
      </x:c>
    </x:row>
    <x:row r="225" ht="172" customHeight="1">
      <x:c r="A225" s="11" t="str">
        <x:v>NATIVE-111</x:v>
      </x:c>
      <x:c r="B225" s="11" t="str">
        <x:v>L2</x:v>
      </x:c>
      <x:c r="C225" s="11" t="str">
        <x:v>平台与扩展边界</x:v>
      </x:c>
      <x:c r="D225" s="11" t="str">
        <x:v>命名流原版脚本 01（原版）</x:v>
      </x:c>
      <x:c r="E225" s="11" t="str">
        <x:v>B Windows / WinFsp</x:v>
      </x:c>
      <x:c r="F225" s="11" t="str">
        <x:v>已失败</x:v>
      </x:c>
      <x:c r="G225" s="11" t="str">
        <x:v>本地后端 JuiceFS 同步／后台；NTFS 与直连结果在历史执行明细</x:v>
      </x:c>
      <x:c r="H225" s="11" t="str">
        <x:v>保留原版脚本断言，不以 JuiceFS fork 的裁剪或调整预期替代</x:v>
      </x:c>
      <x:c r="I225" s="11" t="str">
        <x:v>winfstest-streams/01.t</x:v>
      </x:c>
      <x:c r="J225" s="11" t="str">
        <x:v>E09；S06；S07</x:v>
      </x:c>
      <x:c r="K225" s="11" t="str">
        <x:v>脚本组</x:v>
      </x:c>
      <x:c r="L225" s="11" t="str">
        <x:v>2026-10-10 历史结果；当前构建及三网盘尚未按严格配置复测。 not ok 1 - expect "CreateDirectory 5db7e22d:foo 0" ERROR_DIRECTORY - got ERROR_INVALID_NAME ok 3 - expect "CreateDirectory 5db7e22d 0" ERROR_ALREADY_EXISTS not ok 4 - expect "CreateFile 5db7e22d:foo GENERIC_WRITE 0 0 CREATE_NEW FILE_ATTRIBUTE_NORMAL 0" 0 - got ERROR_INVALID_NAME not ok 5 - expect "CreateFile 5db7e22d:foo GENERIC_WRITE 0 0 CREATE_NEW FILE_ATTRIBUTE_NORMAL 0" ERROR_FILE_EXISTS - got ERROR_INVALID_NAME not ok 7 - expect "GetFileInformation 5db7e22d:foo" 0 - got ERROR_INVALID_NAME IndexError: list index out of range</x:v>
      </x:c>
      <x:c r="M225" s="11" t="str">
        <x:v>secfs.test 6ac65cda46abc2be39c7b137debf9521052edbaf</x:v>
      </x:c>
      <x:c r="N225" s="11" t="str">
        <x:v>Windows 完整语义目标；失败不自动排除</x:v>
      </x:c>
      <x:c r="O225" s="11" t="str">
        <x:v>本轮未复测</x:v>
      </x:c>
      <x:c r="P225" s="11" t="str">
        <x:v>原版外部套件</x:v>
      </x:c>
    </x:row>
    <x:row r="226" ht="172" customHeight="1">
      <x:c r="A226" s="10" t="str">
        <x:v>NATIVE-112</x:v>
      </x:c>
      <x:c r="B226" s="10" t="str">
        <x:v>L2</x:v>
      </x:c>
      <x:c r="C226" s="10" t="str">
        <x:v>平台与扩展边界</x:v>
      </x:c>
      <x:c r="D226" s="10" t="str">
        <x:v>命名流原版脚本 02（原版）</x:v>
      </x:c>
      <x:c r="E226" s="10" t="str">
        <x:v>B Windows / WinFsp</x:v>
      </x:c>
      <x:c r="F226" s="10" t="str">
        <x:v>已失败</x:v>
      </x:c>
      <x:c r="G226" s="10" t="str">
        <x:v>本地后端 JuiceFS 同步／后台；NTFS 与直连结果在历史执行明细</x:v>
      </x:c>
      <x:c r="H226" s="10" t="str">
        <x:v>保留原版脚本断言，不以 JuiceFS fork 的裁剪或调整预期替代</x:v>
      </x:c>
      <x:c r="I226" s="10" t="str">
        <x:v>winfstest-streams/02.t</x:v>
      </x:c>
      <x:c r="J226" s="10" t="str">
        <x:v>E09；S06；S07</x:v>
      </x:c>
      <x:c r="K226" s="10" t="str">
        <x:v>脚本组</x:v>
      </x:c>
      <x:c r="L226" s="10" t="str">
        <x:v>2026-10-10 历史结果；当前构建及三网盘尚未按严格配置复测。 not ok 2 - expect "FindStreams aa9e5069" 0 - got ERROR_INVALID_PARAMETER not ok 3 - testeval(len(s) == 1) not ok 4 - testeval("::$DATA" in s) ok 6 - expect "FindStreams aa9e5069" ERROR_FILE_NOT_FOUND not ok 7 - expect "CreateFile aa9e5069:foo GENERIC_WRITE 0 0 CREATE_NEW FILE_ATTRIBUTE_NORMAL 0" 0 - got ERROR_INVALID_NAME not ok 8 - expect "CreateFile aa9e5069:bar GENERIC_WRITE 0 0 CREATE_NEW FILE_ATTRIBUTE_NORMAL 0" 0 - got ERROR_INVALID_NAME not ok 9 - expect "FindStreams aa9e5069" 0 - got ERROR_FILE_NOT_FOUND not ok 10 - testeval(len(s) == 3)</x:v>
      </x:c>
      <x:c r="M226" s="10" t="str">
        <x:v>secfs.test 6ac65cda46abc2be39c7b137debf9521052edbaf</x:v>
      </x:c>
      <x:c r="N226" s="10" t="str">
        <x:v>Windows 完整语义目标；失败不自动排除</x:v>
      </x:c>
      <x:c r="O226" s="10" t="str">
        <x:v>本轮未复测</x:v>
      </x:c>
      <x:c r="P226" s="10" t="str">
        <x:v>原版外部套件</x:v>
      </x:c>
    </x:row>
    <x:row r="227" ht="268" customHeight="1">
      <x:c r="A227" s="11" t="str">
        <x:v>NATIVE-113</x:v>
      </x:c>
      <x:c r="B227" s="11" t="str">
        <x:v>L2</x:v>
      </x:c>
      <x:c r="C227" s="11" t="str">
        <x:v>平台与扩展边界</x:v>
      </x:c>
      <x:c r="D227" s="11" t="str">
        <x:v>命名流原版脚本 03（原版）</x:v>
      </x:c>
      <x:c r="E227" s="11" t="str">
        <x:v>B Windows / WinFsp</x:v>
      </x:c>
      <x:c r="F227" s="11" t="str">
        <x:v>已失败</x:v>
      </x:c>
      <x:c r="G227" s="11" t="str">
        <x:v>本地后端 JuiceFS 同步／后台；NTFS 与直连结果在历史执行明细</x:v>
      </x:c>
      <x:c r="H227" s="11" t="str">
        <x:v>保留原版脚本断言，不以 JuiceFS fork 的裁剪或调整预期替代</x:v>
      </x:c>
      <x:c r="I227" s="11" t="str">
        <x:v>winfstest-streams/03.t</x:v>
      </x:c>
      <x:c r="J227" s="11" t="str">
        <x:v>E09；S06；S07</x:v>
      </x:c>
      <x:c r="K227" s="11" t="str">
        <x:v>脚本组</x:v>
      </x:c>
      <x:c r="L227" s="11" t="str">
        <x:v>2026-10-10 历史结果；当前构建及三网盘尚未按严格配置复测。 not ok 1 - expect "CreateFile b77bb41e:strm GENERIC_WRITE 0 D:P(A;;GA;;;WD) CREATE_NEW FILE_ATTRIBUTE_NORMAL 0" 0 - got ERROR_INVALID_NAME not ok 2 - expect "GetFileSecurity b77bb41e DACL_SECURITY_INFORMATION" 0 - got ERROR_FILE_NOT_FOUND not ok 3 - expect "GetFileSecurity b77bb41e:strm DACL_SECURITY_INFORMATION" 0 - got ERROR_INVALID_NAME not ok 4 - expect "SetFileSecurity b77bb41e:strm DACL_SECURITY_INFORMATION D:P(A;;GA;;;WD)(A;;GR;;;SY)" 0 - got ERROR_INVALID_NAME not ok 5 - expect "GetFileSecurity b77bb41e DACL_SECURITY_INFORMATION" 0 - got ERROR_FILE_NOT_FOUND not ok 6 - expect "GetFileSecurity b77bb41e:strm DACL_SECURITY_INFORMATION" 0 - got ERROR_INVALID_NAME not ok 7 - expect "DeleteFile b77bb41e" 0 - got ERROR_FILE_NOT_FOUND not ok 8 - expect "CreateFile b77bb41e:strm GENERIC_WRITE 0 D:P(A;;GA;;;WD) CREATE_NEW FILE_ATTRIBUTE_NORMAL 0" 0 - got ERROR_INVALID_NAME</x:v>
      </x:c>
      <x:c r="M227" s="11" t="str">
        <x:v>secfs.test 6ac65cda46abc2be39c7b137debf9521052edbaf</x:v>
      </x:c>
      <x:c r="N227" s="11" t="str">
        <x:v>Windows 完整语义目标；失败不自动排除</x:v>
      </x:c>
      <x:c r="O227" s="11" t="str">
        <x:v>本轮未复测</x:v>
      </x:c>
      <x:c r="P227" s="11" t="str">
        <x:v>原版外部套件</x:v>
      </x:c>
    </x:row>
    <x:row r="228" ht="236" customHeight="1">
      <x:c r="A228" s="10" t="str">
        <x:v>NATIVE-114</x:v>
      </x:c>
      <x:c r="B228" s="10" t="str">
        <x:v>L2</x:v>
      </x:c>
      <x:c r="C228" s="10" t="str">
        <x:v>平台与扩展边界</x:v>
      </x:c>
      <x:c r="D228" s="10" t="str">
        <x:v>命名流原版脚本 04（原版）</x:v>
      </x:c>
      <x:c r="E228" s="10" t="str">
        <x:v>B Windows / WinFsp</x:v>
      </x:c>
      <x:c r="F228" s="10" t="str">
        <x:v>已失败</x:v>
      </x:c>
      <x:c r="G228" s="10" t="str">
        <x:v>本地后端 JuiceFS 同步／后台；NTFS 与直连结果在历史执行明细</x:v>
      </x:c>
      <x:c r="H228" s="10" t="str">
        <x:v>保留原版脚本断言，不以 JuiceFS fork 的裁剪或调整预期替代</x:v>
      </x:c>
      <x:c r="I228" s="10" t="str">
        <x:v>winfstest-streams/04.t</x:v>
      </x:c>
      <x:c r="J228" s="10" t="str">
        <x:v>E09；S06；S07</x:v>
      </x:c>
      <x:c r="K228" s="10" t="str">
        <x:v>脚本组</x:v>
      </x:c>
      <x:c r="L228" s="10" t="str">
        <x:v>2026-10-10 历史结果；当前构建及三网盘尚未按严格配置复测。 not ok 1 - expect "CreateFile 78f3ea5c:strm GENERIC_WRITE 0 0 CREATE_NEW FILE_ATTRIBUTE_NORMAL 0" 0 - got ERROR_INVALID_NAME not ok 2 - expect "GetFileInformation 78f3ea5c" 0 - got ERROR_FILE_NOT_FOUND not ok 3 - expect "SetReparsePoint 78f3ea5c:strm 42 {92A23BD8-99F5-4FD6-807C-C56F3A063C52} 1A 2B 3C 4D 5F" 0 - got ERROR_INVALID_NAME not ok 4 - expect "GetFileInformation 78f3ea5c" 0 - got ERROR_FILE_NOT_FOUND not ok 5 - expect "GetReparsePoint 78f3ea5c" 0 - got ERROR_FILE_NOT_FOUND not ok 6 - expect "SetReparsePoint 78f3ea5c 42 {92A23BD8-99F5-4FD6-807C-C56F3A063C52} A1 B2 C3 D4 F5 1A 2B 3C 4D 5F" 0 - got ERROR_FILE_NOT_FOUND not ok 7 - expect "GetReparsePoint 78f3ea5c:strm" 0 - got ERROR_INVALID_NAME not ok 8 - expect "DeleteFile 78f3ea5c" 0 - got ERROR_FILE_NOT_FOUND</x:v>
      </x:c>
      <x:c r="M228" s="10" t="str">
        <x:v>secfs.test 6ac65cda46abc2be39c7b137debf9521052edbaf</x:v>
      </x:c>
      <x:c r="N228" s="10" t="str">
        <x:v>Windows 完整语义目标；失败不自动排除</x:v>
      </x:c>
      <x:c r="O228" s="10" t="str">
        <x:v>本轮未复测</x:v>
      </x:c>
      <x:c r="P228" s="10" t="str">
        <x:v>原版外部套件</x:v>
      </x:c>
    </x:row>
    <x:row r="229" ht="44" customHeight="1">
      <x:c r="A229" s="11" t="str">
        <x:v>WFP-OPT-13</x:v>
      </x:c>
      <x:c r="B229" s="11" t="str">
        <x:v>L2</x:v>
      </x:c>
      <x:c r="C229" s="11" t="str">
        <x:v>平台与扩展边界</x:v>
      </x:c>
      <x:c r="D229" s="11" t="str">
        <x:v>命名流：创建（JuiceFS fork）</x:v>
      </x:c>
      <x:c r="E229" s="11" t="str">
        <x:v>B Windows / WinFsp</x:v>
      </x:c>
      <x:c r="F229" s="11" t="str">
        <x:v>待执行</x:v>
      </x:c>
      <x:c r="G229" s="11" t="str">
        <x:v>JuiceFS 测试包全部外部模式；此版本无逐项执行证据</x:v>
      </x:c>
      <x:c r="H229" s="11" t="str">
        <x:v>保留该测试包断言；原版同名结果不能转记为此包通过</x:v>
      </x:c>
      <x:c r="I229" s="11" t="str">
        <x:v>stream_create_test</x:v>
      </x:c>
      <x:c r="J229" s="11" t="str">
        <x:v>S04；E10</x:v>
      </x:c>
      <x:c r="K229" s="11" t="str">
        <x:v>用例</x:v>
      </x:c>
      <x:c r="L229" s="11" t="str">
        <x:v>已完整登记；原版同名入口见 NATIVE-070，执行版本和参数不同</x:v>
      </x:c>
      <x:c r="M229" s="11" t="str">
        <x:v>juicedata/winfsp testing_suit_20250324；--external --resilient +*</x:v>
      </x:c>
      <x:c r="N229" s="11" t="str">
        <x:v>Windows 语义补测</x:v>
      </x:c>
      <x:c r="O229" s="11" t="str">
        <x:v>未执行该版本入口</x:v>
      </x:c>
      <x:c r="P229" s="11" t="str">
        <x:v>JuiceFS fork 外部</x:v>
      </x:c>
    </x:row>
    <x:row r="230" ht="44" customHeight="1">
      <x:c r="A230" s="10" t="str">
        <x:v>WFP-OPT-14</x:v>
      </x:c>
      <x:c r="B230" s="10" t="str">
        <x:v>L2</x:v>
      </x:c>
      <x:c r="C230" s="10" t="str">
        <x:v>平台与扩展边界</x:v>
      </x:c>
      <x:c r="D230" s="10" t="str">
        <x:v>命名流：创建与覆盖（JuiceFS fork）</x:v>
      </x:c>
      <x:c r="E230" s="10" t="str">
        <x:v>B Windows / WinFsp</x:v>
      </x:c>
      <x:c r="F230" s="10" t="str">
        <x:v>待执行</x:v>
      </x:c>
      <x:c r="G230" s="10" t="str">
        <x:v>JuiceFS 测试包全部外部模式；此版本无逐项执行证据</x:v>
      </x:c>
      <x:c r="H230" s="10" t="str">
        <x:v>保留该测试包断言；原版同名结果不能转记为此包通过</x:v>
      </x:c>
      <x:c r="I230" s="10" t="str">
        <x:v>stream_create_overwrite_test</x:v>
      </x:c>
      <x:c r="J230" s="10" t="str">
        <x:v>S04；E10</x:v>
      </x:c>
      <x:c r="K230" s="10" t="str">
        <x:v>用例</x:v>
      </x:c>
      <x:c r="L230" s="10" t="str">
        <x:v>已完整登记；原版同名入口见 NATIVE-071，执行版本和参数不同</x:v>
      </x:c>
      <x:c r="M230" s="10" t="str">
        <x:v>juicedata/winfsp testing_suit_20250324；--external --resilient +*</x:v>
      </x:c>
      <x:c r="N230" s="10" t="str">
        <x:v>Windows 语义补测</x:v>
      </x:c>
      <x:c r="O230" s="10" t="str">
        <x:v>未执行该版本入口</x:v>
      </x:c>
      <x:c r="P230" s="10" t="str">
        <x:v>JuiceFS fork 外部</x:v>
      </x:c>
    </x:row>
    <x:row r="231" ht="44" customHeight="1">
      <x:c r="A231" s="11" t="str">
        <x:v>WFP-OPT-15</x:v>
      </x:c>
      <x:c r="B231" s="11" t="str">
        <x:v>L2</x:v>
      </x:c>
      <x:c r="C231" s="11" t="str">
        <x:v>平台与扩展边界</x:v>
      </x:c>
      <x:c r="D231" s="11" t="str">
        <x:v>命名流：关联句柄创建（JuiceFS fork）</x:v>
      </x:c>
      <x:c r="E231" s="11" t="str">
        <x:v>B Windows / WinFsp</x:v>
      </x:c>
      <x:c r="F231" s="11" t="str">
        <x:v>待执行</x:v>
      </x:c>
      <x:c r="G231" s="11" t="str">
        <x:v>JuiceFS 测试包全部外部模式；此版本无逐项执行证据</x:v>
      </x:c>
      <x:c r="H231" s="11" t="str">
        <x:v>保留该测试包断言；原版同名结果不能转记为此包通过</x:v>
      </x:c>
      <x:c r="I231" s="11" t="str">
        <x:v>stream_create_related_test</x:v>
      </x:c>
      <x:c r="J231" s="11" t="str">
        <x:v>S04；E10</x:v>
      </x:c>
      <x:c r="K231" s="11" t="str">
        <x:v>用例</x:v>
      </x:c>
      <x:c r="L231" s="11" t="str">
        <x:v>已完整登记；原版同名入口见 NATIVE-072，执行版本和参数不同</x:v>
      </x:c>
      <x:c r="M231" s="11" t="str">
        <x:v>juicedata/winfsp testing_suit_20250324；--external --resilient +*</x:v>
      </x:c>
      <x:c r="N231" s="11" t="str">
        <x:v>Windows 语义补测</x:v>
      </x:c>
      <x:c r="O231" s="11" t="str">
        <x:v>未执行该版本入口</x:v>
      </x:c>
      <x:c r="P231" s="11" t="str">
        <x:v>JuiceFS fork 外部</x:v>
      </x:c>
    </x:row>
    <x:row r="232" ht="44" customHeight="1">
      <x:c r="A232" s="10" t="str">
        <x:v>WFP-OPT-18</x:v>
      </x:c>
      <x:c r="B232" s="10" t="str">
        <x:v>L2</x:v>
      </x:c>
      <x:c r="C232" s="10" t="str">
        <x:v>平台与扩展边界</x:v>
      </x:c>
      <x:c r="D232" s="10" t="str">
        <x:v>命名流：查询信息（JuiceFS fork）</x:v>
      </x:c>
      <x:c r="E232" s="10" t="str">
        <x:v>B Windows / WinFsp</x:v>
      </x:c>
      <x:c r="F232" s="10" t="str">
        <x:v>待执行</x:v>
      </x:c>
      <x:c r="G232" s="10" t="str">
        <x:v>JuiceFS 测试包全部外部模式；此版本无逐项执行证据</x:v>
      </x:c>
      <x:c r="H232" s="10" t="str">
        <x:v>保留该测试包断言；原版同名结果不能转记为此包通过</x:v>
      </x:c>
      <x:c r="I232" s="10" t="str">
        <x:v>stream_getfileinfo_test</x:v>
      </x:c>
      <x:c r="J232" s="10" t="str">
        <x:v>S04；E10</x:v>
      </x:c>
      <x:c r="K232" s="10" t="str">
        <x:v>用例</x:v>
      </x:c>
      <x:c r="L232" s="10" t="str">
        <x:v>已完整登记；原版同名入口见 NATIVE-075，执行版本和参数不同</x:v>
      </x:c>
      <x:c r="M232" s="10" t="str">
        <x:v>juicedata/winfsp testing_suit_20250324；--external --resilient +*</x:v>
      </x:c>
      <x:c r="N232" s="10" t="str">
        <x:v>Windows 语义补测</x:v>
      </x:c>
      <x:c r="O232" s="10" t="str">
        <x:v>未执行该版本入口</x:v>
      </x:c>
      <x:c r="P232" s="10" t="str">
        <x:v>JuiceFS fork 外部</x:v>
      </x:c>
    </x:row>
    <x:row r="233" ht="44" customHeight="1">
      <x:c r="A233" s="11" t="str">
        <x:v>WFP-OPT-19</x:v>
      </x:c>
      <x:c r="B233" s="11" t="str">
        <x:v>L2</x:v>
      </x:c>
      <x:c r="C233" s="11" t="str">
        <x:v>平台与扩展边界</x:v>
      </x:c>
      <x:c r="D233" s="11" t="str">
        <x:v>命名流：设置信息（JuiceFS fork）</x:v>
      </x:c>
      <x:c r="E233" s="11" t="str">
        <x:v>B Windows / WinFsp</x:v>
      </x:c>
      <x:c r="F233" s="11" t="str">
        <x:v>待执行</x:v>
      </x:c>
      <x:c r="G233" s="11" t="str">
        <x:v>JuiceFS 测试包全部外部模式；此版本无逐项执行证据</x:v>
      </x:c>
      <x:c r="H233" s="11" t="str">
        <x:v>保留该测试包断言；原版同名结果不能转记为此包通过</x:v>
      </x:c>
      <x:c r="I233" s="11" t="str">
        <x:v>stream_setfileinfo_test</x:v>
      </x:c>
      <x:c r="J233" s="11" t="str">
        <x:v>S04；E10</x:v>
      </x:c>
      <x:c r="K233" s="11" t="str">
        <x:v>用例</x:v>
      </x:c>
      <x:c r="L233" s="11" t="str">
        <x:v>已完整登记；原版同名入口见 NATIVE-076，执行版本和参数不同</x:v>
      </x:c>
      <x:c r="M233" s="11" t="str">
        <x:v>juicedata/winfsp testing_suit_20250324；--external --resilient +*</x:v>
      </x:c>
      <x:c r="N233" s="11" t="str">
        <x:v>Windows 语义补测</x:v>
      </x:c>
      <x:c r="O233" s="11" t="str">
        <x:v>未执行该版本入口</x:v>
      </x:c>
      <x:c r="P233" s="11" t="str">
        <x:v>JuiceFS fork 外部</x:v>
      </x:c>
    </x:row>
    <x:row r="234" ht="44" customHeight="1">
      <x:c r="A234" s="10" t="str">
        <x:v>WFP-OPT-20</x:v>
      </x:c>
      <x:c r="B234" s="10" t="str">
        <x:v>L2</x:v>
      </x:c>
      <x:c r="C234" s="10" t="str">
        <x:v>平台与扩展边界</x:v>
      </x:c>
      <x:c r="D234" s="10" t="str">
        <x:v>命名流：删除（JuiceFS fork）</x:v>
      </x:c>
      <x:c r="E234" s="10" t="str">
        <x:v>B Windows / WinFsp</x:v>
      </x:c>
      <x:c r="F234" s="10" t="str">
        <x:v>待执行</x:v>
      </x:c>
      <x:c r="G234" s="10" t="str">
        <x:v>JuiceFS 测试包全部外部模式；此版本无逐项执行证据</x:v>
      </x:c>
      <x:c r="H234" s="10" t="str">
        <x:v>保留该测试包断言；原版同名结果不能转记为此包通过</x:v>
      </x:c>
      <x:c r="I234" s="10" t="str">
        <x:v>stream_delete_test</x:v>
      </x:c>
      <x:c r="J234" s="10" t="str">
        <x:v>S04；E10</x:v>
      </x:c>
      <x:c r="K234" s="10" t="str">
        <x:v>用例</x:v>
      </x:c>
      <x:c r="L234" s="10" t="str">
        <x:v>已完整登记；原版同名入口见 NATIVE-077，执行版本和参数不同</x:v>
      </x:c>
      <x:c r="M234" s="10" t="str">
        <x:v>juicedata/winfsp testing_suit_20250324；--external --resilient +*</x:v>
      </x:c>
      <x:c r="N234" s="10" t="str">
        <x:v>Windows 语义补测</x:v>
      </x:c>
      <x:c r="O234" s="10" t="str">
        <x:v>未执行该版本入口</x:v>
      </x:c>
      <x:c r="P234" s="10" t="str">
        <x:v>JuiceFS fork 外部</x:v>
      </x:c>
    </x:row>
    <x:row r="235" ht="44" customHeight="1">
      <x:c r="A235" s="11" t="str">
        <x:v>WFP-OPT-21</x:v>
      </x:c>
      <x:c r="B235" s="11" t="str">
        <x:v>L2</x:v>
      </x:c>
      <x:c r="C235" s="11" t="str">
        <x:v>平台与扩展边界</x:v>
      </x:c>
      <x:c r="D235" s="11" t="str">
        <x:v>命名流：待删除状态（JuiceFS fork）</x:v>
      </x:c>
      <x:c r="E235" s="11" t="str">
        <x:v>B Windows / WinFsp</x:v>
      </x:c>
      <x:c r="F235" s="11" t="str">
        <x:v>待执行</x:v>
      </x:c>
      <x:c r="G235" s="11" t="str">
        <x:v>JuiceFS 测试包全部外部模式；此版本无逐项执行证据</x:v>
      </x:c>
      <x:c r="H235" s="11" t="str">
        <x:v>保留该测试包断言；原版同名结果不能转记为此包通过</x:v>
      </x:c>
      <x:c r="I235" s="11" t="str">
        <x:v>stream_delete_pending_test</x:v>
      </x:c>
      <x:c r="J235" s="11" t="str">
        <x:v>S04；E10</x:v>
      </x:c>
      <x:c r="K235" s="11" t="str">
        <x:v>用例</x:v>
      </x:c>
      <x:c r="L235" s="11" t="str">
        <x:v>已完整登记；原版同名入口见 NATIVE-078，执行版本和参数不同</x:v>
      </x:c>
      <x:c r="M235" s="11" t="str">
        <x:v>juicedata/winfsp testing_suit_20250324；--external --resilient +*</x:v>
      </x:c>
      <x:c r="N235" s="11" t="str">
        <x:v>Windows 语义补测</x:v>
      </x:c>
      <x:c r="O235" s="11" t="str">
        <x:v>未执行该版本入口</x:v>
      </x:c>
      <x:c r="P235" s="11" t="str">
        <x:v>JuiceFS fork 外部</x:v>
      </x:c>
    </x:row>
    <x:row r="236" ht="44" customHeight="1">
      <x:c r="A236" s="10" t="str">
        <x:v>WFP-OPT-22</x:v>
      </x:c>
      <x:c r="B236" s="10" t="str">
        <x:v>L2</x:v>
      </x:c>
      <x:c r="C236" s="10" t="str">
        <x:v>平台与扩展边界</x:v>
      </x:c>
      <x:c r="D236" s="10" t="str">
        <x:v>命名流：反复重命名（JuiceFS fork）</x:v>
      </x:c>
      <x:c r="E236" s="10" t="str">
        <x:v>B Windows / WinFsp</x:v>
      </x:c>
      <x:c r="F236" s="10" t="str">
        <x:v>待执行</x:v>
      </x:c>
      <x:c r="G236" s="10" t="str">
        <x:v>JuiceFS 测试包全部外部模式；此版本无逐项执行证据</x:v>
      </x:c>
      <x:c r="H236" s="10" t="str">
        <x:v>保留该测试包断言；原版同名结果不能转记为此包通过</x:v>
      </x:c>
      <x:c r="I236" s="10" t="str">
        <x:v>stream_rename_flipflop_test</x:v>
      </x:c>
      <x:c r="J236" s="10" t="str">
        <x:v>S04；E10</x:v>
      </x:c>
      <x:c r="K236" s="10" t="str">
        <x:v>用例</x:v>
      </x:c>
      <x:c r="L236" s="10" t="str">
        <x:v>已完整登记；原版同名入口见 NATIVE-079，执行版本和参数不同</x:v>
      </x:c>
      <x:c r="M236" s="10" t="str">
        <x:v>juicedata/winfsp testing_suit_20250324；--external --resilient +*</x:v>
      </x:c>
      <x:c r="N236" s="10" t="str">
        <x:v>Windows 语义补测</x:v>
      </x:c>
      <x:c r="O236" s="10" t="str">
        <x:v>未执行该版本入口</x:v>
      </x:c>
      <x:c r="P236" s="10" t="str">
        <x:v>JuiceFS fork 外部</x:v>
      </x:c>
    </x:row>
    <x:row r="237" ht="44" customHeight="1">
      <x:c r="A237" s="11" t="str">
        <x:v>WFP-OPT-25</x:v>
      </x:c>
      <x:c r="B237" s="11" t="str">
        <x:v>L2</x:v>
      </x:c>
      <x:c r="C237" s="11" t="str">
        <x:v>平台与扩展边界</x:v>
      </x:c>
      <x:c r="D237" s="11" t="str">
        <x:v>命名流：枚举命名流（JuiceFS fork）</x:v>
      </x:c>
      <x:c r="E237" s="11" t="str">
        <x:v>B Windows / WinFsp</x:v>
      </x:c>
      <x:c r="F237" s="11" t="str">
        <x:v>待执行</x:v>
      </x:c>
      <x:c r="G237" s="11" t="str">
        <x:v>JuiceFS 测试包全部外部模式；此版本无逐项执行证据</x:v>
      </x:c>
      <x:c r="H237" s="11" t="str">
        <x:v>保留该测试包断言；原版同名结果不能转记为此包通过</x:v>
      </x:c>
      <x:c r="I237" s="11" t="str">
        <x:v>stream_getstreaminfo_test</x:v>
      </x:c>
      <x:c r="J237" s="11" t="str">
        <x:v>S04；E10</x:v>
      </x:c>
      <x:c r="K237" s="11" t="str">
        <x:v>用例</x:v>
      </x:c>
      <x:c r="L237" s="11" t="str">
        <x:v>已完整登记；原版同名入口见 NATIVE-082，执行版本和参数不同</x:v>
      </x:c>
      <x:c r="M237" s="11" t="str">
        <x:v>juicedata/winfsp testing_suit_20250324；--external --resilient +*</x:v>
      </x:c>
      <x:c r="N237" s="11" t="str">
        <x:v>Windows 语义补测</x:v>
      </x:c>
      <x:c r="O237" s="11" t="str">
        <x:v>未执行该版本入口</x:v>
      </x:c>
      <x:c r="P237" s="11" t="str">
        <x:v>JuiceFS fork 外部</x:v>
      </x:c>
    </x:row>
    <x:row r="238" ht="44" customHeight="1">
      <x:c r="A238" s="10" t="str">
        <x:v>WFP-OPT-26</x:v>
      </x:c>
      <x:c r="B238" s="10" t="str">
        <x:v>L2</x:v>
      </x:c>
      <x:c r="C238" s="10" t="str">
        <x:v>平台与扩展边界</x:v>
      </x:c>
      <x:c r="D238" s="10" t="str">
        <x:v>命名流：枚举缓存失效（JuiceFS fork）</x:v>
      </x:c>
      <x:c r="E238" s="10" t="str">
        <x:v>B Windows / WinFsp</x:v>
      </x:c>
      <x:c r="F238" s="10" t="str">
        <x:v>待执行</x:v>
      </x:c>
      <x:c r="G238" s="10" t="str">
        <x:v>JuiceFS 测试包全部外部模式；此版本无逐项执行证据</x:v>
      </x:c>
      <x:c r="H238" s="10" t="str">
        <x:v>保留该测试包断言；原版同名结果不能转记为此包通过</x:v>
      </x:c>
      <x:c r="I238" s="10" t="str">
        <x:v>stream_getstreaminfo_expire_cache_test</x:v>
      </x:c>
      <x:c r="J238" s="10" t="str">
        <x:v>S04；E10</x:v>
      </x:c>
      <x:c r="K238" s="10" t="str">
        <x:v>用例</x:v>
      </x:c>
      <x:c r="L238" s="10" t="str">
        <x:v>已完整登记；原版同名入口见 NATIVE-083，执行版本和参数不同</x:v>
      </x:c>
      <x:c r="M238" s="10" t="str">
        <x:v>juicedata/winfsp testing_suit_20250324；--external --resilient +*</x:v>
      </x:c>
      <x:c r="N238" s="10" t="str">
        <x:v>Windows 语义补测</x:v>
      </x:c>
      <x:c r="O238" s="10" t="str">
        <x:v>未执行该版本入口</x:v>
      </x:c>
      <x:c r="P238" s="10" t="str">
        <x:v>JuiceFS fork 外部</x:v>
      </x:c>
    </x:row>
    <x:row r="239" ht="44" customHeight="1">
      <x:c r="A239" s="11" t="str">
        <x:v>WFP-OPT-27</x:v>
      </x:c>
      <x:c r="B239" s="11" t="str">
        <x:v>L2</x:v>
      </x:c>
      <x:c r="C239" s="11" t="str">
        <x:v>平台与扩展边界</x:v>
      </x:c>
      <x:c r="D239" s="11" t="str">
        <x:v>命名流：变化通知（JuiceFS fork）</x:v>
      </x:c>
      <x:c r="E239" s="11" t="str">
        <x:v>B Windows / WinFsp</x:v>
      </x:c>
      <x:c r="F239" s="11" t="str">
        <x:v>待执行</x:v>
      </x:c>
      <x:c r="G239" s="11" t="str">
        <x:v>JuiceFS 测试包全部外部模式；此版本无逐项执行证据</x:v>
      </x:c>
      <x:c r="H239" s="11" t="str">
        <x:v>保留该测试包断言；原版同名结果不能转记为此包通过</x:v>
      </x:c>
      <x:c r="I239" s="11" t="str">
        <x:v>stream_dirnotify_test</x:v>
      </x:c>
      <x:c r="J239" s="11" t="str">
        <x:v>S04；E10</x:v>
      </x:c>
      <x:c r="K239" s="11" t="str">
        <x:v>用例</x:v>
      </x:c>
      <x:c r="L239" s="11" t="str">
        <x:v>已完整登记；原版同名入口见 NATIVE-084，执行版本和参数不同</x:v>
      </x:c>
      <x:c r="M239" s="11" t="str">
        <x:v>juicedata/winfsp testing_suit_20250324；--external --resilient +*</x:v>
      </x:c>
      <x:c r="N239" s="11" t="str">
        <x:v>Windows 语义补测</x:v>
      </x:c>
      <x:c r="O239" s="11" t="str">
        <x:v>未执行该版本入口</x:v>
      </x:c>
      <x:c r="P239" s="11" t="str">
        <x:v>JuiceFS fork 外部</x:v>
      </x:c>
    </x:row>
    <x:row r="240" ht="44" customHeight="1">
      <x:c r="A240" s="10" t="str">
        <x:v>JFS-PY-06</x:v>
      </x:c>
      <x:c r="B240" s="10" t="str">
        <x:v>L3</x:v>
      </x:c>
      <x:c r="C240" s="10" t="str">
        <x:v>命名与目录</x:v>
      </x:c>
      <x:c r="D240" s="10" t="str">
        <x:v>十层目录路径</x:v>
      </x:c>
      <x:c r="E240" s="10" t="str">
        <x:v>A JuiceFS 官方 Windows</x:v>
      </x:c>
      <x:c r="F240" s="10" t="str">
        <x:v>已通过</x:v>
      </x:c>
      <x:c r="G240" s="10" t="str">
        <x:v>本地、百度、Google、OneDrive；同步/后台，共 8 组</x:v>
      </x:c>
      <x:c r="H240" s="10" t="str">
        <x:v>十层目录内可创建文件；不能替代 Windows 长路径极限测试</x:v>
      </x:c>
      <x:c r="I240" s="10" t="str">
        <x:v>test_long_paths</x:v>
      </x:c>
      <x:c r="J240" s="10" t="str">
        <x:v>E01；S01</x:v>
      </x:c>
      <x:c r="K240" s="10" t="str">
        <x:v>用例</x:v>
      </x:c>
      <x:c r="L240" s="10" t="str">
        <x:v>发布版本需复测；保留上游断言</x:v>
      </x:c>
      <x:c r="M240" s="10" t="str">
        <x:v>JuiceFS 30190ca；FSX 工具版本见 S02</x:v>
      </x:c>
      <x:c r="N240" s="10" t="str">
        <x:v>Windows 单机产品；按已测范围解释</x:v>
      </x:c>
      <x:c r="O240" s="10" t="str">
        <x:v>本轮仅补充矩阵，未复测</x:v>
      </x:c>
      <x:c r="P240" s="10" t="str">
        <x:v>Windows Python</x:v>
      </x:c>
    </x:row>
    <x:row r="241" ht="44" customHeight="1">
      <x:c r="A241" s="11" t="str">
        <x:v>JFS-PY-07</x:v>
      </x:c>
      <x:c r="B241" s="11" t="str">
        <x:v>L3</x:v>
      </x:c>
      <x:c r="C241" s="11" t="str">
        <x:v>命名与目录</x:v>
      </x:c>
      <x:c r="D241" s="11" t="str">
        <x:v>仅大小写变化的重命名</x:v>
      </x:c>
      <x:c r="E241" s="11" t="str">
        <x:v>A JuiceFS 官方 Windows</x:v>
      </x:c>
      <x:c r="F241" s="11" t="str">
        <x:v>已通过</x:v>
      </x:c>
      <x:c r="G241" s="11" t="str">
        <x:v>本地、百度、Google、OneDrive；同步/后台，共 8 组</x:v>
      </x:c>
      <x:c r="H241" s="11" t="str">
        <x:v>a → A → a 后路径存在</x:v>
      </x:c>
      <x:c r="I241" s="11" t="str">
        <x:v>test_rename_case_change</x:v>
      </x:c>
      <x:c r="J241" s="11" t="str">
        <x:v>E01；S01</x:v>
      </x:c>
      <x:c r="K241" s="11" t="str">
        <x:v>用例</x:v>
      </x:c>
      <x:c r="L241" s="11" t="str">
        <x:v>发布版本需复测；保留上游断言</x:v>
      </x:c>
      <x:c r="M241" s="11" t="str">
        <x:v>JuiceFS 30190ca；FSX 工具版本见 S02</x:v>
      </x:c>
      <x:c r="N241" s="11" t="str">
        <x:v>Windows 单机产品；按已测范围解释</x:v>
      </x:c>
      <x:c r="O241" s="11" t="str">
        <x:v>本轮仅补充矩阵，未复测</x:v>
      </x:c>
      <x:c r="P241" s="11" t="str">
        <x:v>Windows Python</x:v>
      </x:c>
    </x:row>
    <x:row r="242" ht="44" customHeight="1">
      <x:c r="A242" s="10" t="str">
        <x:v>NATIVE-004</x:v>
      </x:c>
      <x:c r="B242" s="10" t="str">
        <x:v>L3</x:v>
      </x:c>
      <x:c r="C242" s="10" t="str">
        <x:v>命名与目录</x:v>
      </x:c>
      <x:c r="D242" s="10" t="str">
        <x:v>相对关联句柄创建（原版）</x:v>
      </x:c>
      <x:c r="E242" s="10" t="str">
        <x:v>B Windows / WinFsp</x:v>
      </x:c>
      <x:c r="F242" s="10" t="str">
        <x:v>已通过</x:v>
      </x:c>
      <x:c r="G242" s="10" t="str">
        <x:v>本地后端 JuiceFS 同步／后台；NTFS 与直连结果在历史执行明细</x:v>
      </x:c>
      <x:c r="H242" s="10" t="str">
        <x:v>原版 WinFsp 2.1 外部模式的全部启用断言；与 NTFS 对照核对差异</x:v>
      </x:c>
      <x:c r="I242" s="10" t="str">
        <x:v>create_related_test</x:v>
      </x:c>
      <x:c r="J242" s="10" t="str">
        <x:v>E09；S06；S07</x:v>
      </x:c>
      <x:c r="K242" s="10" t="str">
        <x:v>参数化用例</x:v>
      </x:c>
      <x:c r="L242" s="10" t="str">
        <x:v>2026-10-10 历史结果；当前构建及三网盘尚未按严格配置复测。</x:v>
      </x:c>
      <x:c r="M242" s="10" t="str">
        <x:v>WinFsp tests 2.1.25156；--external --resilient +*</x:v>
      </x:c>
      <x:c r="N242" s="10" t="str">
        <x:v>Windows 完整语义目标；失败不自动排除</x:v>
      </x:c>
      <x:c r="O242" s="10" t="str">
        <x:v>本轮未复测</x:v>
      </x:c>
      <x:c r="P242" s="10" t="str">
        <x:v>原版外部套件</x:v>
      </x:c>
    </x:row>
    <x:row r="243" ht="44" customHeight="1">
      <x:c r="A243" s="11" t="str">
        <x:v>NATIVE-011</x:v>
      </x:c>
      <x:c r="B243" s="11" t="str">
        <x:v>L3</x:v>
      </x:c>
      <x:c r="C243" s="11" t="str">
        <x:v>命名与目录</x:v>
      </x:c>
      <x:c r="D243" s="11" t="str">
        <x:v>当前目录相关操作（原版）</x:v>
      </x:c>
      <x:c r="E243" s="11" t="str">
        <x:v>B Windows / WinFsp</x:v>
      </x:c>
      <x:c r="F243" s="11" t="str">
        <x:v>已通过</x:v>
      </x:c>
      <x:c r="G243" s="11" t="str">
        <x:v>本地后端 JuiceFS 同步／后台；NTFS 与直连结果在历史执行明细</x:v>
      </x:c>
      <x:c r="H243" s="11" t="str">
        <x:v>原版 WinFsp 2.1 外部模式的全部启用断言；与 NTFS 对照核对差异</x:v>
      </x:c>
      <x:c r="I243" s="11" t="str">
        <x:v>create_curdir_test</x:v>
      </x:c>
      <x:c r="J243" s="11" t="str">
        <x:v>E09；S06；S07</x:v>
      </x:c>
      <x:c r="K243" s="11" t="str">
        <x:v>参数化用例</x:v>
      </x:c>
      <x:c r="L243" s="11" t="str">
        <x:v>2026-10-10 历史结果；当前构建及三网盘尚未按严格配置复测。</x:v>
      </x:c>
      <x:c r="M243" s="11" t="str">
        <x:v>WinFsp tests 2.1.25156；--external --resilient +*</x:v>
      </x:c>
      <x:c r="N243" s="11" t="str">
        <x:v>Windows 完整语义目标；失败不自动排除</x:v>
      </x:c>
      <x:c r="O243" s="11" t="str">
        <x:v>本轮未复测</x:v>
      </x:c>
      <x:c r="P243" s="11" t="str">
        <x:v>原版外部套件</x:v>
      </x:c>
    </x:row>
    <x:row r="244" ht="60" customHeight="1">
      <x:c r="A244" s="10" t="str">
        <x:v>NATIVE-022</x:v>
      </x:c>
      <x:c r="B244" s="10" t="str">
        <x:v>L3</x:v>
      </x:c>
      <x:c r="C244" s="10" t="str">
        <x:v>命名与目录</x:v>
      </x:c>
      <x:c r="D244" s="10" t="str">
        <x:v>扩展删除语义（原版）</x:v>
      </x:c>
      <x:c r="E244" s="10" t="str">
        <x:v>B Windows / WinFsp</x:v>
      </x:c>
      <x:c r="F244" s="10" t="str">
        <x:v>已失败</x:v>
      </x:c>
      <x:c r="G244" s="10" t="str">
        <x:v>本地后端 JuiceFS 同步／后台；NTFS 与直连结果在历史执行明细</x:v>
      </x:c>
      <x:c r="H244" s="10" t="str">
        <x:v>原版 WinFsp 2.1 外部模式的全部启用断言；与 NTFS 对照核对差异</x:v>
      </x:c>
      <x:c r="I244" s="10" t="str">
        <x:v>delete_ex_test</x:v>
      </x:c>
      <x:c r="J244" s="10" t="str">
        <x:v>E09；S06；S07</x:v>
      </x:c>
      <x:c r="K244" s="10" t="str">
        <x:v>参数化用例</x:v>
      </x:c>
      <x:c r="L244" s="10" t="str">
        <x:v>2026-10-10 历史结果；当前构建及三网盘尚未按严格配置复测。 ASSERT(0 == mywcscmp(FindData.cFileName, 4, L"file", 4)) failed at info-test.c:973:delete_ex_dotest (err=0:0)</x:v>
      </x:c>
      <x:c r="M244" s="10" t="str">
        <x:v>WinFsp tests 2.1.25156；--external --resilient +*</x:v>
      </x:c>
      <x:c r="N244" s="10" t="str">
        <x:v>Windows 完整语义目标；失败不自动排除</x:v>
      </x:c>
      <x:c r="O244" s="10" t="str">
        <x:v>本轮未复测</x:v>
      </x:c>
      <x:c r="P244" s="10" t="str">
        <x:v>原版外部套件</x:v>
      </x:c>
    </x:row>
    <x:row r="245" ht="44" customHeight="1">
      <x:c r="A245" s="11" t="str">
        <x:v>NATIVE-024</x:v>
      </x:c>
      <x:c r="B245" s="11" t="str">
        <x:v>L3</x:v>
      </x:c>
      <x:c r="C245" s="11" t="str">
        <x:v>命名与目录</x:v>
      </x:c>
      <x:c r="D245" s="11" t="str">
        <x:v>反斜杠路径重命名（原版）</x:v>
      </x:c>
      <x:c r="E245" s="11" t="str">
        <x:v>B Windows / WinFsp</x:v>
      </x:c>
      <x:c r="F245" s="11" t="str">
        <x:v>已通过</x:v>
      </x:c>
      <x:c r="G245" s="11" t="str">
        <x:v>本地后端 JuiceFS 同步／后台；NTFS 与直连结果在历史执行明细</x:v>
      </x:c>
      <x:c r="H245" s="11" t="str">
        <x:v>原版 WinFsp 2.1 外部模式的全部启用断言；与 NTFS 对照核对差异</x:v>
      </x:c>
      <x:c r="I245" s="11" t="str">
        <x:v>rename_backslash_test</x:v>
      </x:c>
      <x:c r="J245" s="11" t="str">
        <x:v>E09；S06；S07</x:v>
      </x:c>
      <x:c r="K245" s="11" t="str">
        <x:v>参数化用例</x:v>
      </x:c>
      <x:c r="L245" s="11" t="str">
        <x:v>2026-10-10 历史结果；当前构建及三网盘尚未按严格配置复测。</x:v>
      </x:c>
      <x:c r="M245" s="11" t="str">
        <x:v>WinFsp tests 2.1.25156；--external --resilient +*</x:v>
      </x:c>
      <x:c r="N245" s="11" t="str">
        <x:v>Windows 完整语义目标；失败不自动排除</x:v>
      </x:c>
      <x:c r="O245" s="11" t="str">
        <x:v>本轮未复测</x:v>
      </x:c>
      <x:c r="P245" s="11" t="str">
        <x:v>原版外部套件</x:v>
      </x:c>
    </x:row>
    <x:row r="246" ht="44" customHeight="1">
      <x:c r="A246" s="10" t="str">
        <x:v>NATIVE-026</x:v>
      </x:c>
      <x:c r="B246" s="10" t="str">
        <x:v>L3</x:v>
      </x:c>
      <x:c r="C246" s="10" t="str">
        <x:v>命名与目录</x:v>
      </x:c>
      <x:c r="D246" s="10" t="str">
        <x:v>大小写比较与重命名（原版）</x:v>
      </x:c>
      <x:c r="E246" s="10" t="str">
        <x:v>B Windows / WinFsp</x:v>
      </x:c>
      <x:c r="F246" s="10" t="str">
        <x:v>已通过</x:v>
      </x:c>
      <x:c r="G246" s="10" t="str">
        <x:v>本地后端 JuiceFS 同步／后台；NTFS 与直连结果在历史执行明细</x:v>
      </x:c>
      <x:c r="H246" s="10" t="str">
        <x:v>原版 WinFsp 2.1 外部模式的全部启用断言；与 NTFS 对照核对差异</x:v>
      </x:c>
      <x:c r="I246" s="10" t="str">
        <x:v>rename_caseins_test</x:v>
      </x:c>
      <x:c r="J246" s="10" t="str">
        <x:v>E09；S06；S07</x:v>
      </x:c>
      <x:c r="K246" s="10" t="str">
        <x:v>参数化用例</x:v>
      </x:c>
      <x:c r="L246" s="10" t="str">
        <x:v>2026-10-10 历史结果；当前构建及三网盘尚未按严格配置复测。</x:v>
      </x:c>
      <x:c r="M246" s="10" t="str">
        <x:v>WinFsp tests 2.1.25156；--external --resilient +*</x:v>
      </x:c>
      <x:c r="N246" s="10" t="str">
        <x:v>Windows 完整语义目标；失败不自动排除</x:v>
      </x:c>
      <x:c r="O246" s="10" t="str">
        <x:v>本轮未复测</x:v>
      </x:c>
      <x:c r="P246" s="10" t="str">
        <x:v>原版外部套件</x:v>
      </x:c>
    </x:row>
    <x:row r="247" ht="44" customHeight="1">
      <x:c r="A247" s="11" t="str">
        <x:v>NATIVE-030</x:v>
      </x:c>
      <x:c r="B247" s="11" t="str">
        <x:v>L3</x:v>
      </x:c>
      <x:c r="C247" s="11" t="str">
        <x:v>命名与目录</x:v>
      </x:c>
      <x:c r="D247" s="11" t="str">
        <x:v>扩展重命名语义（原版）</x:v>
      </x:c>
      <x:c r="E247" s="11" t="str">
        <x:v>B Windows / WinFsp</x:v>
      </x:c>
      <x:c r="F247" s="11" t="str">
        <x:v>已通过</x:v>
      </x:c>
      <x:c r="G247" s="11" t="str">
        <x:v>本地后端 JuiceFS 同步／后台；NTFS 与直连结果在历史执行明细</x:v>
      </x:c>
      <x:c r="H247" s="11" t="str">
        <x:v>原版 WinFsp 2.1 外部模式的全部启用断言；与 NTFS 对照核对差异</x:v>
      </x:c>
      <x:c r="I247" s="11" t="str">
        <x:v>rename_ex_test</x:v>
      </x:c>
      <x:c r="J247" s="11" t="str">
        <x:v>E09；S06；S07</x:v>
      </x:c>
      <x:c r="K247" s="11" t="str">
        <x:v>参数化用例</x:v>
      </x:c>
      <x:c r="L247" s="11" t="str">
        <x:v>2026-10-10 历史结果；当前构建及三网盘尚未按严格配置复测。</x:v>
      </x:c>
      <x:c r="M247" s="11" t="str">
        <x:v>WinFsp tests 2.1.25156；--external --resilient +*</x:v>
      </x:c>
      <x:c r="N247" s="11" t="str">
        <x:v>Windows 完整语义目标；失败不自动排除</x:v>
      </x:c>
      <x:c r="O247" s="11" t="str">
        <x:v>本轮未复测</x:v>
      </x:c>
      <x:c r="P247" s="11" t="str">
        <x:v>原版外部套件</x:v>
      </x:c>
    </x:row>
    <x:row r="248" ht="44" customHeight="1">
      <x:c r="A248" s="10" t="str">
        <x:v>NATIVE-055</x:v>
      </x:c>
      <x:c r="B248" s="10" t="str">
        <x:v>L3</x:v>
      </x:c>
      <x:c r="C248" s="10" t="str">
        <x:v>命名与目录</x:v>
      </x:c>
      <x:c r="D248" s="10" t="str">
        <x:v>目录查询缓存失效（原版）</x:v>
      </x:c>
      <x:c r="E248" s="10" t="str">
        <x:v>B Windows / WinFsp</x:v>
      </x:c>
      <x:c r="F248" s="10" t="str">
        <x:v>已通过</x:v>
      </x:c>
      <x:c r="G248" s="10" t="str">
        <x:v>本地后端 JuiceFS 同步／后台；NTFS 与直连结果在历史执行明细</x:v>
      </x:c>
      <x:c r="H248" s="10" t="str">
        <x:v>原版 WinFsp 2.1 外部模式的全部启用断言；与 NTFS 对照核对差异</x:v>
      </x:c>
      <x:c r="I248" s="10" t="str">
        <x:v>querydir_expire_cache_test</x:v>
      </x:c>
      <x:c r="J248" s="10" t="str">
        <x:v>E09；S06；S07</x:v>
      </x:c>
      <x:c r="K248" s="10" t="str">
        <x:v>参数化用例</x:v>
      </x:c>
      <x:c r="L248" s="10" t="str">
        <x:v>2026-10-10 历史结果；当前构建及三网盘尚未按严格配置复测。</x:v>
      </x:c>
      <x:c r="M248" s="10" t="str">
        <x:v>WinFsp tests 2.1.25156；--external --resilient +*</x:v>
      </x:c>
      <x:c r="N248" s="10" t="str">
        <x:v>Windows 完整语义目标；失败不自动排除</x:v>
      </x:c>
      <x:c r="O248" s="10" t="str">
        <x:v>本轮未复测</x:v>
      </x:c>
      <x:c r="P248" s="10" t="str">
        <x:v>原版外部套件</x:v>
      </x:c>
    </x:row>
    <x:row r="249" ht="44" customHeight="1">
      <x:c r="A249" s="11" t="str">
        <x:v>NATIVE-056</x:v>
      </x:c>
      <x:c r="B249" s="11" t="str">
        <x:v>L3</x:v>
      </x:c>
      <x:c r="C249" s="11" t="str">
        <x:v>命名与目录</x:v>
      </x:c>
      <x:c r="D249" s="11" t="str">
        <x:v>目录查询缓冲区边界（原版）</x:v>
      </x:c>
      <x:c r="E249" s="11" t="str">
        <x:v>B Windows / WinFsp</x:v>
      </x:c>
      <x:c r="F249" s="11" t="str">
        <x:v>已通过</x:v>
      </x:c>
      <x:c r="G249" s="11" t="str">
        <x:v>本地后端 JuiceFS 同步／后台；NTFS 与直连结果在历史执行明细</x:v>
      </x:c>
      <x:c r="H249" s="11" t="str">
        <x:v>原版 WinFsp 2.1 外部模式的全部启用断言；与 NTFS 对照核对差异</x:v>
      </x:c>
      <x:c r="I249" s="11" t="str">
        <x:v>querydir_buffer_overflow_test</x:v>
      </x:c>
      <x:c r="J249" s="11" t="str">
        <x:v>E09；S06；S07</x:v>
      </x:c>
      <x:c r="K249" s="11" t="str">
        <x:v>参数化用例</x:v>
      </x:c>
      <x:c r="L249" s="11" t="str">
        <x:v>2026-10-10 历史结果；当前构建及三网盘尚未按严格配置复测。</x:v>
      </x:c>
      <x:c r="M249" s="11" t="str">
        <x:v>WinFsp tests 2.1.25156；--external --resilient +*</x:v>
      </x:c>
      <x:c r="N249" s="11" t="str">
        <x:v>Windows 完整语义目标；失败不自动排除</x:v>
      </x:c>
      <x:c r="O249" s="11" t="str">
        <x:v>本轮未复测</x:v>
      </x:c>
      <x:c r="P249" s="11" t="str">
        <x:v>原版外部套件</x:v>
      </x:c>
    </x:row>
    <x:row r="250" ht="60" customHeight="1">
      <x:c r="A250" s="10" t="str">
        <x:v>NATIVE-057</x:v>
      </x:c>
      <x:c r="B250" s="10" t="str">
        <x:v>L3</x:v>
      </x:c>
      <x:c r="C250" s="10" t="str">
        <x:v>命名与目录</x:v>
      </x:c>
      <x:c r="D250" s="10" t="str">
        <x:v>目录项名称长度边界（原版）</x:v>
      </x:c>
      <x:c r="E250" s="10" t="str">
        <x:v>B Windows / WinFsp</x:v>
      </x:c>
      <x:c r="F250" s="10" t="str">
        <x:v>已失败</x:v>
      </x:c>
      <x:c r="G250" s="10" t="str">
        <x:v>本地后端 JuiceFS 同步／后台；NTFS 与直连结果在历史执行明细</x:v>
      </x:c>
      <x:c r="H250" s="10" t="str">
        <x:v>原版 WinFsp 2.1 外部模式的全部启用断言；与 NTFS 对照核对差异</x:v>
      </x:c>
      <x:c r="I250" s="10" t="str">
        <x:v>querydir_namelen_test</x:v>
      </x:c>
      <x:c r="J250" s="10" t="str">
        <x:v>E09；S06；S07</x:v>
      </x:c>
      <x:c r="K250" s="10" t="str">
        <x:v>参数化用例</x:v>
      </x:c>
      <x:c r="L250" s="10" t="str">
        <x:v>2026-10-10 历史结果；当前构建及三网盘尚未按严格配置复测。 ASSERT(INVALID_HANDLE_VALUE != Handle) failed at dirctl-test.c:808:querydir_namelen_dotest (err=c0000106:206)</x:v>
      </x:c>
      <x:c r="M250" s="10" t="str">
        <x:v>WinFsp tests 2.1.25156；--external --resilient +*</x:v>
      </x:c>
      <x:c r="N250" s="10" t="str">
        <x:v>Windows 完整语义目标；失败不自动排除</x:v>
      </x:c>
      <x:c r="O250" s="10" t="str">
        <x:v>本轮未复测</x:v>
      </x:c>
      <x:c r="P250" s="10" t="str">
        <x:v>原版外部套件</x:v>
      </x:c>
    </x:row>
    <x:row r="251" ht="44" customHeight="1">
      <x:c r="A251" s="11" t="str">
        <x:v>NATIVE-058</x:v>
      </x:c>
      <x:c r="B251" s="11" t="str">
        <x:v>L3</x:v>
      </x:c>
      <x:c r="C251" s="11" t="str">
        <x:v>命名与目录</x:v>
      </x:c>
      <x:c r="D251" s="11" t="str">
        <x:v>目录变化通知（原版）</x:v>
      </x:c>
      <x:c r="E251" s="11" t="str">
        <x:v>B Windows / WinFsp</x:v>
      </x:c>
      <x:c r="F251" s="11" t="str">
        <x:v>已通过</x:v>
      </x:c>
      <x:c r="G251" s="11" t="str">
        <x:v>本地后端 JuiceFS 同步／后台；NTFS 与直连结果在历史执行明细</x:v>
      </x:c>
      <x:c r="H251" s="11" t="str">
        <x:v>原版 WinFsp 2.1 外部模式的全部启用断言；与 NTFS 对照核对差异</x:v>
      </x:c>
      <x:c r="I251" s="11" t="str">
        <x:v>dirnotify_test</x:v>
      </x:c>
      <x:c r="J251" s="11" t="str">
        <x:v>E09；S06；S07</x:v>
      </x:c>
      <x:c r="K251" s="11" t="str">
        <x:v>参数化用例</x:v>
      </x:c>
      <x:c r="L251" s="11" t="str">
        <x:v>2026-10-10 历史结果；当前构建及三网盘尚未按严格配置复测。</x:v>
      </x:c>
      <x:c r="M251" s="11" t="str">
        <x:v>WinFsp tests 2.1.25156；--external --resilient +*</x:v>
      </x:c>
      <x:c r="N251" s="11" t="str">
        <x:v>Windows 完整语义目标；失败不自动排除</x:v>
      </x:c>
      <x:c r="O251" s="11" t="str">
        <x:v>本轮未复测</x:v>
      </x:c>
      <x:c r="P251" s="11" t="str">
        <x:v>原版外部套件</x:v>
      </x:c>
    </x:row>
    <x:row r="252" ht="44" customHeight="1">
      <x:c r="A252" s="10" t="str">
        <x:v>WFP-04</x:v>
      </x:c>
      <x:c r="B252" s="10" t="str">
        <x:v>L3</x:v>
      </x:c>
      <x:c r="C252" s="10" t="str">
        <x:v>命名与目录</x:v>
      </x:c>
      <x:c r="D252" s="10" t="str">
        <x:v>相对关联句柄创建</x:v>
      </x:c>
      <x:c r="E252" s="10" t="str">
        <x:v>B Windows / WinFsp</x:v>
      </x:c>
      <x:c r="F252" s="10" t="str">
        <x:v>已通过</x:v>
      </x:c>
      <x:c r="G252" s="10" t="str">
        <x:v>本地、百度、Google、OneDrive；同步/后台，共 8 组</x:v>
      </x:c>
      <x:c r="H252" s="10" t="str">
        <x:v>该用例在官方 FUSE 兼容参数下通过；断言范围以原用例为准</x:v>
      </x:c>
      <x:c r="I252" s="10" t="str">
        <x:v>create_related_test</x:v>
      </x:c>
      <x:c r="J252" s="10" t="str">
        <x:v>E01；S04</x:v>
      </x:c>
      <x:c r="K252" s="10" t="str">
        <x:v>用例</x:v>
      </x:c>
      <x:c r="L252" s="10" t="str">
        <x:v>--fuse-external --resilient --case-insensitive-cmp；不代表全部 NTFS 语义</x:v>
      </x:c>
      <x:c r="M252" s="10" t="str">
        <x:v>juicedata/winfsp testing_suit_20250324；默认 FUSE 参数</x:v>
      </x:c>
      <x:c r="N252" s="10" t="str">
        <x:v>Windows 单机产品；按已测范围解释</x:v>
      </x:c>
      <x:c r="O252" s="10" t="str">
        <x:v>本轮仅补充矩阵，未复测</x:v>
      </x:c>
      <x:c r="P252" s="10" t="str">
        <x:v>JuiceFS fork 外部</x:v>
      </x:c>
    </x:row>
    <x:row r="253" ht="44" customHeight="1">
      <x:c r="A253" s="11" t="str">
        <x:v>WFP-07</x:v>
      </x:c>
      <x:c r="B253" s="11" t="str">
        <x:v>L3</x:v>
      </x:c>
      <x:c r="C253" s="11" t="str">
        <x:v>命名与目录</x:v>
      </x:c>
      <x:c r="D253" s="11" t="str">
        <x:v>当前目录相关操作</x:v>
      </x:c>
      <x:c r="E253" s="11" t="str">
        <x:v>B Windows / WinFsp</x:v>
      </x:c>
      <x:c r="F253" s="11" t="str">
        <x:v>已通过</x:v>
      </x:c>
      <x:c r="G253" s="11" t="str">
        <x:v>本地、百度、Google、OneDrive；同步/后台，共 8 组</x:v>
      </x:c>
      <x:c r="H253" s="11" t="str">
        <x:v>该用例在官方 FUSE 兼容参数下通过；断言范围以原用例为准</x:v>
      </x:c>
      <x:c r="I253" s="11" t="str">
        <x:v>create_curdir_test</x:v>
      </x:c>
      <x:c r="J253" s="11" t="str">
        <x:v>E01；S04</x:v>
      </x:c>
      <x:c r="K253" s="11" t="str">
        <x:v>用例</x:v>
      </x:c>
      <x:c r="L253" s="11" t="str">
        <x:v>--fuse-external --resilient --case-insensitive-cmp；不代表全部 NTFS 语义</x:v>
      </x:c>
      <x:c r="M253" s="11" t="str">
        <x:v>juicedata/winfsp testing_suit_20250324；默认 FUSE 参数</x:v>
      </x:c>
      <x:c r="N253" s="11" t="str">
        <x:v>Windows 单机产品；按已测范围解释</x:v>
      </x:c>
      <x:c r="O253" s="11" t="str">
        <x:v>本轮仅补充矩阵，未复测</x:v>
      </x:c>
      <x:c r="P253" s="11" t="str">
        <x:v>JuiceFS fork 外部</x:v>
      </x:c>
    </x:row>
    <x:row r="254" ht="44" customHeight="1">
      <x:c r="A254" s="10" t="str">
        <x:v>WFP-15</x:v>
      </x:c>
      <x:c r="B254" s="10" t="str">
        <x:v>L3</x:v>
      </x:c>
      <x:c r="C254" s="10" t="str">
        <x:v>命名与目录</x:v>
      </x:c>
      <x:c r="D254" s="10" t="str">
        <x:v>扩展删除语义</x:v>
      </x:c>
      <x:c r="E254" s="10" t="str">
        <x:v>B Windows / WinFsp</x:v>
      </x:c>
      <x:c r="F254" s="10" t="str">
        <x:v>已通过</x:v>
      </x:c>
      <x:c r="G254" s="10" t="str">
        <x:v>本地、百度、Google、OneDrive；同步/后台，共 8 组</x:v>
      </x:c>
      <x:c r="H254" s="10" t="str">
        <x:v>该用例在官方 FUSE 兼容参数下通过；断言范围以原用例为准</x:v>
      </x:c>
      <x:c r="I254" s="10" t="str">
        <x:v>delete_ex_test</x:v>
      </x:c>
      <x:c r="J254" s="10" t="str">
        <x:v>E01；S04</x:v>
      </x:c>
      <x:c r="K254" s="10" t="str">
        <x:v>用例</x:v>
      </x:c>
      <x:c r="L254" s="10" t="str">
        <x:v>--fuse-external --resilient --case-insensitive-cmp；不代表全部 NTFS 语义</x:v>
      </x:c>
      <x:c r="M254" s="10" t="str">
        <x:v>juicedata/winfsp testing_suit_20250324；默认 FUSE 参数</x:v>
      </x:c>
      <x:c r="N254" s="10" t="str">
        <x:v>Windows 单机产品；按已测范围解释</x:v>
      </x:c>
      <x:c r="O254" s="10" t="str">
        <x:v>本轮仅补充矩阵，未复测</x:v>
      </x:c>
      <x:c r="P254" s="10" t="str">
        <x:v>JuiceFS fork 外部</x:v>
      </x:c>
    </x:row>
    <x:row r="255" ht="44" customHeight="1">
      <x:c r="A255" s="11" t="str">
        <x:v>WFP-17</x:v>
      </x:c>
      <x:c r="B255" s="11" t="str">
        <x:v>L3</x:v>
      </x:c>
      <x:c r="C255" s="11" t="str">
        <x:v>命名与目录</x:v>
      </x:c>
      <x:c r="D255" s="11" t="str">
        <x:v>反斜杠路径重命名</x:v>
      </x:c>
      <x:c r="E255" s="11" t="str">
        <x:v>B Windows / WinFsp</x:v>
      </x:c>
      <x:c r="F255" s="11" t="str">
        <x:v>已通过</x:v>
      </x:c>
      <x:c r="G255" s="11" t="str">
        <x:v>本地、百度、Google、OneDrive；同步/后台，共 8 组</x:v>
      </x:c>
      <x:c r="H255" s="11" t="str">
        <x:v>该用例在官方 FUSE 兼容参数下通过；断言范围以原用例为准</x:v>
      </x:c>
      <x:c r="I255" s="11" t="str">
        <x:v>rename_backslash_test</x:v>
      </x:c>
      <x:c r="J255" s="11" t="str">
        <x:v>E01；S04</x:v>
      </x:c>
      <x:c r="K255" s="11" t="str">
        <x:v>用例</x:v>
      </x:c>
      <x:c r="L255" s="11" t="str">
        <x:v>--fuse-external --resilient --case-insensitive-cmp；不代表全部 NTFS 语义</x:v>
      </x:c>
      <x:c r="M255" s="11" t="str">
        <x:v>juicedata/winfsp testing_suit_20250324；默认 FUSE 参数</x:v>
      </x:c>
      <x:c r="N255" s="11" t="str">
        <x:v>Windows 单机产品；按已测范围解释</x:v>
      </x:c>
      <x:c r="O255" s="11" t="str">
        <x:v>本轮仅补充矩阵，未复测</x:v>
      </x:c>
      <x:c r="P255" s="11" t="str">
        <x:v>JuiceFS fork 外部</x:v>
      </x:c>
    </x:row>
    <x:row r="256" ht="44" customHeight="1">
      <x:c r="A256" s="10" t="str">
        <x:v>WFP-19</x:v>
      </x:c>
      <x:c r="B256" s="10" t="str">
        <x:v>L3</x:v>
      </x:c>
      <x:c r="C256" s="10" t="str">
        <x:v>命名与目录</x:v>
      </x:c>
      <x:c r="D256" s="10" t="str">
        <x:v>大小写比较与重命名</x:v>
      </x:c>
      <x:c r="E256" s="10" t="str">
        <x:v>B Windows / WinFsp</x:v>
      </x:c>
      <x:c r="F256" s="10" t="str">
        <x:v>已通过</x:v>
      </x:c>
      <x:c r="G256" s="10" t="str">
        <x:v>本地、百度、Google、OneDrive；同步/后台，共 8 组</x:v>
      </x:c>
      <x:c r="H256" s="10" t="str">
        <x:v>该用例在官方 FUSE 兼容参数下通过；断言范围以原用例为准</x:v>
      </x:c>
      <x:c r="I256" s="10" t="str">
        <x:v>rename_caseins_test</x:v>
      </x:c>
      <x:c r="J256" s="10" t="str">
        <x:v>E01；S04</x:v>
      </x:c>
      <x:c r="K256" s="10" t="str">
        <x:v>用例</x:v>
      </x:c>
      <x:c r="L256" s="10" t="str">
        <x:v>--fuse-external --resilient --case-insensitive-cmp；不代表全部 NTFS 语义</x:v>
      </x:c>
      <x:c r="M256" s="10" t="str">
        <x:v>juicedata/winfsp testing_suit_20250324；默认 FUSE 参数</x:v>
      </x:c>
      <x:c r="N256" s="10" t="str">
        <x:v>Windows 单机产品；按已测范围解释</x:v>
      </x:c>
      <x:c r="O256" s="10" t="str">
        <x:v>本轮仅补充矩阵，未复测</x:v>
      </x:c>
      <x:c r="P256" s="10" t="str">
        <x:v>JuiceFS fork 外部</x:v>
      </x:c>
    </x:row>
    <x:row r="257" ht="44" customHeight="1">
      <x:c r="A257" s="11" t="str">
        <x:v>WFP-23</x:v>
      </x:c>
      <x:c r="B257" s="11" t="str">
        <x:v>L3</x:v>
      </x:c>
      <x:c r="C257" s="11" t="str">
        <x:v>命名与目录</x:v>
      </x:c>
      <x:c r="D257" s="11" t="str">
        <x:v>扩展重命名语义</x:v>
      </x:c>
      <x:c r="E257" s="11" t="str">
        <x:v>B Windows / WinFsp</x:v>
      </x:c>
      <x:c r="F257" s="11" t="str">
        <x:v>已通过</x:v>
      </x:c>
      <x:c r="G257" s="11" t="str">
        <x:v>本地、百度、Google、OneDrive；同步/后台，共 8 组</x:v>
      </x:c>
      <x:c r="H257" s="11" t="str">
        <x:v>该用例在官方 FUSE 兼容参数下通过；断言范围以原用例为准</x:v>
      </x:c>
      <x:c r="I257" s="11" t="str">
        <x:v>rename_ex_test</x:v>
      </x:c>
      <x:c r="J257" s="11" t="str">
        <x:v>E01；S04</x:v>
      </x:c>
      <x:c r="K257" s="11" t="str">
        <x:v>用例</x:v>
      </x:c>
      <x:c r="L257" s="11" t="str">
        <x:v>--fuse-external --resilient --case-insensitive-cmp；不代表全部 NTFS 语义</x:v>
      </x:c>
      <x:c r="M257" s="11" t="str">
        <x:v>juicedata/winfsp testing_suit_20250324；默认 FUSE 参数</x:v>
      </x:c>
      <x:c r="N257" s="11" t="str">
        <x:v>Windows 单机产品；按已测范围解释</x:v>
      </x:c>
      <x:c r="O257" s="11" t="str">
        <x:v>本轮仅补充矩阵，未复测</x:v>
      </x:c>
      <x:c r="P257" s="11" t="str">
        <x:v>JuiceFS fork 外部</x:v>
      </x:c>
    </x:row>
    <x:row r="258" ht="44" customHeight="1">
      <x:c r="A258" s="10" t="str">
        <x:v>WFP-44</x:v>
      </x:c>
      <x:c r="B258" s="10" t="str">
        <x:v>L3</x:v>
      </x:c>
      <x:c r="C258" s="10" t="str">
        <x:v>命名与目录</x:v>
      </x:c>
      <x:c r="D258" s="10" t="str">
        <x:v>目录查询缓存失效</x:v>
      </x:c>
      <x:c r="E258" s="10" t="str">
        <x:v>B Windows / WinFsp</x:v>
      </x:c>
      <x:c r="F258" s="10" t="str">
        <x:v>已通过</x:v>
      </x:c>
      <x:c r="G258" s="10" t="str">
        <x:v>本地、百度、Google、OneDrive；同步/后台，共 8 组</x:v>
      </x:c>
      <x:c r="H258" s="10" t="str">
        <x:v>该用例在官方 FUSE 兼容参数下通过；断言范围以原用例为准</x:v>
      </x:c>
      <x:c r="I258" s="10" t="str">
        <x:v>querydir_expire_cache_test</x:v>
      </x:c>
      <x:c r="J258" s="10" t="str">
        <x:v>E01；S04</x:v>
      </x:c>
      <x:c r="K258" s="10" t="str">
        <x:v>用例</x:v>
      </x:c>
      <x:c r="L258" s="10" t="str">
        <x:v>--fuse-external --resilient --case-insensitive-cmp；不代表全部 NTFS 语义</x:v>
      </x:c>
      <x:c r="M258" s="10" t="str">
        <x:v>juicedata/winfsp testing_suit_20250324；默认 FUSE 参数</x:v>
      </x:c>
      <x:c r="N258" s="10" t="str">
        <x:v>Windows 单机产品；按已测范围解释</x:v>
      </x:c>
      <x:c r="O258" s="10" t="str">
        <x:v>本轮仅补充矩阵，未复测</x:v>
      </x:c>
      <x:c r="P258" s="10" t="str">
        <x:v>JuiceFS fork 外部</x:v>
      </x:c>
    </x:row>
    <x:row r="259" ht="44" customHeight="1">
      <x:c r="A259" s="11" t="str">
        <x:v>WFP-45</x:v>
      </x:c>
      <x:c r="B259" s="11" t="str">
        <x:v>L3</x:v>
      </x:c>
      <x:c r="C259" s="11" t="str">
        <x:v>命名与目录</x:v>
      </x:c>
      <x:c r="D259" s="11" t="str">
        <x:v>目录查询缓冲区边界</x:v>
      </x:c>
      <x:c r="E259" s="11" t="str">
        <x:v>B Windows / WinFsp</x:v>
      </x:c>
      <x:c r="F259" s="11" t="str">
        <x:v>已通过</x:v>
      </x:c>
      <x:c r="G259" s="11" t="str">
        <x:v>本地、百度、Google、OneDrive；同步/后台，共 8 组</x:v>
      </x:c>
      <x:c r="H259" s="11" t="str">
        <x:v>该用例在官方 FUSE 兼容参数下通过；断言范围以原用例为准</x:v>
      </x:c>
      <x:c r="I259" s="11" t="str">
        <x:v>querydir_buffer_overflow_test</x:v>
      </x:c>
      <x:c r="J259" s="11" t="str">
        <x:v>E01；S04</x:v>
      </x:c>
      <x:c r="K259" s="11" t="str">
        <x:v>用例</x:v>
      </x:c>
      <x:c r="L259" s="11" t="str">
        <x:v>--fuse-external --resilient --case-insensitive-cmp；不代表全部 NTFS 语义</x:v>
      </x:c>
      <x:c r="M259" s="11" t="str">
        <x:v>juicedata/winfsp testing_suit_20250324；默认 FUSE 参数</x:v>
      </x:c>
      <x:c r="N259" s="11" t="str">
        <x:v>Windows 单机产品；按已测范围解释</x:v>
      </x:c>
      <x:c r="O259" s="11" t="str">
        <x:v>本轮仅补充矩阵，未复测</x:v>
      </x:c>
      <x:c r="P259" s="11" t="str">
        <x:v>JuiceFS fork 外部</x:v>
      </x:c>
    </x:row>
    <x:row r="260" ht="44" customHeight="1">
      <x:c r="A260" s="10" t="str">
        <x:v>WFP-46</x:v>
      </x:c>
      <x:c r="B260" s="10" t="str">
        <x:v>L3</x:v>
      </x:c>
      <x:c r="C260" s="10" t="str">
        <x:v>命名与目录</x:v>
      </x:c>
      <x:c r="D260" s="10" t="str">
        <x:v>目录项名称长度边界</x:v>
      </x:c>
      <x:c r="E260" s="10" t="str">
        <x:v>B Windows / WinFsp</x:v>
      </x:c>
      <x:c r="F260" s="10" t="str">
        <x:v>已通过</x:v>
      </x:c>
      <x:c r="G260" s="10" t="str">
        <x:v>本地、百度、Google、OneDrive；同步/后台，共 8 组</x:v>
      </x:c>
      <x:c r="H260" s="10" t="str">
        <x:v>该用例在官方 FUSE 兼容参数下通过；断言范围以原用例为准</x:v>
      </x:c>
      <x:c r="I260" s="10" t="str">
        <x:v>querydir_namelen_test</x:v>
      </x:c>
      <x:c r="J260" s="10" t="str">
        <x:v>E01；S04</x:v>
      </x:c>
      <x:c r="K260" s="10" t="str">
        <x:v>用例</x:v>
      </x:c>
      <x:c r="L260" s="10" t="str">
        <x:v>--fuse-external --resilient --case-insensitive-cmp；不代表全部 NTFS 语义</x:v>
      </x:c>
      <x:c r="M260" s="10" t="str">
        <x:v>juicedata/winfsp testing_suit_20250324；默认 FUSE 参数</x:v>
      </x:c>
      <x:c r="N260" s="10" t="str">
        <x:v>Windows 单机产品；按已测范围解释</x:v>
      </x:c>
      <x:c r="O260" s="10" t="str">
        <x:v>本轮仅补充矩阵，未复测</x:v>
      </x:c>
      <x:c r="P260" s="10" t="str">
        <x:v>JuiceFS fork 外部</x:v>
      </x:c>
    </x:row>
    <x:row r="261" ht="44" customHeight="1">
      <x:c r="A261" s="11" t="str">
        <x:v>WFP-47</x:v>
      </x:c>
      <x:c r="B261" s="11" t="str">
        <x:v>L3</x:v>
      </x:c>
      <x:c r="C261" s="11" t="str">
        <x:v>命名与目录</x:v>
      </x:c>
      <x:c r="D261" s="11" t="str">
        <x:v>目录变化通知</x:v>
      </x:c>
      <x:c r="E261" s="11" t="str">
        <x:v>B Windows / WinFsp</x:v>
      </x:c>
      <x:c r="F261" s="11" t="str">
        <x:v>已通过</x:v>
      </x:c>
      <x:c r="G261" s="11" t="str">
        <x:v>本地、百度、Google、OneDrive；同步/后台，共 8 组</x:v>
      </x:c>
      <x:c r="H261" s="11" t="str">
        <x:v>该用例在官方 FUSE 兼容参数下通过；断言范围以原用例为准</x:v>
      </x:c>
      <x:c r="I261" s="11" t="str">
        <x:v>dirnotify_test</x:v>
      </x:c>
      <x:c r="J261" s="11" t="str">
        <x:v>E01；S04</x:v>
      </x:c>
      <x:c r="K261" s="11" t="str">
        <x:v>用例</x:v>
      </x:c>
      <x:c r="L261" s="11" t="str">
        <x:v>--fuse-external --resilient --case-insensitive-cmp；不代表全部 NTFS 语义</x:v>
      </x:c>
      <x:c r="M261" s="11" t="str">
        <x:v>juicedata/winfsp testing_suit_20250324；默认 FUSE 参数</x:v>
      </x:c>
      <x:c r="N261" s="11" t="str">
        <x:v>Windows 单机产品；按已测范围解释</x:v>
      </x:c>
      <x:c r="O261" s="11" t="str">
        <x:v>本轮仅补充矩阵，未复测</x:v>
      </x:c>
      <x:c r="P261" s="11" t="str">
        <x:v>JuiceFS fork 外部</x:v>
      </x:c>
    </x:row>
    <x:row r="262" ht="44" customHeight="1">
      <x:c r="A262" s="10" t="str">
        <x:v>JFS-PY-04</x:v>
      </x:c>
      <x:c r="B262" s="10" t="str">
        <x:v>L3</x:v>
      </x:c>
      <x:c r="C262" s="10" t="str">
        <x:v>属性与权限</x:v>
      </x:c>
      <x:c r="D262" s="10" t="str">
        <x:v>只读文件属性</x:v>
      </x:c>
      <x:c r="E262" s="10" t="str">
        <x:v>A JuiceFS 官方 Windows</x:v>
      </x:c>
      <x:c r="F262" s="10" t="str">
        <x:v>已通过</x:v>
      </x:c>
      <x:c r="G262" s="10" t="str">
        <x:v>本地、百度、Google、OneDrive；同步/后台，共 8 组</x:v>
      </x:c>
      <x:c r="H262" s="10" t="str">
        <x:v>只读后写入失败，恢复属性；限官方用例断言</x:v>
      </x:c>
      <x:c r="I262" s="10" t="str">
        <x:v>test_file_attributes</x:v>
      </x:c>
      <x:c r="J262" s="10" t="str">
        <x:v>E01；S01</x:v>
      </x:c>
      <x:c r="K262" s="10" t="str">
        <x:v>用例</x:v>
      </x:c>
      <x:c r="L262" s="10" t="str">
        <x:v>发布版本需复测；保留上游断言</x:v>
      </x:c>
      <x:c r="M262" s="10" t="str">
        <x:v>JuiceFS 30190ca；FSX 工具版本见 S02</x:v>
      </x:c>
      <x:c r="N262" s="10" t="str">
        <x:v>Windows 单机产品；按已测范围解释</x:v>
      </x:c>
      <x:c r="O262" s="10" t="str">
        <x:v>本轮仅补充矩阵，未复测</x:v>
      </x:c>
      <x:c r="P262" s="10" t="str">
        <x:v>Windows Python</x:v>
      </x:c>
    </x:row>
    <x:row r="263" ht="44" customHeight="1">
      <x:c r="A263" s="11" t="str">
        <x:v>NATIVE-002</x:v>
      </x:c>
      <x:c r="B263" s="11" t="str">
        <x:v>L3</x:v>
      </x:c>
      <x:c r="C263" s="11" t="str">
        <x:v>属性与权限</x:v>
      </x:c>
      <x:c r="D263" s="11" t="str">
        <x:v>创建时文件属性（原版）</x:v>
      </x:c>
      <x:c r="E263" s="11" t="str">
        <x:v>B Windows / WinFsp</x:v>
      </x:c>
      <x:c r="F263" s="11" t="str">
        <x:v>已通过</x:v>
      </x:c>
      <x:c r="G263" s="11" t="str">
        <x:v>本地后端 JuiceFS 同步／后台；NTFS 与直连结果在历史执行明细</x:v>
      </x:c>
      <x:c r="H263" s="11" t="str">
        <x:v>原版 WinFsp 2.1 外部模式的全部启用断言；与 NTFS 对照核对差异</x:v>
      </x:c>
      <x:c r="I263" s="11" t="str">
        <x:v>create_fileattr_test</x:v>
      </x:c>
      <x:c r="J263" s="11" t="str">
        <x:v>E09；S06；S07</x:v>
      </x:c>
      <x:c r="K263" s="11" t="str">
        <x:v>参数化用例</x:v>
      </x:c>
      <x:c r="L263" s="11" t="str">
        <x:v>2026-10-10 历史结果；当前构建及三网盘尚未按严格配置复测。</x:v>
      </x:c>
      <x:c r="M263" s="11" t="str">
        <x:v>WinFsp tests 2.1.25156；--external --resilient +*</x:v>
      </x:c>
      <x:c r="N263" s="11" t="str">
        <x:v>Windows 完整语义目标；失败不自动排除</x:v>
      </x:c>
      <x:c r="O263" s="11" t="str">
        <x:v>本轮未复测</x:v>
      </x:c>
      <x:c r="P263" s="11" t="str">
        <x:v>原版外部套件</x:v>
      </x:c>
    </x:row>
    <x:row r="264" ht="60" customHeight="1">
      <x:c r="A264" s="10" t="str">
        <x:v>NATIVE-003</x:v>
      </x:c>
      <x:c r="B264" s="10" t="str">
        <x:v>L3</x:v>
      </x:c>
      <x:c r="C264" s="10" t="str">
        <x:v>属性与权限</x:v>
      </x:c>
      <x:c r="D264" s="10" t="str">
        <x:v>只读目录行为（原版）</x:v>
      </x:c>
      <x:c r="E264" s="10" t="str">
        <x:v>B Windows / WinFsp</x:v>
      </x:c>
      <x:c r="F264" s="10" t="str">
        <x:v>已失败</x:v>
      </x:c>
      <x:c r="G264" s="10" t="str">
        <x:v>本地后端 JuiceFS 同步／后台；NTFS 与直连结果在历史执行明细</x:v>
      </x:c>
      <x:c r="H264" s="10" t="str">
        <x:v>原版 WinFsp 2.1 外部模式的全部启用断言；与 NTFS 对照核对差异</x:v>
      </x:c>
      <x:c r="I264" s="10" t="str">
        <x:v>create_readonlydir_test</x:v>
      </x:c>
      <x:c r="J264" s="10" t="str">
        <x:v>E09；S06；S07</x:v>
      </x:c>
      <x:c r="K264" s="10" t="str">
        <x:v>参数化用例</x:v>
      </x:c>
      <x:c r="L264" s="10" t="str">
        <x:v>2026-10-10 历史结果；当前构建及三网盘尚未按严格配置复测。 ASSERT(INVALID_HANDLE_VALUE != Handle) failed at create-test.c:381:create_readonlydir_dotest (err=c0000022:5)</x:v>
      </x:c>
      <x:c r="M264" s="10" t="str">
        <x:v>WinFsp tests 2.1.25156；--external --resilient +*</x:v>
      </x:c>
      <x:c r="N264" s="10" t="str">
        <x:v>Windows 完整语义目标；失败不自动排除</x:v>
      </x:c>
      <x:c r="O264" s="10" t="str">
        <x:v>本轮未复测</x:v>
      </x:c>
      <x:c r="P264" s="10" t="str">
        <x:v>原版外部套件</x:v>
      </x:c>
    </x:row>
    <x:row r="265" ht="44" customHeight="1">
      <x:c r="A265" s="11" t="str">
        <x:v>NATIVE-006</x:v>
      </x:c>
      <x:c r="B265" s="11" t="str">
        <x:v>L3</x:v>
      </x:c>
      <x:c r="C265" s="11" t="str">
        <x:v>属性与权限</x:v>
      </x:c>
      <x:c r="D265" s="11" t="str">
        <x:v>创建时安全描述符（原版）</x:v>
      </x:c>
      <x:c r="E265" s="11" t="str">
        <x:v>B Windows / WinFsp</x:v>
      </x:c>
      <x:c r="F265" s="11" t="str">
        <x:v>已通过</x:v>
      </x:c>
      <x:c r="G265" s="11" t="str">
        <x:v>本地后端 JuiceFS 同步／后台；NTFS 与直连结果在历史执行明细</x:v>
      </x:c>
      <x:c r="H265" s="11" t="str">
        <x:v>原版 WinFsp 2.1 外部模式的全部启用断言；与 NTFS 对照核对差异</x:v>
      </x:c>
      <x:c r="I265" s="11" t="str">
        <x:v>create_sd_test</x:v>
      </x:c>
      <x:c r="J265" s="11" t="str">
        <x:v>E09；S06；S07</x:v>
      </x:c>
      <x:c r="K265" s="11" t="str">
        <x:v>参数化用例</x:v>
      </x:c>
      <x:c r="L265" s="11" t="str">
        <x:v>2026-10-10 历史结果；当前构建及三网盘尚未按严格配置复测。</x:v>
      </x:c>
      <x:c r="M265" s="11" t="str">
        <x:v>WinFsp tests 2.1.25156；--external --resilient +*</x:v>
      </x:c>
      <x:c r="N265" s="11" t="str">
        <x:v>Windows 完整语义目标；失败不自动排除</x:v>
      </x:c>
      <x:c r="O265" s="11" t="str">
        <x:v>本轮未复测</x:v>
      </x:c>
      <x:c r="P265" s="11" t="str">
        <x:v>原版外部套件</x:v>
      </x:c>
    </x:row>
    <x:row r="266" ht="44" customHeight="1">
      <x:c r="A266" s="10" t="str">
        <x:v>NATIVE-008</x:v>
      </x:c>
      <x:c r="B266" s="10" t="str">
        <x:v>L3</x:v>
      </x:c>
      <x:c r="C266" s="10" t="str">
        <x:v>属性与权限</x:v>
      </x:c>
      <x:c r="D266" s="10" t="str">
        <x:v>备份权限创建（原版）</x:v>
      </x:c>
      <x:c r="E266" s="10" t="str">
        <x:v>B Windows / WinFsp</x:v>
      </x:c>
      <x:c r="F266" s="10" t="str">
        <x:v>已通过</x:v>
      </x:c>
      <x:c r="G266" s="10" t="str">
        <x:v>本地后端 JuiceFS 同步／后台；NTFS 与直连结果在历史执行明细</x:v>
      </x:c>
      <x:c r="H266" s="10" t="str">
        <x:v>原版 WinFsp 2.1 外部模式的全部启用断言；与 NTFS 对照核对差异</x:v>
      </x:c>
      <x:c r="I266" s="10" t="str">
        <x:v>create_backup_test</x:v>
      </x:c>
      <x:c r="J266" s="10" t="str">
        <x:v>E09；S06；S07</x:v>
      </x:c>
      <x:c r="K266" s="10" t="str">
        <x:v>参数化用例</x:v>
      </x:c>
      <x:c r="L266" s="10" t="str">
        <x:v>2026-10-10 历史结果；当前构建及三网盘尚未按严格配置复测。</x:v>
      </x:c>
      <x:c r="M266" s="10" t="str">
        <x:v>WinFsp tests 2.1.25156；--external --resilient +*</x:v>
      </x:c>
      <x:c r="N266" s="10" t="str">
        <x:v>Windows 完整语义目标；失败不自动排除</x:v>
      </x:c>
      <x:c r="O266" s="10" t="str">
        <x:v>本轮未复测</x:v>
      </x:c>
      <x:c r="P266" s="10" t="str">
        <x:v>原版外部套件</x:v>
      </x:c>
    </x:row>
    <x:row r="267" ht="44" customHeight="1">
      <x:c r="A267" s="11" t="str">
        <x:v>NATIVE-009</x:v>
      </x:c>
      <x:c r="B267" s="11" t="str">
        <x:v>L3</x:v>
      </x:c>
      <x:c r="C267" s="11" t="str">
        <x:v>属性与权限</x:v>
      </x:c>
      <x:c r="D267" s="11" t="str">
        <x:v>恢复权限创建（原版）</x:v>
      </x:c>
      <x:c r="E267" s="11" t="str">
        <x:v>B Windows / WinFsp</x:v>
      </x:c>
      <x:c r="F267" s="11" t="str">
        <x:v>已通过</x:v>
      </x:c>
      <x:c r="G267" s="11" t="str">
        <x:v>本地后端 JuiceFS 同步／后台；NTFS 与直连结果在历史执行明细</x:v>
      </x:c>
      <x:c r="H267" s="11" t="str">
        <x:v>原版 WinFsp 2.1 外部模式的全部启用断言；与 NTFS 对照核对差异</x:v>
      </x:c>
      <x:c r="I267" s="11" t="str">
        <x:v>create_restore_test</x:v>
      </x:c>
      <x:c r="J267" s="11" t="str">
        <x:v>E09；S06；S07</x:v>
      </x:c>
      <x:c r="K267" s="11" t="str">
        <x:v>参数化用例</x:v>
      </x:c>
      <x:c r="L267" s="11" t="str">
        <x:v>2026-10-10 历史结果；当前构建及三网盘尚未按严格配置复测。</x:v>
      </x:c>
      <x:c r="M267" s="11" t="str">
        <x:v>WinFsp tests 2.1.25156；--external --resilient +*</x:v>
      </x:c>
      <x:c r="N267" s="11" t="str">
        <x:v>Windows 完整语义目标；失败不自动排除</x:v>
      </x:c>
      <x:c r="O267" s="11" t="str">
        <x:v>本轮未复测</x:v>
      </x:c>
      <x:c r="P267" s="11" t="str">
        <x:v>原版外部套件</x:v>
      </x:c>
    </x:row>
    <x:row r="268" ht="44" customHeight="1">
      <x:c r="A268" s="10" t="str">
        <x:v>NATIVE-018</x:v>
      </x:c>
      <x:c r="B268" s="10" t="str">
        <x:v>L3</x:v>
      </x:c>
      <x:c r="C268" s="10" t="str">
        <x:v>属性与权限</x:v>
      </x:c>
      <x:c r="D268" s="10" t="str">
        <x:v>删除访问权限（原版）</x:v>
      </x:c>
      <x:c r="E268" s="10" t="str">
        <x:v>B Windows / WinFsp</x:v>
      </x:c>
      <x:c r="F268" s="10" t="str">
        <x:v>已通过</x:v>
      </x:c>
      <x:c r="G268" s="10" t="str">
        <x:v>本地后端 JuiceFS 同步／后台；NTFS 与直连结果在历史执行明细</x:v>
      </x:c>
      <x:c r="H268" s="10" t="str">
        <x:v>原版 WinFsp 2.1 外部模式的全部启用断言；与 NTFS 对照核对差异</x:v>
      </x:c>
      <x:c r="I268" s="10" t="str">
        <x:v>delete_access_test</x:v>
      </x:c>
      <x:c r="J268" s="10" t="str">
        <x:v>E09；S06；S07</x:v>
      </x:c>
      <x:c r="K268" s="10" t="str">
        <x:v>参数化用例</x:v>
      </x:c>
      <x:c r="L268" s="10" t="str">
        <x:v>2026-10-10 历史结果；当前构建及三网盘尚未按严格配置复测。</x:v>
      </x:c>
      <x:c r="M268" s="10" t="str">
        <x:v>WinFsp tests 2.1.25156；--external --resilient +*</x:v>
      </x:c>
      <x:c r="N268" s="10" t="str">
        <x:v>Windows 完整语义目标；失败不自动排除</x:v>
      </x:c>
      <x:c r="O268" s="10" t="str">
        <x:v>本轮未复测</x:v>
      </x:c>
      <x:c r="P268" s="10" t="str">
        <x:v>原版外部套件</x:v>
      </x:c>
    </x:row>
    <x:row r="269" ht="44" customHeight="1">
      <x:c r="A269" s="11" t="str">
        <x:v>NATIVE-031</x:v>
      </x:c>
      <x:c r="B269" s="11" t="str">
        <x:v>L3</x:v>
      </x:c>
      <x:c r="C269" s="11" t="str">
        <x:v>属性与权限</x:v>
      </x:c>
      <x:c r="D269" s="11" t="str">
        <x:v>查询卷信息（原版）</x:v>
      </x:c>
      <x:c r="E269" s="11" t="str">
        <x:v>B Windows / WinFsp</x:v>
      </x:c>
      <x:c r="F269" s="11" t="str">
        <x:v>已通过</x:v>
      </x:c>
      <x:c r="G269" s="11" t="str">
        <x:v>本地后端 JuiceFS 同步／后台；NTFS 与直连结果在历史执行明细</x:v>
      </x:c>
      <x:c r="H269" s="11" t="str">
        <x:v>原版 WinFsp 2.1 外部模式的全部启用断言；与 NTFS 对照核对差异</x:v>
      </x:c>
      <x:c r="I269" s="11" t="str">
        <x:v>getvolinfo_test</x:v>
      </x:c>
      <x:c r="J269" s="11" t="str">
        <x:v>E09；S06；S07</x:v>
      </x:c>
      <x:c r="K269" s="11" t="str">
        <x:v>参数化用例</x:v>
      </x:c>
      <x:c r="L269" s="11" t="str">
        <x:v>2026-10-10 历史结果；当前构建及三网盘尚未按严格配置复测。</x:v>
      </x:c>
      <x:c r="M269" s="11" t="str">
        <x:v>WinFsp tests 2.1.25156；--external --resilient +*</x:v>
      </x:c>
      <x:c r="N269" s="11" t="str">
        <x:v>Windows 完整语义目标；失败不自动排除</x:v>
      </x:c>
      <x:c r="O269" s="11" t="str">
        <x:v>本轮未复测</x:v>
      </x:c>
      <x:c r="P269" s="11" t="str">
        <x:v>原版外部套件</x:v>
      </x:c>
    </x:row>
    <x:row r="270" ht="44" customHeight="1">
      <x:c r="A270" s="10" t="str">
        <x:v>NATIVE-032</x:v>
      </x:c>
      <x:c r="B270" s="10" t="str">
        <x:v>L3</x:v>
      </x:c>
      <x:c r="C270" s="10" t="str">
        <x:v>属性与权限</x:v>
      </x:c>
      <x:c r="D270" s="10" t="str">
        <x:v>设置卷信息（原版）</x:v>
      </x:c>
      <x:c r="E270" s="10" t="str">
        <x:v>B Windows / WinFsp</x:v>
      </x:c>
      <x:c r="F270" s="10" t="str">
        <x:v>已通过</x:v>
      </x:c>
      <x:c r="G270" s="10" t="str">
        <x:v>本地后端 JuiceFS 同步／后台；NTFS 与直连结果在历史执行明细</x:v>
      </x:c>
      <x:c r="H270" s="10" t="str">
        <x:v>原版 WinFsp 2.1 外部模式的全部启用断言；与 NTFS 对照核对差异</x:v>
      </x:c>
      <x:c r="I270" s="10" t="str">
        <x:v>setvolinfo_test</x:v>
      </x:c>
      <x:c r="J270" s="10" t="str">
        <x:v>E09；S06；S07</x:v>
      </x:c>
      <x:c r="K270" s="10" t="str">
        <x:v>参数化用例</x:v>
      </x:c>
      <x:c r="L270" s="10" t="str">
        <x:v>2026-10-10 历史结果；当前构建及三网盘尚未按严格配置复测。</x:v>
      </x:c>
      <x:c r="M270" s="10" t="str">
        <x:v>WinFsp tests 2.1.25156；--external --resilient +*</x:v>
      </x:c>
      <x:c r="N270" s="10" t="str">
        <x:v>Windows 完整语义目标；失败不自动排除</x:v>
      </x:c>
      <x:c r="O270" s="10" t="str">
        <x:v>本轮未复测</x:v>
      </x:c>
      <x:c r="P270" s="10" t="str">
        <x:v>原版外部套件</x:v>
      </x:c>
    </x:row>
    <x:row r="271" ht="44" customHeight="1">
      <x:c r="A271" s="11" t="str">
        <x:v>NATIVE-033</x:v>
      </x:c>
      <x:c r="B271" s="11" t="str">
        <x:v>L3</x:v>
      </x:c>
      <x:c r="C271" s="11" t="str">
        <x:v>属性与权限</x:v>
      </x:c>
      <x:c r="D271" s="11" t="str">
        <x:v>查询安全描述符（原版）</x:v>
      </x:c>
      <x:c r="E271" s="11" t="str">
        <x:v>B Windows / WinFsp</x:v>
      </x:c>
      <x:c r="F271" s="11" t="str">
        <x:v>已通过</x:v>
      </x:c>
      <x:c r="G271" s="11" t="str">
        <x:v>本地后端 JuiceFS 同步／后台；NTFS 与直连结果在历史执行明细</x:v>
      </x:c>
      <x:c r="H271" s="11" t="str">
        <x:v>原版 WinFsp 2.1 外部模式的全部启用断言；与 NTFS 对照核对差异</x:v>
      </x:c>
      <x:c r="I271" s="11" t="str">
        <x:v>getsecurity_test</x:v>
      </x:c>
      <x:c r="J271" s="11" t="str">
        <x:v>E09；S06；S07</x:v>
      </x:c>
      <x:c r="K271" s="11" t="str">
        <x:v>参数化用例</x:v>
      </x:c>
      <x:c r="L271" s="11" t="str">
        <x:v>2026-10-10 历史结果；当前构建及三网盘尚未按严格配置复测。</x:v>
      </x:c>
      <x:c r="M271" s="11" t="str">
        <x:v>WinFsp tests 2.1.25156；--external --resilient +*</x:v>
      </x:c>
      <x:c r="N271" s="11" t="str">
        <x:v>Windows 完整语义目标；失败不自动排除</x:v>
      </x:c>
      <x:c r="O271" s="11" t="str">
        <x:v>本轮未复测</x:v>
      </x:c>
      <x:c r="P271" s="11" t="str">
        <x:v>原版外部套件</x:v>
      </x:c>
    </x:row>
    <x:row r="272" ht="60" customHeight="1">
      <x:c r="A272" s="10" t="str">
        <x:v>NATIVE-067</x:v>
      </x:c>
      <x:c r="B272" s="10" t="str">
        <x:v>L3</x:v>
      </x:c>
      <x:c r="C272" s="10" t="str">
        <x:v>属性与权限</x:v>
      </x:c>
      <x:c r="D272" s="10" t="str">
        <x:v>创建时扩展属性（原版）</x:v>
      </x:c>
      <x:c r="E272" s="10" t="str">
        <x:v>B Windows / WinFsp</x:v>
      </x:c>
      <x:c r="F272" s="10" t="str">
        <x:v>已失败</x:v>
      </x:c>
      <x:c r="G272" s="10" t="str">
        <x:v>本地后端 JuiceFS 同步／后台；NTFS 与直连结果在历史执行明细</x:v>
      </x:c>
      <x:c r="H272" s="10" t="str">
        <x:v>原版 WinFsp 2.1 外部模式的全部启用断言；与 NTFS 对照核对差异</x:v>
      </x:c>
      <x:c r="I272" s="10" t="str">
        <x:v>ea_create_test</x:v>
      </x:c>
      <x:c r="J272" s="10" t="str">
        <x:v>E09；S06；S07</x:v>
      </x:c>
      <x:c r="K272" s="10" t="str">
        <x:v>参数化用例</x:v>
      </x:c>
      <x:c r="L272" s="10" t="str">
        <x:v>2026-10-10 历史结果；当前构建及三网盘尚未按严格配置复测。 ASSERT(STATUS_INVALID_EA_NAME == Result) failed at ea-test.c:707:ea_create_dotest (err=0:0)</x:v>
      </x:c>
      <x:c r="M272" s="10" t="str">
        <x:v>WinFsp tests 2.1.25156；--external --resilient +*</x:v>
      </x:c>
      <x:c r="N272" s="10" t="str">
        <x:v>Windows 完整语义目标；失败不自动排除</x:v>
      </x:c>
      <x:c r="O272" s="10" t="str">
        <x:v>本轮未复测</x:v>
      </x:c>
      <x:c r="P272" s="10" t="str">
        <x:v>原版外部套件</x:v>
      </x:c>
    </x:row>
    <x:row r="273" ht="60" customHeight="1">
      <x:c r="A273" s="11" t="str">
        <x:v>NATIVE-068</x:v>
      </x:c>
      <x:c r="B273" s="11" t="str">
        <x:v>L3</x:v>
      </x:c>
      <x:c r="C273" s="11" t="str">
        <x:v>属性与权限</x:v>
      </x:c>
      <x:c r="D273" s="11" t="str">
        <x:v>覆盖时扩展属性（原版）</x:v>
      </x:c>
      <x:c r="E273" s="11" t="str">
        <x:v>B Windows / WinFsp</x:v>
      </x:c>
      <x:c r="F273" s="11" t="str">
        <x:v>已失败</x:v>
      </x:c>
      <x:c r="G273" s="11" t="str">
        <x:v>本地后端 JuiceFS 同步／后台；NTFS 与直连结果在历史执行明细</x:v>
      </x:c>
      <x:c r="H273" s="11" t="str">
        <x:v>原版 WinFsp 2.1 外部模式的全部启用断言；与 NTFS 对照核对差异</x:v>
      </x:c>
      <x:c r="I273" s="11" t="str">
        <x:v>ea_overwrite_test</x:v>
      </x:c>
      <x:c r="J273" s="11" t="str">
        <x:v>E09；S06；S07</x:v>
      </x:c>
      <x:c r="K273" s="11" t="str">
        <x:v>参数化用例</x:v>
      </x:c>
      <x:c r="L273" s="11" t="str">
        <x:v>2026-10-10 历史结果；当前构建及三网盘尚未按严格配置复测。 ASSERT(STATUS_SUCCESS == Result) failed at ea-test.c:830:ea_overwrite_dotest (err=0:0)</x:v>
      </x:c>
      <x:c r="M273" s="11" t="str">
        <x:v>WinFsp tests 2.1.25156；--external --resilient +*</x:v>
      </x:c>
      <x:c r="N273" s="11" t="str">
        <x:v>Windows 完整语义目标；失败不自动排除</x:v>
      </x:c>
      <x:c r="O273" s="11" t="str">
        <x:v>本轮未复测</x:v>
      </x:c>
      <x:c r="P273" s="11" t="str">
        <x:v>原版外部套件</x:v>
      </x:c>
    </x:row>
    <x:row r="274" ht="60" customHeight="1">
      <x:c r="A274" s="10" t="str">
        <x:v>NATIVE-069</x:v>
      </x:c>
      <x:c r="B274" s="10" t="str">
        <x:v>L3</x:v>
      </x:c>
      <x:c r="C274" s="10" t="str">
        <x:v>属性与权限</x:v>
      </x:c>
      <x:c r="D274" s="10" t="str">
        <x:v>扩展属性读写（原版）</x:v>
      </x:c>
      <x:c r="E274" s="10" t="str">
        <x:v>B Windows / WinFsp</x:v>
      </x:c>
      <x:c r="F274" s="10" t="str">
        <x:v>已失败</x:v>
      </x:c>
      <x:c r="G274" s="10" t="str">
        <x:v>本地后端 JuiceFS 同步／后台；NTFS 与直连结果在历史执行明细</x:v>
      </x:c>
      <x:c r="H274" s="10" t="str">
        <x:v>原版 WinFsp 2.1 外部模式的全部启用断言；与 NTFS 对照核对差异</x:v>
      </x:c>
      <x:c r="I274" s="10" t="str">
        <x:v>ea_getset_test</x:v>
      </x:c>
      <x:c r="J274" s="10" t="str">
        <x:v>E09；S06；S07</x:v>
      </x:c>
      <x:c r="K274" s="10" t="str">
        <x:v>参数化用例</x:v>
      </x:c>
      <x:c r="L274" s="10" t="str">
        <x:v>2026-10-10 历史结果；当前构建及三网盘尚未按严格配置复测。 ASSERT(STATUS_INVALID_EA_NAME == Result) failed at ea-test.c:906:ea_getset_dotest (err=0:0)</x:v>
      </x:c>
      <x:c r="M274" s="10" t="str">
        <x:v>WinFsp tests 2.1.25156；--external --resilient +*</x:v>
      </x:c>
      <x:c r="N274" s="10" t="str">
        <x:v>Windows 完整语义目标；失败不自动排除</x:v>
      </x:c>
      <x:c r="O274" s="10" t="str">
        <x:v>本轮未复测</x:v>
      </x:c>
      <x:c r="P274" s="10" t="str">
        <x:v>原版外部套件</x:v>
      </x:c>
    </x:row>
    <x:row r="275" ht="44" customHeight="1">
      <x:c r="A275" s="11" t="str">
        <x:v>NATIVE-096</x:v>
      </x:c>
      <x:c r="B275" s="11" t="str">
        <x:v>L3</x:v>
      </x:c>
      <x:c r="C275" s="11" t="str">
        <x:v>属性与权限</x:v>
      </x:c>
      <x:c r="D275" s="11" t="str">
        <x:v>创建标志与只读等属性（原版）</x:v>
      </x:c>
      <x:c r="E275" s="11" t="str">
        <x:v>B Windows / WinFsp</x:v>
      </x:c>
      <x:c r="F275" s="11" t="str">
        <x:v>已通过</x:v>
      </x:c>
      <x:c r="G275" s="11" t="str">
        <x:v>本地后端 JuiceFS 同步／后台；NTFS 与直连结果在历史执行明细</x:v>
      </x:c>
      <x:c r="H275" s="11" t="str">
        <x:v>CreateFile FlagsAndAttributes / DeleteFile</x:v>
      </x:c>
      <x:c r="I275" s="11" t="str">
        <x:v>winfstest-base/01.t</x:v>
      </x:c>
      <x:c r="J275" s="11" t="str">
        <x:v>E09；S06；S07</x:v>
      </x:c>
      <x:c r="K275" s="11" t="str">
        <x:v>脚本组</x:v>
      </x:c>
      <x:c r="L275" s="11" t="str">
        <x:v>2026-10-10 历史结果；当前构建及三网盘尚未按严格配置复测。</x:v>
      </x:c>
      <x:c r="M275" s="11" t="str">
        <x:v>secfs.test 6ac65cda46abc2be39c7b137debf9521052edbaf</x:v>
      </x:c>
      <x:c r="N275" s="11" t="str">
        <x:v>Windows 完整语义目标；失败不自动排除</x:v>
      </x:c>
      <x:c r="O275" s="11" t="str">
        <x:v>本轮未复测</x:v>
      </x:c>
      <x:c r="P275" s="11" t="str">
        <x:v>原版外部套件</x:v>
      </x:c>
    </x:row>
    <x:row r="276" ht="60" customHeight="1">
      <x:c r="A276" s="10" t="str">
        <x:v>NATIVE-101</x:v>
      </x:c>
      <x:c r="B276" s="10" t="str">
        <x:v>L3</x:v>
      </x:c>
      <x:c r="C276" s="10" t="str">
        <x:v>属性与权限</x:v>
      </x:c>
      <x:c r="D276" s="10" t="str">
        <x:v>文件时间设置（原版）</x:v>
      </x:c>
      <x:c r="E276" s="10" t="str">
        <x:v>B Windows / WinFsp</x:v>
      </x:c>
      <x:c r="F276" s="10" t="str">
        <x:v>已失败</x:v>
      </x:c>
      <x:c r="G276" s="10" t="str">
        <x:v>本地后端 JuiceFS 同步／后台；NTFS 与直连结果在历史执行明细</x:v>
      </x:c>
      <x:c r="H276" s="10" t="str">
        <x:v>SetFileTime</x:v>
      </x:c>
      <x:c r="I276" s="10" t="str">
        <x:v>winfstest-base/06.t</x:v>
      </x:c>
      <x:c r="J276" s="10" t="str">
        <x:v>E09；S06；S07</x:v>
      </x:c>
      <x:c r="K276" s="10" t="str">
        <x:v>脚本组</x:v>
      </x:c>
      <x:c r="L276" s="10" t="str">
        <x:v>2026-10-10 历史结果；当前构建及三网盘尚未按严格配置复测。 not ok 5 - testeval("2134-01-01T00:00:00Z" == r[0]["CreationTime"])</x:v>
      </x:c>
      <x:c r="M276" s="10" t="str">
        <x:v>secfs.test 6ac65cda46abc2be39c7b137debf9521052edbaf</x:v>
      </x:c>
      <x:c r="N276" s="10" t="str">
        <x:v>Windows 完整语义目标；失败不自动排除</x:v>
      </x:c>
      <x:c r="O276" s="10" t="str">
        <x:v>本轮未复测</x:v>
      </x:c>
      <x:c r="P276" s="10" t="str">
        <x:v>原版外部套件</x:v>
      </x:c>
    </x:row>
    <x:row r="277" ht="44" customHeight="1">
      <x:c r="A277" s="11" t="str">
        <x:v>NATIVE-102</x:v>
      </x:c>
      <x:c r="B277" s="11" t="str">
        <x:v>L3</x:v>
      </x:c>
      <x:c r="C277" s="11" t="str">
        <x:v>属性与权限</x:v>
      </x:c>
      <x:c r="D277" s="11" t="str">
        <x:v>文件属性设置（原版）</x:v>
      </x:c>
      <x:c r="E277" s="11" t="str">
        <x:v>B Windows / WinFsp</x:v>
      </x:c>
      <x:c r="F277" s="11" t="str">
        <x:v>已通过</x:v>
      </x:c>
      <x:c r="G277" s="11" t="str">
        <x:v>本地后端 JuiceFS 同步／后台；NTFS 与直连结果在历史执行明细</x:v>
      </x:c>
      <x:c r="H277" s="11" t="str">
        <x:v>SetFileAttributes</x:v>
      </x:c>
      <x:c r="I277" s="11" t="str">
        <x:v>winfstest-base/07.t</x:v>
      </x:c>
      <x:c r="J277" s="11" t="str">
        <x:v>E09；S06；S07</x:v>
      </x:c>
      <x:c r="K277" s="11" t="str">
        <x:v>脚本组</x:v>
      </x:c>
      <x:c r="L277" s="11" t="str">
        <x:v>2026-10-10 历史结果；当前构建及三网盘尚未按严格配置复测。</x:v>
      </x:c>
      <x:c r="M277" s="11" t="str">
        <x:v>secfs.test 6ac65cda46abc2be39c7b137debf9521052edbaf</x:v>
      </x:c>
      <x:c r="N277" s="11" t="str">
        <x:v>Windows 完整语义目标；失败不自动排除</x:v>
      </x:c>
      <x:c r="O277" s="11" t="str">
        <x:v>本轮未复测</x:v>
      </x:c>
      <x:c r="P277" s="11" t="str">
        <x:v>原版外部套件</x:v>
      </x:c>
    </x:row>
    <x:row r="278" ht="332" customHeight="1">
      <x:c r="A278" s="10" t="str">
        <x:v>NATIVE-105</x:v>
      </x:c>
      <x:c r="B278" s="10" t="str">
        <x:v>L3</x:v>
      </x:c>
      <x:c r="C278" s="10" t="str">
        <x:v>属性与权限</x:v>
      </x:c>
      <x:c r="D278" s="10" t="str">
        <x:v>文件与目录安全描述符（原版）</x:v>
      </x:c>
      <x:c r="E278" s="10" t="str">
        <x:v>B Windows / WinFsp</x:v>
      </x:c>
      <x:c r="F278" s="10" t="str">
        <x:v>已失败</x:v>
      </x:c>
      <x:c r="G278" s="10" t="str">
        <x:v>本地后端 JuiceFS 同步／后台；NTFS 与直连结果在历史执行明细</x:v>
      </x:c>
      <x:c r="H278" s="10" t="str">
        <x:v>GetFileSecurity / SetFileSecurity</x:v>
      </x:c>
      <x:c r="I278" s="10" t="str">
        <x:v>winfstest-base/10.t</x:v>
      </x:c>
      <x:c r="J278" s="10" t="str">
        <x:v>E09；S06；S07</x:v>
      </x:c>
      <x:c r="K278" s="10" t="str">
        <x:v>脚本组</x:v>
      </x:c>
      <x:c r="L278" s="10" t="str">
        <x:v>2026-10-10 历史结果；当前构建及三网盘尚未按严格配置复测。 not ok 2 - expect "GetFileSecurity 0b9f6f77 DACL_SECURITY_INFORMATION" &lt;lambda&gt; - result [{'Sddl': 'D:P(A;;0x1f01bf;;;LA)(A;;0x1201af;;;S-1-5-21-1643835476-1616584234-1346609752-513)(A;;0x1201af;;;WD)'}] not ok 4 - expect "GetFileSecurity 0b9f6f77 DACL_SECURITY_INFORMATION" &lt;lambda&gt; - result [{'Sddl': 'D:P(A;;0x1f01bf;;;LA)(A;;0x1201af;;;S-1-5-21-1643835476-1616584234-1346609752-513)(A;;0x1201af;;;WD)'}] ok 9 - expect "CreateFile 0b9f6f77 GENERIC_READ 0 0 OPEN_EXISTING 0 0" ERROR_ACCESS_DENIED not ok 12 - expect "GetFileSecurity 0b9f6f77 DACL_SECURITY_INFORMATION" &lt;lambda&gt; - result [{'Sddl': 'D:P(A;;FA;;;LA)(A;;0x1201ef;;;S-1-5-21-1643835476-1616584234-1346609752-513)(A;;0x1201ef;;;WD)'}] not ok 14 - expect "GetFileSecurity 0b9f6f77 DACL_SECURITY_INFORMATION" &lt;lambda&gt; - result [{'Sddl': 'D:P(A;;FA;;;LA)(A;;0x1201ef;;;S-1-5-21-1643835476-1616584234-1346609752-513)(A;;0x1201ef;;;WD)'}] ok 17 - expect "CreateFile 0b9f6f77\foobar GENERIC_READ 0 D:P(A;;FR;;;WD) CREATE_NEW 0 0" ERROR_ACCESS_DENIED not ok 21 - expect "DeleteFile 0b9f6f77\foobar" ERROR_ACCESS_DENIED - got 0 not ok 23 - expect "DeleteFile 0b9f6f77\foobar" 0 - got ERROR_FILE_NOT_FOUND</x:v>
      </x:c>
      <x:c r="M278" s="10" t="str">
        <x:v>secfs.test 6ac65cda46abc2be39c7b137debf9521052edbaf</x:v>
      </x:c>
      <x:c r="N278" s="10" t="str">
        <x:v>Windows 完整语义目标；失败不自动排除</x:v>
      </x:c>
      <x:c r="O278" s="10" t="str">
        <x:v>本轮未复测</x:v>
      </x:c>
      <x:c r="P278" s="10" t="str">
        <x:v>原版外部套件</x:v>
      </x:c>
    </x:row>
    <x:row r="279" ht="44" customHeight="1">
      <x:c r="A279" s="11" t="str">
        <x:v>WFP-02</x:v>
      </x:c>
      <x:c r="B279" s="11" t="str">
        <x:v>L3</x:v>
      </x:c>
      <x:c r="C279" s="11" t="str">
        <x:v>属性与权限</x:v>
      </x:c>
      <x:c r="D279" s="11" t="str">
        <x:v>创建时文件属性</x:v>
      </x:c>
      <x:c r="E279" s="11" t="str">
        <x:v>B Windows / WinFsp</x:v>
      </x:c>
      <x:c r="F279" s="11" t="str">
        <x:v>已通过</x:v>
      </x:c>
      <x:c r="G279" s="11" t="str">
        <x:v>本地、百度、Google、OneDrive；同步/后台，共 8 组</x:v>
      </x:c>
      <x:c r="H279" s="11" t="str">
        <x:v>该用例在官方 FUSE 兼容参数下通过；断言范围以原用例为准</x:v>
      </x:c>
      <x:c r="I279" s="11" t="str">
        <x:v>create_fileattr_test</x:v>
      </x:c>
      <x:c r="J279" s="11" t="str">
        <x:v>E01；S04</x:v>
      </x:c>
      <x:c r="K279" s="11" t="str">
        <x:v>用例</x:v>
      </x:c>
      <x:c r="L279" s="11" t="str">
        <x:v>--fuse-external --resilient --case-insensitive-cmp；不代表全部 NTFS 语义</x:v>
      </x:c>
      <x:c r="M279" s="11" t="str">
        <x:v>juicedata/winfsp testing_suit_20250324；默认 FUSE 参数</x:v>
      </x:c>
      <x:c r="N279" s="11" t="str">
        <x:v>Windows 单机产品；按已测范围解释</x:v>
      </x:c>
      <x:c r="O279" s="11" t="str">
        <x:v>本轮仅补充矩阵，未复测</x:v>
      </x:c>
      <x:c r="P279" s="11" t="str">
        <x:v>JuiceFS fork 外部</x:v>
      </x:c>
    </x:row>
    <x:row r="280" ht="44" customHeight="1">
      <x:c r="A280" s="10" t="str">
        <x:v>WFP-03</x:v>
      </x:c>
      <x:c r="B280" s="10" t="str">
        <x:v>L3</x:v>
      </x:c>
      <x:c r="C280" s="10" t="str">
        <x:v>属性与权限</x:v>
      </x:c>
      <x:c r="D280" s="10" t="str">
        <x:v>只读目录行为</x:v>
      </x:c>
      <x:c r="E280" s="10" t="str">
        <x:v>B Windows / WinFsp</x:v>
      </x:c>
      <x:c r="F280" s="10" t="str">
        <x:v>已通过</x:v>
      </x:c>
      <x:c r="G280" s="10" t="str">
        <x:v>本地、百度、Google、OneDrive；同步/后台，共 8 组</x:v>
      </x:c>
      <x:c r="H280" s="10" t="str">
        <x:v>该用例在官方 FUSE 兼容参数下通过；断言范围以原用例为准</x:v>
      </x:c>
      <x:c r="I280" s="10" t="str">
        <x:v>create_readonlydir_test</x:v>
      </x:c>
      <x:c r="J280" s="10" t="str">
        <x:v>E01；S04</x:v>
      </x:c>
      <x:c r="K280" s="10" t="str">
        <x:v>用例</x:v>
      </x:c>
      <x:c r="L280" s="10" t="str">
        <x:v>--fuse-external --resilient --case-insensitive-cmp；不代表全部 NTFS 语义</x:v>
      </x:c>
      <x:c r="M280" s="10" t="str">
        <x:v>juicedata/winfsp testing_suit_20250324；默认 FUSE 参数</x:v>
      </x:c>
      <x:c r="N280" s="10" t="str">
        <x:v>Windows 单机产品；按已测范围解释</x:v>
      </x:c>
      <x:c r="O280" s="10" t="str">
        <x:v>本轮仅补充矩阵，未复测</x:v>
      </x:c>
      <x:c r="P280" s="10" t="str">
        <x:v>JuiceFS fork 外部</x:v>
      </x:c>
    </x:row>
    <x:row r="281" ht="44" customHeight="1">
      <x:c r="A281" s="11" t="str">
        <x:v>WFP-05</x:v>
      </x:c>
      <x:c r="B281" s="11" t="str">
        <x:v>L3</x:v>
      </x:c>
      <x:c r="C281" s="11" t="str">
        <x:v>属性与权限</x:v>
      </x:c>
      <x:c r="D281" s="11" t="str">
        <x:v>创建时安全描述符</x:v>
      </x:c>
      <x:c r="E281" s="11" t="str">
        <x:v>B Windows / WinFsp</x:v>
      </x:c>
      <x:c r="F281" s="11" t="str">
        <x:v>已通过</x:v>
      </x:c>
      <x:c r="G281" s="11" t="str">
        <x:v>本地、百度、Google、OneDrive；同步/后台，共 8 组</x:v>
      </x:c>
      <x:c r="H281" s="11" t="str">
        <x:v>该用例在官方 FUSE 兼容参数下通过；断言范围以原用例为准</x:v>
      </x:c>
      <x:c r="I281" s="11" t="str">
        <x:v>create_sd_test</x:v>
      </x:c>
      <x:c r="J281" s="11" t="str">
        <x:v>E01；S04</x:v>
      </x:c>
      <x:c r="K281" s="11" t="str">
        <x:v>用例</x:v>
      </x:c>
      <x:c r="L281" s="11" t="str">
        <x:v>--fuse-external --resilient --case-insensitive-cmp；不代表全部 NTFS 语义</x:v>
      </x:c>
      <x:c r="M281" s="11" t="str">
        <x:v>juicedata/winfsp testing_suit_20250324；默认 FUSE 参数</x:v>
      </x:c>
      <x:c r="N281" s="11" t="str">
        <x:v>Windows 单机产品；按已测范围解释</x:v>
      </x:c>
      <x:c r="O281" s="11" t="str">
        <x:v>本轮仅补充矩阵，未复测</x:v>
      </x:c>
      <x:c r="P281" s="11" t="str">
        <x:v>JuiceFS fork 外部</x:v>
      </x:c>
    </x:row>
    <x:row r="282" ht="44" customHeight="1">
      <x:c r="A282" s="10" t="str">
        <x:v>WFP-11</x:v>
      </x:c>
      <x:c r="B282" s="10" t="str">
        <x:v>L3</x:v>
      </x:c>
      <x:c r="C282" s="10" t="str">
        <x:v>属性与权限</x:v>
      </x:c>
      <x:c r="D282" s="10" t="str">
        <x:v>删除访问权限</x:v>
      </x:c>
      <x:c r="E282" s="10" t="str">
        <x:v>B Windows / WinFsp</x:v>
      </x:c>
      <x:c r="F282" s="10" t="str">
        <x:v>已通过</x:v>
      </x:c>
      <x:c r="G282" s="10" t="str">
        <x:v>本地、百度、Google、OneDrive；同步/后台，共 8 组</x:v>
      </x:c>
      <x:c r="H282" s="10" t="str">
        <x:v>该用例在官方 FUSE 兼容参数下通过；断言范围以原用例为准</x:v>
      </x:c>
      <x:c r="I282" s="10" t="str">
        <x:v>delete_access_test</x:v>
      </x:c>
      <x:c r="J282" s="10" t="str">
        <x:v>E01；S04</x:v>
      </x:c>
      <x:c r="K282" s="10" t="str">
        <x:v>用例</x:v>
      </x:c>
      <x:c r="L282" s="10" t="str">
        <x:v>--fuse-external --resilient --case-insensitive-cmp；不代表全部 NTFS 语义</x:v>
      </x:c>
      <x:c r="M282" s="10" t="str">
        <x:v>juicedata/winfsp testing_suit_20250324；默认 FUSE 参数</x:v>
      </x:c>
      <x:c r="N282" s="10" t="str">
        <x:v>Windows 单机产品；按已测范围解释</x:v>
      </x:c>
      <x:c r="O282" s="10" t="str">
        <x:v>本轮仅补充矩阵，未复测</x:v>
      </x:c>
      <x:c r="P282" s="10" t="str">
        <x:v>JuiceFS fork 外部</x:v>
      </x:c>
    </x:row>
    <x:row r="283" ht="44" customHeight="1">
      <x:c r="A283" s="11" t="str">
        <x:v>WFP-24</x:v>
      </x:c>
      <x:c r="B283" s="11" t="str">
        <x:v>L3</x:v>
      </x:c>
      <x:c r="C283" s="11" t="str">
        <x:v>属性与权限</x:v>
      </x:c>
      <x:c r="D283" s="11" t="str">
        <x:v>查询卷信息</x:v>
      </x:c>
      <x:c r="E283" s="11" t="str">
        <x:v>B Windows / WinFsp</x:v>
      </x:c>
      <x:c r="F283" s="11" t="str">
        <x:v>已通过</x:v>
      </x:c>
      <x:c r="G283" s="11" t="str">
        <x:v>本地、百度、Google、OneDrive；同步/后台，共 8 组</x:v>
      </x:c>
      <x:c r="H283" s="11" t="str">
        <x:v>该用例在官方 FUSE 兼容参数下通过；断言范围以原用例为准</x:v>
      </x:c>
      <x:c r="I283" s="11" t="str">
        <x:v>getvolinfo_test</x:v>
      </x:c>
      <x:c r="J283" s="11" t="str">
        <x:v>E01；S04</x:v>
      </x:c>
      <x:c r="K283" s="11" t="str">
        <x:v>用例</x:v>
      </x:c>
      <x:c r="L283" s="11" t="str">
        <x:v>--fuse-external --resilient --case-insensitive-cmp；不代表全部 NTFS 语义</x:v>
      </x:c>
      <x:c r="M283" s="11" t="str">
        <x:v>juicedata/winfsp testing_suit_20250324；默认 FUSE 参数</x:v>
      </x:c>
      <x:c r="N283" s="11" t="str">
        <x:v>Windows 单机产品；按已测范围解释</x:v>
      </x:c>
      <x:c r="O283" s="11" t="str">
        <x:v>本轮仅补充矩阵，未复测</x:v>
      </x:c>
      <x:c r="P283" s="11" t="str">
        <x:v>JuiceFS fork 外部</x:v>
      </x:c>
    </x:row>
    <x:row r="284" ht="44" customHeight="1">
      <x:c r="A284" s="10" t="str">
        <x:v>WFP-25</x:v>
      </x:c>
      <x:c r="B284" s="10" t="str">
        <x:v>L3</x:v>
      </x:c>
      <x:c r="C284" s="10" t="str">
        <x:v>属性与权限</x:v>
      </x:c>
      <x:c r="D284" s="10" t="str">
        <x:v>设置卷信息</x:v>
      </x:c>
      <x:c r="E284" s="10" t="str">
        <x:v>B Windows / WinFsp</x:v>
      </x:c>
      <x:c r="F284" s="10" t="str">
        <x:v>已通过</x:v>
      </x:c>
      <x:c r="G284" s="10" t="str">
        <x:v>本地、百度、Google、OneDrive；同步/后台，共 8 组</x:v>
      </x:c>
      <x:c r="H284" s="10" t="str">
        <x:v>该用例在官方 FUSE 兼容参数下通过；断言范围以原用例为准</x:v>
      </x:c>
      <x:c r="I284" s="10" t="str">
        <x:v>setvolinfo_test</x:v>
      </x:c>
      <x:c r="J284" s="10" t="str">
        <x:v>E01；S04</x:v>
      </x:c>
      <x:c r="K284" s="10" t="str">
        <x:v>用例</x:v>
      </x:c>
      <x:c r="L284" s="10" t="str">
        <x:v>--fuse-external --resilient --case-insensitive-cmp；不代表全部 NTFS 语义</x:v>
      </x:c>
      <x:c r="M284" s="10" t="str">
        <x:v>juicedata/winfsp testing_suit_20250324；默认 FUSE 参数</x:v>
      </x:c>
      <x:c r="N284" s="10" t="str">
        <x:v>Windows 单机产品；按已测范围解释</x:v>
      </x:c>
      <x:c r="O284" s="10" t="str">
        <x:v>本轮仅补充矩阵，未复测</x:v>
      </x:c>
      <x:c r="P284" s="10" t="str">
        <x:v>JuiceFS fork 外部</x:v>
      </x:c>
    </x:row>
    <x:row r="285" ht="44" customHeight="1">
      <x:c r="A285" s="11" t="str">
        <x:v>WFP-26</x:v>
      </x:c>
      <x:c r="B285" s="11" t="str">
        <x:v>L3</x:v>
      </x:c>
      <x:c r="C285" s="11" t="str">
        <x:v>属性与权限</x:v>
      </x:c>
      <x:c r="D285" s="11" t="str">
        <x:v>查询安全描述符</x:v>
      </x:c>
      <x:c r="E285" s="11" t="str">
        <x:v>B Windows / WinFsp</x:v>
      </x:c>
      <x:c r="F285" s="11" t="str">
        <x:v>已通过</x:v>
      </x:c>
      <x:c r="G285" s="11" t="str">
        <x:v>本地、百度、Google、OneDrive；同步/后台，共 8 组</x:v>
      </x:c>
      <x:c r="H285" s="11" t="str">
        <x:v>该用例在官方 FUSE 兼容参数下通过；断言范围以原用例为准</x:v>
      </x:c>
      <x:c r="I285" s="11" t="str">
        <x:v>getsecurity_test</x:v>
      </x:c>
      <x:c r="J285" s="11" t="str">
        <x:v>E01；S04</x:v>
      </x:c>
      <x:c r="K285" s="11" t="str">
        <x:v>用例</x:v>
      </x:c>
      <x:c r="L285" s="11" t="str">
        <x:v>--fuse-external --resilient --case-insensitive-cmp；不代表全部 NTFS 语义</x:v>
      </x:c>
      <x:c r="M285" s="11" t="str">
        <x:v>juicedata/winfsp testing_suit_20250324；默认 FUSE 参数</x:v>
      </x:c>
      <x:c r="N285" s="11" t="str">
        <x:v>Windows 单机产品；按已测范围解释</x:v>
      </x:c>
      <x:c r="O285" s="11" t="str">
        <x:v>本轮仅补充矩阵，未复测</x:v>
      </x:c>
      <x:c r="P285" s="11" t="str">
        <x:v>JuiceFS fork 外部</x:v>
      </x:c>
    </x:row>
    <x:row r="286" ht="44" customHeight="1">
      <x:c r="A286" s="10" t="str">
        <x:v>WFP-OPT-10</x:v>
      </x:c>
      <x:c r="B286" s="10" t="str">
        <x:v>L3</x:v>
      </x:c>
      <x:c r="C286" s="10" t="str">
        <x:v>属性与权限</x:v>
      </x:c>
      <x:c r="D286" s="10" t="str">
        <x:v>创建时扩展属性（JuiceFS fork）</x:v>
      </x:c>
      <x:c r="E286" s="10" t="str">
        <x:v>B Windows / WinFsp</x:v>
      </x:c>
      <x:c r="F286" s="10" t="str">
        <x:v>待执行</x:v>
      </x:c>
      <x:c r="G286" s="10" t="str">
        <x:v>JuiceFS 测试包全部外部模式；此版本无逐项执行证据</x:v>
      </x:c>
      <x:c r="H286" s="10" t="str">
        <x:v>保留该测试包断言；原版同名结果不能转记为此包通过</x:v>
      </x:c>
      <x:c r="I286" s="10" t="str">
        <x:v>ea_create_test</x:v>
      </x:c>
      <x:c r="J286" s="10" t="str">
        <x:v>S04；E10</x:v>
      </x:c>
      <x:c r="K286" s="10" t="str">
        <x:v>用例</x:v>
      </x:c>
      <x:c r="L286" s="10" t="str">
        <x:v>已完整登记；原版同名入口见 NATIVE-067，执行版本和参数不同</x:v>
      </x:c>
      <x:c r="M286" s="10" t="str">
        <x:v>juicedata/winfsp testing_suit_20250324；--external --resilient +*</x:v>
      </x:c>
      <x:c r="N286" s="10" t="str">
        <x:v>Windows 语义补测</x:v>
      </x:c>
      <x:c r="O286" s="10" t="str">
        <x:v>未执行该版本入口</x:v>
      </x:c>
      <x:c r="P286" s="10" t="str">
        <x:v>JuiceFS fork 外部</x:v>
      </x:c>
    </x:row>
    <x:row r="287" ht="44" customHeight="1">
      <x:c r="A287" s="11" t="str">
        <x:v>WFP-OPT-11</x:v>
      </x:c>
      <x:c r="B287" s="11" t="str">
        <x:v>L3</x:v>
      </x:c>
      <x:c r="C287" s="11" t="str">
        <x:v>属性与权限</x:v>
      </x:c>
      <x:c r="D287" s="11" t="str">
        <x:v>覆盖时扩展属性（JuiceFS fork）</x:v>
      </x:c>
      <x:c r="E287" s="11" t="str">
        <x:v>B Windows / WinFsp</x:v>
      </x:c>
      <x:c r="F287" s="11" t="str">
        <x:v>待执行</x:v>
      </x:c>
      <x:c r="G287" s="11" t="str">
        <x:v>JuiceFS 测试包全部外部模式；此版本无逐项执行证据</x:v>
      </x:c>
      <x:c r="H287" s="11" t="str">
        <x:v>保留该测试包断言；原版同名结果不能转记为此包通过</x:v>
      </x:c>
      <x:c r="I287" s="11" t="str">
        <x:v>ea_overwrite_test</x:v>
      </x:c>
      <x:c r="J287" s="11" t="str">
        <x:v>S04；E10</x:v>
      </x:c>
      <x:c r="K287" s="11" t="str">
        <x:v>用例</x:v>
      </x:c>
      <x:c r="L287" s="11" t="str">
        <x:v>已完整登记；原版同名入口见 NATIVE-068，执行版本和参数不同</x:v>
      </x:c>
      <x:c r="M287" s="11" t="str">
        <x:v>juicedata/winfsp testing_suit_20250324；--external --resilient +*</x:v>
      </x:c>
      <x:c r="N287" s="11" t="str">
        <x:v>Windows 语义补测</x:v>
      </x:c>
      <x:c r="O287" s="11" t="str">
        <x:v>未执行该版本入口</x:v>
      </x:c>
      <x:c r="P287" s="11" t="str">
        <x:v>JuiceFS fork 外部</x:v>
      </x:c>
    </x:row>
    <x:row r="288" ht="44" customHeight="1">
      <x:c r="A288" s="10" t="str">
        <x:v>WFP-OPT-12</x:v>
      </x:c>
      <x:c r="B288" s="10" t="str">
        <x:v>L3</x:v>
      </x:c>
      <x:c r="C288" s="10" t="str">
        <x:v>属性与权限</x:v>
      </x:c>
      <x:c r="D288" s="10" t="str">
        <x:v>扩展属性读写（JuiceFS fork）</x:v>
      </x:c>
      <x:c r="E288" s="10" t="str">
        <x:v>B Windows / WinFsp</x:v>
      </x:c>
      <x:c r="F288" s="10" t="str">
        <x:v>待执行</x:v>
      </x:c>
      <x:c r="G288" s="10" t="str">
        <x:v>JuiceFS 测试包全部外部模式；此版本无逐项执行证据</x:v>
      </x:c>
      <x:c r="H288" s="10" t="str">
        <x:v>保留该测试包断言；原版同名结果不能转记为此包通过</x:v>
      </x:c>
      <x:c r="I288" s="10" t="str">
        <x:v>ea_getset_test</x:v>
      </x:c>
      <x:c r="J288" s="10" t="str">
        <x:v>S04；E10</x:v>
      </x:c>
      <x:c r="K288" s="10" t="str">
        <x:v>用例</x:v>
      </x:c>
      <x:c r="L288" s="10" t="str">
        <x:v>已完整登记；原版同名入口见 NATIVE-069，执行版本和参数不同</x:v>
      </x:c>
      <x:c r="M288" s="10" t="str">
        <x:v>juicedata/winfsp testing_suit_20250324；--external --resilient +*</x:v>
      </x:c>
      <x:c r="N288" s="10" t="str">
        <x:v>Windows 语义补测</x:v>
      </x:c>
      <x:c r="O288" s="10" t="str">
        <x:v>未执行该版本入口</x:v>
      </x:c>
      <x:c r="P288" s="10" t="str">
        <x:v>JuiceFS fork 外部</x:v>
      </x:c>
    </x:row>
    <x:row r="289" ht="44" customHeight="1">
      <x:c r="A289" s="11" t="str">
        <x:v>WFT-01</x:v>
      </x:c>
      <x:c r="B289" s="11" t="str">
        <x:v>L3</x:v>
      </x:c>
      <x:c r="C289" s="11" t="str">
        <x:v>属性与权限</x:v>
      </x:c>
      <x:c r="D289" s="11" t="str">
        <x:v>创建标志与只读等属性</x:v>
      </x:c>
      <x:c r="E289" s="11" t="str">
        <x:v>B Windows / WinFsp</x:v>
      </x:c>
      <x:c r="F289" s="11" t="str">
        <x:v>已通过</x:v>
      </x:c>
      <x:c r="G289" s="11" t="str">
        <x:v>本地、百度、Google、OneDrive；同步/后台，共 8 组</x:v>
      </x:c>
      <x:c r="H289" s="11" t="str">
        <x:v>CreateFile FlagsAndAttributes / DeleteFile；按保留的已启用断言验证</x:v>
      </x:c>
      <x:c r="I289" s="11" t="str">
        <x:v>winfstest t/base/01.t</x:v>
      </x:c>
      <x:c r="J289" s="11" t="str">
        <x:v>E01；S03</x:v>
      </x:c>
      <x:c r="K289" s="11" t="str">
        <x:v>脚本组</x:v>
      </x:c>
      <x:c r="L289" s="11" t="str">
        <x:v>11 脚本合计 152 断言；已注释断言不算覆盖</x:v>
      </x:c>
      <x:c r="M289" s="11" t="str">
        <x:v>juicedata/winfstest testing_20250313</x:v>
      </x:c>
      <x:c r="N289" s="11" t="str">
        <x:v>Windows 单机产品；按已测范围解释</x:v>
      </x:c>
      <x:c r="O289" s="11" t="str">
        <x:v>本轮仅补充矩阵，未复测</x:v>
      </x:c>
      <x:c r="P289" s="11" t="str">
        <x:v>JuiceFS fork 脚本</x:v>
      </x:c>
    </x:row>
    <x:row r="290" ht="44" customHeight="1">
      <x:c r="A290" s="10" t="str">
        <x:v>WFT-06</x:v>
      </x:c>
      <x:c r="B290" s="10" t="str">
        <x:v>L3</x:v>
      </x:c>
      <x:c r="C290" s="10" t="str">
        <x:v>属性与权限</x:v>
      </x:c>
      <x:c r="D290" s="10" t="str">
        <x:v>文件时间设置</x:v>
      </x:c>
      <x:c r="E290" s="10" t="str">
        <x:v>B Windows / WinFsp</x:v>
      </x:c>
      <x:c r="F290" s="10" t="str">
        <x:v>已通过</x:v>
      </x:c>
      <x:c r="G290" s="10" t="str">
        <x:v>本地、百度、Google、OneDrive；同步/后台，共 8 组</x:v>
      </x:c>
      <x:c r="H290" s="10" t="str">
        <x:v>SetFileTime；按保留的已启用断言验证</x:v>
      </x:c>
      <x:c r="I290" s="10" t="str">
        <x:v>winfstest t/base/06.t</x:v>
      </x:c>
      <x:c r="J290" s="10" t="str">
        <x:v>E01；S03</x:v>
      </x:c>
      <x:c r="K290" s="10" t="str">
        <x:v>脚本组</x:v>
      </x:c>
      <x:c r="L290" s="10" t="str">
        <x:v>11 脚本合计 152 断言；已注释断言不算覆盖</x:v>
      </x:c>
      <x:c r="M290" s="10" t="str">
        <x:v>juicedata/winfstest testing_20250313</x:v>
      </x:c>
      <x:c r="N290" s="10" t="str">
        <x:v>Windows 单机产品；按已测范围解释</x:v>
      </x:c>
      <x:c r="O290" s="10" t="str">
        <x:v>本轮仅补充矩阵，未复测</x:v>
      </x:c>
      <x:c r="P290" s="10" t="str">
        <x:v>JuiceFS fork 脚本</x:v>
      </x:c>
    </x:row>
    <x:row r="291" ht="44" customHeight="1">
      <x:c r="A291" s="11" t="str">
        <x:v>WFT-07</x:v>
      </x:c>
      <x:c r="B291" s="11" t="str">
        <x:v>L3</x:v>
      </x:c>
      <x:c r="C291" s="11" t="str">
        <x:v>属性与权限</x:v>
      </x:c>
      <x:c r="D291" s="11" t="str">
        <x:v>文件属性设置</x:v>
      </x:c>
      <x:c r="E291" s="11" t="str">
        <x:v>B Windows / WinFsp</x:v>
      </x:c>
      <x:c r="F291" s="11" t="str">
        <x:v>已通过</x:v>
      </x:c>
      <x:c r="G291" s="11" t="str">
        <x:v>本地、百度、Google、OneDrive；同步/后台，共 8 组</x:v>
      </x:c>
      <x:c r="H291" s="11" t="str">
        <x:v>SetFileAttributes；按保留的已启用断言验证</x:v>
      </x:c>
      <x:c r="I291" s="11" t="str">
        <x:v>winfstest t/base/07.t</x:v>
      </x:c>
      <x:c r="J291" s="11" t="str">
        <x:v>E01；S03</x:v>
      </x:c>
      <x:c r="K291" s="11" t="str">
        <x:v>脚本组</x:v>
      </x:c>
      <x:c r="L291" s="11" t="str">
        <x:v>11 脚本合计 152 断言；已注释断言不算覆盖</x:v>
      </x:c>
      <x:c r="M291" s="11" t="str">
        <x:v>juicedata/winfstest testing_20250313</x:v>
      </x:c>
      <x:c r="N291" s="11" t="str">
        <x:v>Windows 单机产品；按已测范围解释</x:v>
      </x:c>
      <x:c r="O291" s="11" t="str">
        <x:v>本轮仅补充矩阵，未复测</x:v>
      </x:c>
      <x:c r="P291" s="11" t="str">
        <x:v>JuiceFS fork 脚本</x:v>
      </x:c>
    </x:row>
    <x:row r="292" ht="44" customHeight="1">
      <x:c r="A292" s="10" t="str">
        <x:v>WFT-10</x:v>
      </x:c>
      <x:c r="B292" s="10" t="str">
        <x:v>L3</x:v>
      </x:c>
      <x:c r="C292" s="10" t="str">
        <x:v>属性与权限</x:v>
      </x:c>
      <x:c r="D292" s="10" t="str">
        <x:v>文件与目录安全描述符</x:v>
      </x:c>
      <x:c r="E292" s="10" t="str">
        <x:v>B Windows / WinFsp</x:v>
      </x:c>
      <x:c r="F292" s="10" t="str">
        <x:v>已通过</x:v>
      </x:c>
      <x:c r="G292" s="10" t="str">
        <x:v>本地、百度、Google、OneDrive；同步/后台，共 8 组</x:v>
      </x:c>
      <x:c r="H292" s="10" t="str">
        <x:v>GetFileSecurity / SetFileSecurity；按保留的已启用断言验证</x:v>
      </x:c>
      <x:c r="I292" s="10" t="str">
        <x:v>winfstest t/base/10.t</x:v>
      </x:c>
      <x:c r="J292" s="10" t="str">
        <x:v>E01；S03</x:v>
      </x:c>
      <x:c r="K292" s="10" t="str">
        <x:v>脚本组</x:v>
      </x:c>
      <x:c r="L292" s="10" t="str">
        <x:v>11 脚本合计 152 断言；已注释断言不算覆盖</x:v>
      </x:c>
      <x:c r="M292" s="10" t="str">
        <x:v>juicedata/winfstest testing_20250313</x:v>
      </x:c>
      <x:c r="N292" s="10" t="str">
        <x:v>Windows 单机产品；按已测范围解释</x:v>
      </x:c>
      <x:c r="O292" s="10" t="str">
        <x:v>本轮仅补充矩阵，未复测</x:v>
      </x:c>
      <x:c r="P292" s="10" t="str">
        <x:v>JuiceFS fork 脚本</x:v>
      </x:c>
    </x:row>
    <x:row r="293" ht="44" customHeight="1">
      <x:c r="A293" s="11" t="str">
        <x:v>NATIVE-021</x:v>
      </x:c>
      <x:c r="B293" s="11" t="str">
        <x:v>L3</x:v>
      </x:c>
      <x:c r="C293" s="11" t="str">
        <x:v>并发与文件锁</x:v>
      </x:c>
      <x:c r="D293" s="11" t="str">
        <x:v>缓存待机状态下删除（原版）</x:v>
      </x:c>
      <x:c r="E293" s="11" t="str">
        <x:v>B Windows / WinFsp</x:v>
      </x:c>
      <x:c r="F293" s="11" t="str">
        <x:v>已通过</x:v>
      </x:c>
      <x:c r="G293" s="11" t="str">
        <x:v>本地后端 JuiceFS 同步／后台；NTFS 与直连结果在历史执行明细</x:v>
      </x:c>
      <x:c r="H293" s="11" t="str">
        <x:v>原版 WinFsp 2.1 外部模式的全部启用断言；与 NTFS 对照核对差异</x:v>
      </x:c>
      <x:c r="I293" s="11" t="str">
        <x:v>delete_standby_test</x:v>
      </x:c>
      <x:c r="J293" s="11" t="str">
        <x:v>E09；S06；S07</x:v>
      </x:c>
      <x:c r="K293" s="11" t="str">
        <x:v>参数化用例</x:v>
      </x:c>
      <x:c r="L293" s="11" t="str">
        <x:v>2026-10-10 历史结果；当前构建及三网盘尚未按严格配置复测。</x:v>
      </x:c>
      <x:c r="M293" s="11" t="str">
        <x:v>WinFsp tests 2.1.25156；--external --resilient +*</x:v>
      </x:c>
      <x:c r="N293" s="11" t="str">
        <x:v>Windows 完整语义目标；失败不自动排除</x:v>
      </x:c>
      <x:c r="O293" s="11" t="str">
        <x:v>本轮未复测</x:v>
      </x:c>
      <x:c r="P293" s="11" t="str">
        <x:v>原版外部套件</x:v>
      </x:c>
    </x:row>
    <x:row r="294" ht="44" customHeight="1">
      <x:c r="A294" s="10" t="str">
        <x:v>NATIVE-029</x:v>
      </x:c>
      <x:c r="B294" s="10" t="str">
        <x:v>L3</x:v>
      </x:c>
      <x:c r="C294" s="10" t="str">
        <x:v>并发与文件锁</x:v>
      </x:c>
      <x:c r="D294" s="10" t="str">
        <x:v>缓存待机状态下重命名（原版）</x:v>
      </x:c>
      <x:c r="E294" s="10" t="str">
        <x:v>B Windows / WinFsp</x:v>
      </x:c>
      <x:c r="F294" s="10" t="str">
        <x:v>已通过</x:v>
      </x:c>
      <x:c r="G294" s="10" t="str">
        <x:v>本地后端 JuiceFS 同步／后台；NTFS 与直连结果在历史执行明细</x:v>
      </x:c>
      <x:c r="H294" s="10" t="str">
        <x:v>原版 WinFsp 2.1 外部模式的全部启用断言；与 NTFS 对照核对差异</x:v>
      </x:c>
      <x:c r="I294" s="10" t="str">
        <x:v>rename_standby_test</x:v>
      </x:c>
      <x:c r="J294" s="10" t="str">
        <x:v>E09；S06；S07</x:v>
      </x:c>
      <x:c r="K294" s="10" t="str">
        <x:v>参数化用例</x:v>
      </x:c>
      <x:c r="L294" s="10" t="str">
        <x:v>2026-10-10 历史结果；当前构建及三网盘尚未按严格配置复测。</x:v>
      </x:c>
      <x:c r="M294" s="10" t="str">
        <x:v>WinFsp tests 2.1.25156；--external --resilient +*</x:v>
      </x:c>
      <x:c r="N294" s="10" t="str">
        <x:v>Windows 完整语义目标；失败不自动排除</x:v>
      </x:c>
      <x:c r="O294" s="10" t="str">
        <x:v>本轮未复测</x:v>
      </x:c>
      <x:c r="P294" s="10" t="str">
        <x:v>原版外部套件</x:v>
      </x:c>
    </x:row>
    <x:row r="295" ht="44" customHeight="1">
      <x:c r="A295" s="11" t="str">
        <x:v>WFP-14</x:v>
      </x:c>
      <x:c r="B295" s="11" t="str">
        <x:v>L3</x:v>
      </x:c>
      <x:c r="C295" s="11" t="str">
        <x:v>并发与文件锁</x:v>
      </x:c>
      <x:c r="D295" s="11" t="str">
        <x:v>缓存待机状态下删除</x:v>
      </x:c>
      <x:c r="E295" s="11" t="str">
        <x:v>B Windows / WinFsp</x:v>
      </x:c>
      <x:c r="F295" s="11" t="str">
        <x:v>已通过</x:v>
      </x:c>
      <x:c r="G295" s="11" t="str">
        <x:v>本地、百度、Google、OneDrive；同步/后台，共 8 组</x:v>
      </x:c>
      <x:c r="H295" s="11" t="str">
        <x:v>该用例在官方 FUSE 兼容参数下通过；断言范围以原用例为准</x:v>
      </x:c>
      <x:c r="I295" s="11" t="str">
        <x:v>delete_standby_test</x:v>
      </x:c>
      <x:c r="J295" s="11" t="str">
        <x:v>E01；S04</x:v>
      </x:c>
      <x:c r="K295" s="11" t="str">
        <x:v>用例</x:v>
      </x:c>
      <x:c r="L295" s="11" t="str">
        <x:v>--fuse-external --resilient --case-insensitive-cmp；不代表全部 NTFS 语义</x:v>
      </x:c>
      <x:c r="M295" s="11" t="str">
        <x:v>juicedata/winfsp testing_suit_20250324；默认 FUSE 参数</x:v>
      </x:c>
      <x:c r="N295" s="11" t="str">
        <x:v>Windows 单机产品；按已测范围解释</x:v>
      </x:c>
      <x:c r="O295" s="11" t="str">
        <x:v>本轮仅补充矩阵，未复测</x:v>
      </x:c>
      <x:c r="P295" s="11" t="str">
        <x:v>JuiceFS fork 外部</x:v>
      </x:c>
    </x:row>
    <x:row r="296" ht="44" customHeight="1">
      <x:c r="A296" s="10" t="str">
        <x:v>WFP-22</x:v>
      </x:c>
      <x:c r="B296" s="10" t="str">
        <x:v>L3</x:v>
      </x:c>
      <x:c r="C296" s="10" t="str">
        <x:v>并发与文件锁</x:v>
      </x:c>
      <x:c r="D296" s="10" t="str">
        <x:v>缓存待机状态下重命名</x:v>
      </x:c>
      <x:c r="E296" s="10" t="str">
        <x:v>B Windows / WinFsp</x:v>
      </x:c>
      <x:c r="F296" s="10" t="str">
        <x:v>已通过</x:v>
      </x:c>
      <x:c r="G296" s="10" t="str">
        <x:v>本地、百度、Google、OneDrive；同步/后台，共 8 组</x:v>
      </x:c>
      <x:c r="H296" s="10" t="str">
        <x:v>该用例在官方 FUSE 兼容参数下通过；断言范围以原用例为准</x:v>
      </x:c>
      <x:c r="I296" s="10" t="str">
        <x:v>rename_standby_test</x:v>
      </x:c>
      <x:c r="J296" s="10" t="str">
        <x:v>E01；S04</x:v>
      </x:c>
      <x:c r="K296" s="10" t="str">
        <x:v>用例</x:v>
      </x:c>
      <x:c r="L296" s="10" t="str">
        <x:v>--fuse-external --resilient --case-insensitive-cmp；不代表全部 NTFS 语义</x:v>
      </x:c>
      <x:c r="M296" s="10" t="str">
        <x:v>juicedata/winfsp testing_suit_20250324；默认 FUSE 参数</x:v>
      </x:c>
      <x:c r="N296" s="10" t="str">
        <x:v>Windows 单机产品；按已测范围解释</x:v>
      </x:c>
      <x:c r="O296" s="10" t="str">
        <x:v>本轮仅补充矩阵，未复测</x:v>
      </x:c>
      <x:c r="P296" s="10" t="str">
        <x:v>JuiceFS fork 外部</x:v>
      </x:c>
    </x:row>
    <x:row r="297" ht="44" customHeight="1">
      <x:c r="A297" s="11" t="str">
        <x:v>JFS-SMOKE-03</x:v>
      </x:c>
      <x:c r="B297" s="11" t="str">
        <x:v>L3</x:v>
      </x:c>
      <x:c r="C297" s="11" t="str">
        <x:v>挂载与元数据生命周期</x:v>
      </x:c>
      <x:c r="D297" s="11" t="str">
        <x:v>官方命令冒烟：debug</x:v>
      </x:c>
      <x:c r="E297" s="11" t="str">
        <x:v>A JuiceFS 官方 Windows</x:v>
      </x:c>
      <x:c r="F297" s="11" t="str">
        <x:v>待执行</x:v>
      </x:c>
      <x:c r="G297" s="11" t="str">
        <x:v>wintest.yml 的 basic subcommand tests</x:v>
      </x:c>
      <x:c r="H297" s="11" t="str">
        <x:v>按官方步骤成功执行并校验输出；不能用集成中的旁路调用推定已跑该步骤</x:v>
      </x:c>
      <x:c r="I297" s="11" t="str">
        <x:v>debug</x:v>
      </x:c>
      <x:c r="J297" s="11" t="str">
        <x:v>S08；E11</x:v>
      </x:c>
      <x:c r="K297" s="11" t="str">
        <x:v>命令入口</x:v>
      </x:c>
      <x:c r="L297" s="11" t="str">
        <x:v>已有产品调用仅为局部证据；完整官方步骤尚未登记为执行通过</x:v>
      </x:c>
      <x:c r="M297" s="11" t="str">
        <x:v>JuiceFS 30190ca1094d26e85f19a979ca51b0ea19af1eaa</x:v>
      </x:c>
      <x:c r="N297" s="11" t="str">
        <x:v>Windows 工具链</x:v>
      </x:c>
      <x:c r="O297" s="11" t="str">
        <x:v>本轮未执行</x:v>
      </x:c>
      <x:c r="P297" s="11" t="str">
        <x:v>官方命令冒烟</x:v>
      </x:c>
    </x:row>
    <x:row r="298" ht="42" customHeight="1">
      <x:c r="A298" s="10" t="str">
        <x:v>OBS-002</x:v>
      </x:c>
      <x:c r="B298" s="10" t="str">
        <x:v>L3</x:v>
      </x:c>
      <x:c r="C298" s="10" t="str">
        <x:v>应用与界面兼容</x:v>
      </x:c>
      <x:c r="D298" s="10" t="str">
        <x:v>活动曲线与速率聚合</x:v>
      </x:c>
      <x:c r="E298" s="10" t="str">
        <x:v>C 项目补充</x:v>
      </x:c>
      <x:c r="F298" s="10" t="str">
        <x:v>已通过</x:v>
      </x:c>
      <x:c r="G298" s="10" t="str">
        <x:v>应用单元测试</x:v>
      </x:c>
      <x:c r="H298" s="10" t="str">
        <x:v>区分上传/下载、保留未知间隔、多挂载聚合正确</x:v>
      </x:c>
      <x:c r="I298" s="10" t="str">
        <x:v>tests/telemetry.test.cjs</x:v>
      </x:c>
      <x:c r="J298" s="10" t="str">
        <x:v>E03</x:v>
      </x:c>
      <x:c r="K298" s="10" t="str">
        <x:v>场景组</x:v>
      </x:c>
      <x:c r="L298" s="10" t="str">
        <x:v>不代表真实性能基准已完成</x:v>
      </x:c>
      <x:c r="M298" s="10" t="str">
        <x:v>项目代码与参数见对应证据</x:v>
      </x:c>
      <x:c r="N298" s="10" t="str">
        <x:v>Windows 单机产品；按已测范围解释</x:v>
      </x:c>
      <x:c r="O298" s="10" t="str">
        <x:v>本轮仅补充矩阵，未复测</x:v>
      </x:c>
      <x:c r="P298" s="10" t="str">
        <x:v>项目场景</x:v>
      </x:c>
    </x:row>
    <x:row r="299" ht="44" customHeight="1">
      <x:c r="A299" s="11" t="str">
        <x:v>PLAN-020</x:v>
      </x:c>
      <x:c r="B299" s="11" t="str">
        <x:v>L3</x:v>
      </x:c>
      <x:c r="C299" s="11" t="str">
        <x:v>应用与界面兼容</x:v>
      </x:c>
      <x:c r="D299" s="11" t="str">
        <x:v>资源管理器与解压缩工作流</x:v>
      </x:c>
      <x:c r="E299" s="11" t="str">
        <x:v>C 项目补充</x:v>
      </x:c>
      <x:c r="F299" s="11" t="str">
        <x:v>待补充</x:v>
      </x:c>
      <x:c r="G299" s="11" t="str">
        <x:v>资源管理器/压缩工具</x:v>
      </x:c>
      <x:c r="H299" s="11" t="str">
        <x:v>批量复制、取消、重试、覆盖与解压后内容正确</x:v>
      </x:c>
      <x:c r="I299" s="11" t="str">
        <x:v>拟补充场景；未记录可执行完整用例</x:v>
      </x:c>
      <x:c r="J299" s="11" t="str">
        <x:v>需求缺口分析；无通过证据</x:v>
      </x:c>
      <x:c r="K299" s="11" t="str">
        <x:v>待细化场景</x:v>
      </x:c>
      <x:c r="L299" s="11" t="str">
        <x:v>支持工具和版本需记录</x:v>
      </x:c>
      <x:c r="M299" s="11" t="str">
        <x:v>项目代码与参数见对应证据</x:v>
      </x:c>
      <x:c r="N299" s="11" t="str">
        <x:v>Windows 单机产品；按已测范围解释</x:v>
      </x:c>
      <x:c r="O299" s="11" t="str">
        <x:v>本轮仅补充矩阵，未复测</x:v>
      </x:c>
      <x:c r="P299" s="11" t="str">
        <x:v>项目场景</x:v>
      </x:c>
    </x:row>
    <x:row r="300" ht="44" customHeight="1">
      <x:c r="A300" s="10" t="str">
        <x:v>PLAN-023</x:v>
      </x:c>
      <x:c r="B300" s="10" t="str">
        <x:v>L3</x:v>
      </x:c>
      <x:c r="C300" s="10" t="str">
        <x:v>应用与界面兼容</x:v>
      </x:c>
      <x:c r="D300" s="10" t="str">
        <x:v>安装、升级与普通用户运行</x:v>
      </x:c>
      <x:c r="E300" s="10" t="str">
        <x:v>C 项目补充</x:v>
      </x:c>
      <x:c r="F300" s="10" t="str">
        <x:v>待补充</x:v>
      </x:c>
      <x:c r="G300" s="10" t="str">
        <x:v>支持的 Windows/WinFsp 版本</x:v>
      </x:c>
      <x:c r="H300" s="10" t="str">
        <x:v>升级后卷身份、缓存配置和数据保留；普通用户行为符合支持范围</x:v>
      </x:c>
      <x:c r="I300" s="10" t="str">
        <x:v>拟补充场景；未记录可执行完整用例</x:v>
      </x:c>
      <x:c r="J300" s="10" t="str">
        <x:v>需求缺口分析；无通过证据</x:v>
      </x:c>
      <x:c r="K300" s="10" t="str">
        <x:v>待细化场景</x:v>
      </x:c>
      <x:c r="L300" s="10" t="str">
        <x:v>现有部分安装测试不等同本次 JuiceFS 配置升级矩阵</x:v>
      </x:c>
      <x:c r="M300" s="10" t="str">
        <x:v>项目代码与参数见对应证据</x:v>
      </x:c>
      <x:c r="N300" s="10" t="str">
        <x:v>Windows 单机产品；按已测范围解释</x:v>
      </x:c>
      <x:c r="O300" s="10" t="str">
        <x:v>本轮仅补充矩阵，未复测</x:v>
      </x:c>
      <x:c r="P300" s="10" t="str">
        <x:v>项目场景</x:v>
      </x:c>
    </x:row>
    <x:row r="301" ht="42" customHeight="1">
      <x:c r="A301" s="11" t="str">
        <x:v>UI-001</x:v>
      </x:c>
      <x:c r="B301" s="11" t="str">
        <x:v>L3</x:v>
      </x:c>
      <x:c r="C301" s="11" t="str">
        <x:v>应用与界面兼容</x:v>
      </x:c>
      <x:c r="D301" s="11" t="str">
        <x:v>缓存界面与 IPC 保存、重载</x:v>
      </x:c>
      <x:c r="E301" s="11" t="str">
        <x:v>C 项目补充</x:v>
      </x:c>
      <x:c r="F301" s="11" t="str">
        <x:v>已通过</x:v>
      </x:c>
      <x:c r="G301" s="11" t="str">
        <x:v>源码窗口及本地 Windows 预览包</x:v>
      </x:c>
      <x:c r="H301" s="11" t="str">
        <x:v>默认开关、保存/重载、重命名保留配置且无渲染错误</x:v>
      </x:c>
      <x:c r="I301" s="11" t="str">
        <x:v>windows-volume-ui-smoke.cjs</x:v>
      </x:c>
      <x:c r="J301" s="11" t="str">
        <x:v>E05；E06</x:v>
      </x:c>
      <x:c r="K301" s="11" t="str">
        <x:v>场景组</x:v>
      </x:c>
      <x:c r="L301" s="11" t="str">
        <x:v>界面检查不代替文件系统正确性验证</x:v>
      </x:c>
      <x:c r="M301" s="11" t="str">
        <x:v>项目代码与参数见对应证据</x:v>
      </x:c>
      <x:c r="N301" s="11" t="str">
        <x:v>Windows 单机产品；按已测范围解释</x:v>
      </x:c>
      <x:c r="O301" s="11" t="str">
        <x:v>本轮仅补充矩阵，未复测</x:v>
      </x:c>
      <x:c r="P301" s="11" t="str">
        <x:v>项目场景</x:v>
      </x:c>
    </x:row>
    <x:row r="302" ht="44" customHeight="1">
      <x:c r="A302" s="10" t="str">
        <x:v>JFS-PY-09</x:v>
      </x:c>
      <x:c r="B302" s="10" t="str">
        <x:v>L3</x:v>
      </x:c>
      <x:c r="C302" s="10" t="str">
        <x:v>平台与扩展边界</x:v>
      </x:c>
      <x:c r="D302" s="10" t="str">
        <x:v>Python 符号链接用例</x:v>
      </x:c>
      <x:c r="E302" s="10" t="str">
        <x:v>A JuiceFS 官方 Windows</x:v>
      </x:c>
      <x:c r="F302" s="10" t="str">
        <x:v>已跳过</x:v>
      </x:c>
      <x:c r="G302" s="10" t="str">
        <x:v>本地、百度、Google、OneDrive；同步/后台，共 8 组</x:v>
      </x:c>
      <x:c r="H302" s="10" t="str">
        <x:v>建立链接并访问目标；当前上游跳过，不能计为通过</x:v>
      </x:c>
      <x:c r="I302" s="10" t="str">
        <x:v>test_symlinks</x:v>
      </x:c>
      <x:c r="J302" s="10" t="str">
        <x:v>E01；S01</x:v>
      </x:c>
      <x:c r="K302" s="10" t="str">
        <x:v>用例</x:v>
      </x:c>
      <x:c r="L302" s="10" t="str">
        <x:v>保留上游跳过；另行明确链接支持范围</x:v>
      </x:c>
      <x:c r="M302" s="10" t="str">
        <x:v>JuiceFS 30190ca；FSX 工具版本见 S02</x:v>
      </x:c>
      <x:c r="N302" s="10" t="str">
        <x:v>Windows 单机产品；按已测范围解释</x:v>
      </x:c>
      <x:c r="O302" s="10" t="str">
        <x:v>本轮仅补充矩阵，未复测</x:v>
      </x:c>
      <x:c r="P302" s="10" t="str">
        <x:v>Windows Python</x:v>
      </x:c>
    </x:row>
    <x:row r="303" ht="60" customHeight="1">
      <x:c r="A303" s="11" t="str">
        <x:v>NATIVE-063</x:v>
      </x:c>
      <x:c r="B303" s="11" t="str">
        <x:v>L3</x:v>
      </x:c>
      <x:c r="C303" s="11" t="str">
        <x:v>平台与扩展边界</x:v>
      </x:c>
      <x:c r="D303" s="11" t="str">
        <x:v>自定义 GUID 重解析点（原版）</x:v>
      </x:c>
      <x:c r="E303" s="11" t="str">
        <x:v>B Windows / WinFsp</x:v>
      </x:c>
      <x:c r="F303" s="11" t="str">
        <x:v>已失败</x:v>
      </x:c>
      <x:c r="G303" s="11" t="str">
        <x:v>本地后端 JuiceFS 同步／后台；NTFS 与直连结果在历史执行明细</x:v>
      </x:c>
      <x:c r="H303" s="11" t="str">
        <x:v>原版 WinFsp 2.1 外部模式的全部启用断言；与 NTFS 对照核对差异</x:v>
      </x:c>
      <x:c r="I303" s="11" t="str">
        <x:v>reparse_guid_test</x:v>
      </x:c>
      <x:c r="J303" s="11" t="str">
        <x:v>E09；S06；S07</x:v>
      </x:c>
      <x:c r="K303" s="11" t="str">
        <x:v>参数化用例</x:v>
      </x:c>
      <x:c r="L303" s="11" t="str">
        <x:v>2026-10-10 历史结果；当前构建及三网盘尚未按严格配置复测。 ASSERT(Success) failed at reparse-test.c:65:reparse_guid_dotest (err=c0000277:4394)</x:v>
      </x:c>
      <x:c r="M303" s="11" t="str">
        <x:v>WinFsp tests 2.1.25156；--external --resilient +*</x:v>
      </x:c>
      <x:c r="N303" s="11" t="str">
        <x:v>Windows 完整语义目标；失败不自动排除</x:v>
      </x:c>
      <x:c r="O303" s="11" t="str">
        <x:v>本轮未复测</x:v>
      </x:c>
      <x:c r="P303" s="11" t="str">
        <x:v>原版外部套件</x:v>
      </x:c>
    </x:row>
    <x:row r="304" ht="60" customHeight="1">
      <x:c r="A304" s="10" t="str">
        <x:v>NATIVE-064</x:v>
      </x:c>
      <x:c r="B304" s="10" t="str">
        <x:v>L3</x:v>
      </x:c>
      <x:c r="C304" s="10" t="str">
        <x:v>平台与扩展边界</x:v>
      </x:c>
      <x:c r="D304" s="10" t="str">
        <x:v>NFS 重解析点（原版）</x:v>
      </x:c>
      <x:c r="E304" s="10" t="str">
        <x:v>B Windows / WinFsp</x:v>
      </x:c>
      <x:c r="F304" s="10" t="str">
        <x:v>已失败</x:v>
      </x:c>
      <x:c r="G304" s="10" t="str">
        <x:v>本地后端 JuiceFS 同步／后台；NTFS 与直连结果在历史执行明细</x:v>
      </x:c>
      <x:c r="H304" s="10" t="str">
        <x:v>原版 WinFsp 2.1 外部模式的全部启用断言；与 NTFS 对照核对差异</x:v>
      </x:c>
      <x:c r="I304" s="10" t="str">
        <x:v>reparse_nfs_test</x:v>
      </x:c>
      <x:c r="J304" s="10" t="str">
        <x:v>E09；S06；S07</x:v>
      </x:c>
      <x:c r="K304" s="10" t="str">
        <x:v>参数化用例</x:v>
      </x:c>
      <x:c r="L304" s="10" t="str">
        <x:v>2026-10-10 历史结果；当前构建及三网盘尚未按严格配置复测。 ASSERT(Success) failed at reparse-test.c:205:reparse_nfs_dotest (err=c0000022:5)</x:v>
      </x:c>
      <x:c r="M304" s="10" t="str">
        <x:v>WinFsp tests 2.1.25156；--external --resilient +*</x:v>
      </x:c>
      <x:c r="N304" s="10" t="str">
        <x:v>Windows 完整语义目标；失败不自动排除</x:v>
      </x:c>
      <x:c r="O304" s="10" t="str">
        <x:v>本轮未复测</x:v>
      </x:c>
      <x:c r="P304" s="10" t="str">
        <x:v>原版外部套件</x:v>
      </x:c>
    </x:row>
    <x:row r="305" ht="60" customHeight="1">
      <x:c r="A305" s="11" t="str">
        <x:v>NATIVE-065</x:v>
      </x:c>
      <x:c r="B305" s="11" t="str">
        <x:v>L3</x:v>
      </x:c>
      <x:c r="C305" s="11" t="str">
        <x:v>平台与扩展边界</x:v>
      </x:c>
      <x:c r="D305" s="11" t="str">
        <x:v>符号链接重解析点（原版）</x:v>
      </x:c>
      <x:c r="E305" s="11" t="str">
        <x:v>B Windows / WinFsp</x:v>
      </x:c>
      <x:c r="F305" s="11" t="str">
        <x:v>已失败</x:v>
      </x:c>
      <x:c r="G305" s="11" t="str">
        <x:v>本地后端 JuiceFS 同步／后台；NTFS 与直连结果在历史执行明细</x:v>
      </x:c>
      <x:c r="H305" s="11" t="str">
        <x:v>原版 WinFsp 2.1 外部模式的全部启用断言；与 NTFS 对照核对差异</x:v>
      </x:c>
      <x:c r="I305" s="11" t="str">
        <x:v>reparse_symlink_test</x:v>
      </x:c>
      <x:c r="J305" s="11" t="str">
        <x:v>E09；S06；S07</x:v>
      </x:c>
      <x:c r="K305" s="11" t="str">
        <x:v>参数化用例</x:v>
      </x:c>
      <x:c r="L305" s="11" t="str">
        <x:v>2026-10-10 历史结果；当前构建及三网盘尚未按严格配置复测。 ASSERT(ERROR_PRIVILEGE_NOT_HELD == GetLastError()) failed at reparse-test.c:295:reparse_symlink_dotest0 (err=c0000010:1)</x:v>
      </x:c>
      <x:c r="M305" s="11" t="str">
        <x:v>WinFsp tests 2.1.25156；--external --resilient +*</x:v>
      </x:c>
      <x:c r="N305" s="11" t="str">
        <x:v>Windows 完整语义目标；失败不自动排除</x:v>
      </x:c>
      <x:c r="O305" s="11" t="str">
        <x:v>本轮未复测</x:v>
      </x:c>
      <x:c r="P305" s="11" t="str">
        <x:v>原版外部套件</x:v>
      </x:c>
    </x:row>
    <x:row r="306" ht="76" customHeight="1">
      <x:c r="A306" s="10" t="str">
        <x:v>NATIVE-066</x:v>
      </x:c>
      <x:c r="B306" s="10" t="str">
        <x:v>L3</x:v>
      </x:c>
      <x:c r="C306" s="10" t="str">
        <x:v>平台与扩展边界</x:v>
      </x:c>
      <x:c r="D306" s="10" t="str">
        <x:v>相对符号链接重解析点（原版）</x:v>
      </x:c>
      <x:c r="E306" s="10" t="str">
        <x:v>B Windows / WinFsp</x:v>
      </x:c>
      <x:c r="F306" s="10" t="str">
        <x:v>已失败</x:v>
      </x:c>
      <x:c r="G306" s="10" t="str">
        <x:v>本地后端 JuiceFS 同步／后台；NTFS 与直连结果在历史执行明细</x:v>
      </x:c>
      <x:c r="H306" s="10" t="str">
        <x:v>原版 WinFsp 2.1 外部模式的全部启用断言；与 NTFS 对照核对差异</x:v>
      </x:c>
      <x:c r="I306" s="10" t="str">
        <x:v>reparse_symlink_relative_test</x:v>
      </x:c>
      <x:c r="J306" s="10" t="str">
        <x:v>E09；S06；S07</x:v>
      </x:c>
      <x:c r="K306" s="10" t="str">
        <x:v>参数化用例</x:v>
      </x:c>
      <x:c r="L306" s="10" t="str">
        <x:v>2026-10-10 历史结果；当前构建及三网盘尚未按严格配置复测。 ASSERT(ERROR_PRIVILEGE_NOT_HELD == GetLastError()) failed at reparse-test.c:530:reparse_symlink_relative_dotest (err=c0000010:1)</x:v>
      </x:c>
      <x:c r="M306" s="10" t="str">
        <x:v>WinFsp tests 2.1.25156；--external --resilient +*</x:v>
      </x:c>
      <x:c r="N306" s="10" t="str">
        <x:v>Windows 完整语义目标；失败不自动排除</x:v>
      </x:c>
      <x:c r="O306" s="10" t="str">
        <x:v>本轮未复测</x:v>
      </x:c>
      <x:c r="P306" s="10" t="str">
        <x:v>原版外部套件</x:v>
      </x:c>
    </x:row>
    <x:row r="307" ht="44" customHeight="1">
      <x:c r="A307" s="11" t="str">
        <x:v>PLAN-021</x:v>
      </x:c>
      <x:c r="B307" s="11" t="str">
        <x:v>L3</x:v>
      </x:c>
      <x:c r="C307" s="11" t="str">
        <x:v>平台与扩展边界</x:v>
      </x:c>
      <x:c r="D307" s="11" t="str">
        <x:v>完整 Windows 语义支持契约核对</x:v>
      </x:c>
      <x:c r="E307" s="11" t="str">
        <x:v>C 项目补充</x:v>
      </x:c>
      <x:c r="F307" s="11" t="str">
        <x:v>待补充</x:v>
      </x:c>
      <x:c r="G307" s="11" t="str">
        <x:v>当前 Windows 产品支持范围</x:v>
      </x:c>
      <x:c r="H307" s="11" t="str">
        <x:v>对未选可选用例逐项标支持/不支持并验证行为</x:v>
      </x:c>
      <x:c r="I307" s="11" t="str">
        <x:v>拟补充场景；未记录可执行完整用例</x:v>
      </x:c>
      <x:c r="J307" s="11" t="str">
        <x:v>需求缺口分析；无通过证据</x:v>
      </x:c>
      <x:c r="K307" s="11" t="str">
        <x:v>范围核对任务</x:v>
      </x:c>
      <x:c r="L307" s="11" t="str">
        <x:v>原版 117 项、fork 91 项与内部 41 项已逐项登记；本项保留为产品契约核对任务，不是另一组独立用例</x:v>
      </x:c>
      <x:c r="M307" s="11" t="str">
        <x:v>项目代码与参数见对应证据</x:v>
      </x:c>
      <x:c r="N307" s="11" t="str">
        <x:v>Windows 单机产品；按已测范围解释</x:v>
      </x:c>
      <x:c r="O307" s="11" t="str">
        <x:v>本轮仅补充矩阵，未复测</x:v>
      </x:c>
      <x:c r="P307" s="11" t="str">
        <x:v>项目场景</x:v>
      </x:c>
    </x:row>
    <x:row r="308" ht="44" customHeight="1">
      <x:c r="A308" s="10" t="str">
        <x:v>PLAN-022</x:v>
      </x:c>
      <x:c r="B308" s="10" t="str">
        <x:v>L3</x:v>
      </x:c>
      <x:c r="C308" s="10" t="str">
        <x:v>平台与扩展边界</x:v>
      </x:c>
      <x:c r="D308" s="10" t="str">
        <x:v>链接、替代数据流、ACL 继承边界</x:v>
      </x:c>
      <x:c r="E308" s="10" t="str">
        <x:v>C 项目补充</x:v>
      </x:c>
      <x:c r="F308" s="10" t="str">
        <x:v>待补充</x:v>
      </x:c>
      <x:c r="G308" s="10" t="str">
        <x:v>按声明支持的 Windows 功能</x:v>
      </x:c>
      <x:c r="H308" s="10" t="str">
        <x:v>分别核对支持和拒绝语义；不能因子集通过声称全支持</x:v>
      </x:c>
      <x:c r="I308" s="10" t="str">
        <x:v>拟补充场景；未记录可执行完整用例</x:v>
      </x:c>
      <x:c r="J308" s="10" t="str">
        <x:v>需求缺口分析；无通过证据</x:v>
      </x:c>
      <x:c r="K308" s="10" t="str">
        <x:v>范围核对任务</x:v>
      </x:c>
      <x:c r="L308" s="10" t="str">
        <x:v>具体入口见 NATIVE-*、WFP-OPT-*；已发现的历史失败不能标成未测，也不能因当前不支持而删出目标</x:v>
      </x:c>
      <x:c r="M308" s="10" t="str">
        <x:v>项目代码与参数见对应证据</x:v>
      </x:c>
      <x:c r="N308" s="10" t="str">
        <x:v>Windows 单机产品；按已测范围解释</x:v>
      </x:c>
      <x:c r="O308" s="10" t="str">
        <x:v>本轮仅补充矩阵，未复测</x:v>
      </x:c>
      <x:c r="P308" s="10" t="str">
        <x:v>项目场景</x:v>
      </x:c>
    </x:row>
    <x:row r="309" ht="44" customHeight="1">
      <x:c r="A309" s="11" t="str">
        <x:v>WFP-52</x:v>
      </x:c>
      <x:c r="B309" s="11" t="str">
        <x:v>L3</x:v>
      </x:c>
      <x:c r="C309" s="11" t="str">
        <x:v>平台与扩展边界</x:v>
      </x:c>
      <x:c r="D309" s="11" t="str">
        <x:v>NFS 重解析点</x:v>
      </x:c>
      <x:c r="E309" s="11" t="str">
        <x:v>B Windows / WinFsp</x:v>
      </x:c>
      <x:c r="F309" s="11" t="str">
        <x:v>已通过</x:v>
      </x:c>
      <x:c r="G309" s="11" t="str">
        <x:v>本地、百度、Google、OneDrive；同步/后台，共 8 组</x:v>
      </x:c>
      <x:c r="H309" s="11" t="str">
        <x:v>该用例在官方 FUSE 兼容参数下通过；断言范围以原用例为准</x:v>
      </x:c>
      <x:c r="I309" s="11" t="str">
        <x:v>reparse_nfs_test</x:v>
      </x:c>
      <x:c r="J309" s="11" t="str">
        <x:v>E01；S04</x:v>
      </x:c>
      <x:c r="K309" s="11" t="str">
        <x:v>用例</x:v>
      </x:c>
      <x:c r="L309" s="11" t="str">
        <x:v>--fuse-external --resilient --case-insensitive-cmp；不代表全部 NTFS 语义</x:v>
      </x:c>
      <x:c r="M309" s="11" t="str">
        <x:v>juicedata/winfsp testing_suit_20250324；默认 FUSE 参数</x:v>
      </x:c>
      <x:c r="N309" s="11" t="str">
        <x:v>Windows 单机产品；按已测范围解释</x:v>
      </x:c>
      <x:c r="O309" s="11" t="str">
        <x:v>本轮仅补充矩阵，未复测</x:v>
      </x:c>
      <x:c r="P309" s="11" t="str">
        <x:v>JuiceFS fork 外部</x:v>
      </x:c>
    </x:row>
    <x:row r="310" ht="44" customHeight="1">
      <x:c r="A310" s="10" t="str">
        <x:v>WFP-53</x:v>
      </x:c>
      <x:c r="B310" s="10" t="str">
        <x:v>L3</x:v>
      </x:c>
      <x:c r="C310" s="10" t="str">
        <x:v>平台与扩展边界</x:v>
      </x:c>
      <x:c r="D310" s="10" t="str">
        <x:v>符号链接重解析点</x:v>
      </x:c>
      <x:c r="E310" s="10" t="str">
        <x:v>B Windows / WinFsp</x:v>
      </x:c>
      <x:c r="F310" s="10" t="str">
        <x:v>已通过</x:v>
      </x:c>
      <x:c r="G310" s="10" t="str">
        <x:v>本地、百度、Google、OneDrive；同步/后台，共 8 组</x:v>
      </x:c>
      <x:c r="H310" s="10" t="str">
        <x:v>该用例在官方 FUSE 兼容参数下通过；断言范围以原用例为准</x:v>
      </x:c>
      <x:c r="I310" s="10" t="str">
        <x:v>reparse_symlink_test</x:v>
      </x:c>
      <x:c r="J310" s="10" t="str">
        <x:v>E01；S04</x:v>
      </x:c>
      <x:c r="K310" s="10" t="str">
        <x:v>用例</x:v>
      </x:c>
      <x:c r="L310" s="10" t="str">
        <x:v>--fuse-external --resilient --case-insensitive-cmp；不代表全部 NTFS 语义</x:v>
      </x:c>
      <x:c r="M310" s="10" t="str">
        <x:v>juicedata/winfsp testing_suit_20250324；默认 FUSE 参数</x:v>
      </x:c>
      <x:c r="N310" s="10" t="str">
        <x:v>Windows 单机产品；按已测范围解释</x:v>
      </x:c>
      <x:c r="O310" s="10" t="str">
        <x:v>本轮仅补充矩阵，未复测</x:v>
      </x:c>
      <x:c r="P310" s="10" t="str">
        <x:v>JuiceFS fork 外部</x:v>
      </x:c>
    </x:row>
    <x:row r="311" ht="44" customHeight="1">
      <x:c r="A311" s="11" t="str">
        <x:v>WFP-54</x:v>
      </x:c>
      <x:c r="B311" s="11" t="str">
        <x:v>L3</x:v>
      </x:c>
      <x:c r="C311" s="11" t="str">
        <x:v>平台与扩展边界</x:v>
      </x:c>
      <x:c r="D311" s="11" t="str">
        <x:v>相对符号链接重解析点</x:v>
      </x:c>
      <x:c r="E311" s="11" t="str">
        <x:v>B Windows / WinFsp</x:v>
      </x:c>
      <x:c r="F311" s="11" t="str">
        <x:v>已通过</x:v>
      </x:c>
      <x:c r="G311" s="11" t="str">
        <x:v>本地、百度、Google、OneDrive；同步/后台，共 8 组</x:v>
      </x:c>
      <x:c r="H311" s="11" t="str">
        <x:v>该用例在官方 FUSE 兼容参数下通过；断言范围以原用例为准</x:v>
      </x:c>
      <x:c r="I311" s="11" t="str">
        <x:v>reparse_symlink_relative_test</x:v>
      </x:c>
      <x:c r="J311" s="11" t="str">
        <x:v>E01；S04</x:v>
      </x:c>
      <x:c r="K311" s="11" t="str">
        <x:v>用例</x:v>
      </x:c>
      <x:c r="L311" s="11" t="str">
        <x:v>--fuse-external --resilient --case-insensitive-cmp；不代表全部 NTFS 语义</x:v>
      </x:c>
      <x:c r="M311" s="11" t="str">
        <x:v>juicedata/winfsp testing_suit_20250324；默认 FUSE 参数</x:v>
      </x:c>
      <x:c r="N311" s="11" t="str">
        <x:v>Windows 单机产品；按已测范围解释</x:v>
      </x:c>
      <x:c r="O311" s="11" t="str">
        <x:v>本轮仅补充矩阵，未复测</x:v>
      </x:c>
      <x:c r="P311" s="11" t="str">
        <x:v>JuiceFS fork 外部</x:v>
      </x:c>
    </x:row>
    <x:row r="312" ht="44" customHeight="1">
      <x:c r="A312" s="10" t="str">
        <x:v>WFP-OPT-09</x:v>
      </x:c>
      <x:c r="B312" s="10" t="str">
        <x:v>L3</x:v>
      </x:c>
      <x:c r="C312" s="10" t="str">
        <x:v>平台与扩展边界</x:v>
      </x:c>
      <x:c r="D312" s="10" t="str">
        <x:v>自定义 GUID 重解析点（JuiceFS fork）</x:v>
      </x:c>
      <x:c r="E312" s="10" t="str">
        <x:v>B Windows / WinFsp</x:v>
      </x:c>
      <x:c r="F312" s="10" t="str">
        <x:v>待执行</x:v>
      </x:c>
      <x:c r="G312" s="10" t="str">
        <x:v>JuiceFS 测试包全部外部模式；此版本无逐项执行证据</x:v>
      </x:c>
      <x:c r="H312" s="10" t="str">
        <x:v>保留该测试包断言；原版同名结果不能转记为此包通过</x:v>
      </x:c>
      <x:c r="I312" s="10" t="str">
        <x:v>reparse_guid_test</x:v>
      </x:c>
      <x:c r="J312" s="10" t="str">
        <x:v>S04；E10</x:v>
      </x:c>
      <x:c r="K312" s="10" t="str">
        <x:v>用例</x:v>
      </x:c>
      <x:c r="L312" s="10" t="str">
        <x:v>已完整登记；原版同名入口见 NATIVE-063，执行版本和参数不同</x:v>
      </x:c>
      <x:c r="M312" s="10" t="str">
        <x:v>juicedata/winfsp testing_suit_20250324；--external --resilient +*</x:v>
      </x:c>
      <x:c r="N312" s="10" t="str">
        <x:v>Windows 语义补测</x:v>
      </x:c>
      <x:c r="O312" s="10" t="str">
        <x:v>未执行该版本入口</x:v>
      </x:c>
      <x:c r="P312" s="10" t="str">
        <x:v>JuiceFS fork 外部</x:v>
      </x:c>
    </x:row>
    <x:row r="313" ht="44" customHeight="1">
      <x:c r="A313" s="11" t="str">
        <x:v>PLAN-026</x:v>
      </x:c>
      <x:c r="B313" s="11" t="str">
        <x:v>L4</x:v>
      </x:c>
      <x:c r="C313" s="11" t="str">
        <x:v>缓存与后台上传</x:v>
      </x:c>
      <x:c r="D313" s="11" t="str">
        <x:v>读缓存淘汰与读写竞争效率</x:v>
      </x:c>
      <x:c r="E313" s="11" t="str">
        <x:v>C 项目补充</x:v>
      </x:c>
      <x:c r="F313" s="11" t="str">
        <x:v>待补充</x:v>
      </x:c>
      <x:c r="G313" s="11" t="str">
        <x:v>工作集大于缓存目标</x:v>
      </x:c>
      <x:c r="H313" s="11" t="str">
        <x:v>测命中率、回收效果和读写竞争，不以 10 GiB 当写缓存硬限制</x:v>
      </x:c>
      <x:c r="I313" s="11" t="str">
        <x:v>拟补充场景；未记录可执行完整用例</x:v>
      </x:c>
      <x:c r="J313" s="11" t="str">
        <x:v>需求缺口分析；无通过证据</x:v>
      </x:c>
      <x:c r="K313" s="11" t="str">
        <x:v>待细化场景</x:v>
      </x:c>
      <x:c r="L313" s="11" t="str">
        <x:v>独立写缓存配额开发已暂缓；未实现参数不列为可执行测试</x:v>
      </x:c>
      <x:c r="M313" s="11" t="str">
        <x:v>项目代码与参数见对应证据</x:v>
      </x:c>
      <x:c r="N313" s="11" t="str">
        <x:v>Windows 单机产品；按已测范围解释</x:v>
      </x:c>
      <x:c r="O313" s="11" t="str">
        <x:v>本轮仅补充矩阵，未复测</x:v>
      </x:c>
      <x:c r="P313" s="11" t="str">
        <x:v>项目场景</x:v>
      </x:c>
    </x:row>
    <x:row r="314" ht="44" customHeight="1">
      <x:c r="A314" s="10" t="str">
        <x:v>JFS-CLI-19</x:v>
      </x:c>
      <x:c r="B314" s="10" t="str">
        <x:v>L4</x:v>
      </x:c>
      <x:c r="C314" s="10" t="str">
        <x:v>挂载与元数据生命周期</x:v>
      </x:c>
      <x:c r="D314" s="10" t="str">
        <x:v>分析性能日志</x:v>
      </x:c>
      <x:c r="E314" s="10" t="str">
        <x:v>A JuiceFS 官方 Windows</x:v>
      </x:c>
      <x:c r="F314" s="10" t="str">
        <x:v>待执行</x:v>
      </x:c>
      <x:c r="G314" s="10" t="str">
        <x:v>Windows；原流程 Redis；SQLite 适配需另行记录</x:v>
      </x:c>
      <x:c r="H314" s="10" t="str">
        <x:v>原函数断言与预期结果；环境适配不冒充原 CI 原样执行</x:v>
      </x:c>
      <x:c r="I314" s="10" t="str">
        <x:v>.github/scripts/command-win/profile.sh:8 / test_profile</x:v>
      </x:c>
      <x:c r="J314" s="10" t="str">
        <x:v>S08；E11</x:v>
      </x:c>
      <x:c r="K314" s="10" t="str">
        <x:v>命名函数</x:v>
      </x:c>
      <x:c r="L314" s="10" t="str">
        <x:v>上游 command-win.yml 已登记；本项目无执行此原始函数的证据。</x:v>
      </x:c>
      <x:c r="M314" s="10" t="str">
        <x:v>JuiceFS 30190ca1094d26e85f19a979ca51b0ea19af1eaa</x:v>
      </x:c>
      <x:c r="N314" s="10" t="str">
        <x:v>需隔离卷；原脚本含固定盘符和破坏性准备</x:v>
      </x:c>
      <x:c r="O314" s="10" t="str">
        <x:v>本轮未执行</x:v>
      </x:c>
      <x:c r="P314" s="10" t="str">
        <x:v>Windows CLI 函数</x:v>
      </x:c>
    </x:row>
    <x:row r="315" ht="44" customHeight="1">
      <x:c r="A315" s="11" t="str">
        <x:v>PLAN-024</x:v>
      </x:c>
      <x:c r="B315" s="11" t="str">
        <x:v>L4</x:v>
      </x:c>
      <x:c r="C315" s="11" t="str">
        <x:v>性能与规模</x:v>
      </x:c>
      <x:c r="D315" s="11" t="str">
        <x:v>读写吞吐与延迟基线</x:v>
      </x:c>
      <x:c r="E315" s="11" t="str">
        <x:v>C 项目补充</x:v>
      </x:c>
      <x:c r="F315" s="11" t="str">
        <x:v>待补充</x:v>
      </x:c>
      <x:c r="G315" s="11" t="str">
        <x:v>各后端；冷/热缓存；同步/后台</x:v>
      </x:c>
      <x:c r="H315" s="11" t="str">
        <x:v>区分前台返回速度与真正云端完成速度，记录延迟分布</x:v>
      </x:c>
      <x:c r="I315" s="11" t="str">
        <x:v>拟补充场景；未记录可执行完整用例</x:v>
      </x:c>
      <x:c r="J315" s="11" t="str">
        <x:v>需求缺口分析；无通过证据</x:v>
      </x:c>
      <x:c r="K315" s="11" t="str">
        <x:v>待细化场景</x:v>
      </x:c>
      <x:c r="L315" s="11" t="str">
        <x:v>目标值尚未定义，不填写虚构达标结论</x:v>
      </x:c>
      <x:c r="M315" s="11" t="str">
        <x:v>项目代码与参数见对应证据</x:v>
      </x:c>
      <x:c r="N315" s="11" t="str">
        <x:v>Windows 单机产品；按已测范围解释</x:v>
      </x:c>
      <x:c r="O315" s="11" t="str">
        <x:v>本轮仅补充矩阵，未复测</x:v>
      </x:c>
      <x:c r="P315" s="11" t="str">
        <x:v>项目场景</x:v>
      </x:c>
    </x:row>
    <x:row r="316" ht="44" customHeight="1">
      <x:c r="A316" s="10" t="str">
        <x:v>PLAN-025</x:v>
      </x:c>
      <x:c r="B316" s="10" t="str">
        <x:v>L4</x:v>
      </x:c>
      <x:c r="C316" s="10" t="str">
        <x:v>性能与规模</x:v>
      </x:c>
      <x:c r="D316" s="10" t="str">
        <x:v>CPU、内存、句柄与磁盘占用</x:v>
      </x:c>
      <x:c r="E316" s="10" t="str">
        <x:v>C 项目补充</x:v>
      </x:c>
      <x:c r="F316" s="10" t="str">
        <x:v>待补充</x:v>
      </x:c>
      <x:c r="G316" s="10" t="str">
        <x:v>持续负载和空闲阶段</x:v>
      </x:c>
      <x:c r="H316" s="10" t="str">
        <x:v>观察资源稳定性与增长趋势，制定可接受阈值</x:v>
      </x:c>
      <x:c r="I316" s="10" t="str">
        <x:v>拟补充场景；未记录可执行完整用例</x:v>
      </x:c>
      <x:c r="J316" s="10" t="str">
        <x:v>需求缺口分析；无通过证据</x:v>
      </x:c>
      <x:c r="K316" s="10" t="str">
        <x:v>待细化场景</x:v>
      </x:c>
      <x:c r="L316" s="10" t="str">
        <x:v>若导致数据损坏需按 L1 处理</x:v>
      </x:c>
      <x:c r="M316" s="10" t="str">
        <x:v>项目代码与参数见对应证据</x:v>
      </x:c>
      <x:c r="N316" s="10" t="str">
        <x:v>Windows 单机产品；按已测范围解释</x:v>
      </x:c>
      <x:c r="O316" s="10" t="str">
        <x:v>本轮仅补充矩阵，未复测</x:v>
      </x:c>
      <x:c r="P316" s="10" t="str">
        <x:v>项目场景</x:v>
      </x:c>
    </x:row>
    <x:row r="317" ht="44" customHeight="1">
      <x:c r="A317" s="11" t="str">
        <x:v>PLAN-030</x:v>
      </x:c>
      <x:c r="B317" s="11" t="str">
        <x:v>L5</x:v>
      </x:c>
      <x:c r="C317" s="11" t="str">
        <x:v>挂载与元数据生命周期</x:v>
      </x:c>
      <x:c r="D317" s="11" t="str">
        <x:v>跨设备迁移与元数据恢复向导</x:v>
      </x:c>
      <x:c r="E317" s="11" t="str">
        <x:v>C 项目补充</x:v>
      </x:c>
      <x:c r="F317" s="11" t="str">
        <x:v>范围外</x:v>
      </x:c>
      <x:c r="G317" s="11" t="str">
        <x:v>未来支持范围</x:v>
      </x:c>
      <x:c r="H317" s="11" t="str">
        <x:v>设计备份/恢复流程后验证完整迁移</x:v>
      </x:c>
      <x:c r="I317" s="11" t="str">
        <x:v>拟补充场景；未记录可执行完整用例</x:v>
      </x:c>
      <x:c r="J317" s="11" t="str">
        <x:v>需求缺口分析；无通过证据</x:v>
      </x:c>
      <x:c r="K317" s="11" t="str">
        <x:v>待细化场景</x:v>
      </x:c>
      <x:c r="L317" s="11" t="str">
        <x:v>当前未提供完整产品恢复向导</x:v>
      </x:c>
      <x:c r="M317" s="11" t="str">
        <x:v>项目代码与参数见对应证据</x:v>
      </x:c>
      <x:c r="N317" s="11" t="str">
        <x:v>当前架构／平台范围外</x:v>
      </x:c>
      <x:c r="O317" s="11" t="str">
        <x:v>本轮仅补充矩阵，未复测</x:v>
      </x:c>
      <x:c r="P317" s="11" t="str">
        <x:v>项目场景</x:v>
      </x:c>
    </x:row>
    <x:row r="318" ht="60" customHeight="1">
      <x:c r="A318" s="10" t="str">
        <x:v>JFS-CLI-10</x:v>
      </x:c>
      <x:c r="B318" s="10" t="str">
        <x:v>L5</x:v>
      </x:c>
      <x:c r="C318" s="10" t="str">
        <x:v>网关与后端重试</x:v>
      </x:c>
      <x:c r="D318" s="10" t="str">
        <x:v>网关用户管理</x:v>
      </x:c>
      <x:c r="E318" s="10" t="str">
        <x:v>A JuiceFS 官方 Windows</x:v>
      </x:c>
      <x:c r="F318" s="10" t="str">
        <x:v>不适用</x:v>
      </x:c>
      <x:c r="G318" s="10" t="str">
        <x:v>独立 JuiceFS S3 Gateway；产品未启用</x:v>
      </x:c>
      <x:c r="H318" s="10" t="str">
        <x:v>原函数断言与预期结果；环境适配不冒充原 CI 原样执行</x:v>
      </x:c>
      <x:c r="I318" s="10" t="str">
        <x:v>.github/scripts/command-win/gateway.sh:44 / test_user_management</x:v>
      </x:c>
      <x:c r="J318" s="10" t="str">
        <x:v>S08；E11</x:v>
      </x:c>
      <x:c r="K318" s="10" t="str">
        <x:v>命名函数</x:v>
      </x:c>
      <x:c r="L318" s="10" t="str">
        <x:v>上游 command-win.yml 已登记；本项目无执行此原始函数的证据。 这是 JuiceFS 自带 S3 网关，与我们向 JuiceFS 提供存储的 rclone 网关不同。</x:v>
      </x:c>
      <x:c r="M318" s="10" t="str">
        <x:v>JuiceFS 30190ca1094d26e85f19a979ca51b0ea19af1eaa</x:v>
      </x:c>
      <x:c r="N318" s="10" t="str">
        <x:v>产品架构未启用该入口</x:v>
      </x:c>
      <x:c r="O318" s="10" t="str">
        <x:v>本轮未执行</x:v>
      </x:c>
      <x:c r="P318" s="10" t="str">
        <x:v>Windows CLI 函数</x:v>
      </x:c>
    </x:row>
    <x:row r="319" ht="60" customHeight="1">
      <x:c r="A319" s="11" t="str">
        <x:v>JFS-CLI-11</x:v>
      </x:c>
      <x:c r="B319" s="11" t="str">
        <x:v>L5</x:v>
      </x:c>
      <x:c r="C319" s="11" t="str">
        <x:v>网关与后端重试</x:v>
      </x:c>
      <x:c r="D319" s="11" t="str">
        <x:v>网关用户组管理</x:v>
      </x:c>
      <x:c r="E319" s="11" t="str">
        <x:v>A JuiceFS 官方 Windows</x:v>
      </x:c>
      <x:c r="F319" s="11" t="str">
        <x:v>不适用</x:v>
      </x:c>
      <x:c r="G319" s="11" t="str">
        <x:v>独立 JuiceFS S3 Gateway；产品未启用</x:v>
      </x:c>
      <x:c r="H319" s="11" t="str">
        <x:v>原函数断言与预期结果；环境适配不冒充原 CI 原样执行</x:v>
      </x:c>
      <x:c r="I319" s="11" t="str">
        <x:v>.github/scripts/command-win/gateway.sh:85 / test_group_management</x:v>
      </x:c>
      <x:c r="J319" s="11" t="str">
        <x:v>S08；E11</x:v>
      </x:c>
      <x:c r="K319" s="11" t="str">
        <x:v>命名函数</x:v>
      </x:c>
      <x:c r="L319" s="11" t="str">
        <x:v>上游 command-win.yml 已登记；本项目无执行此原始函数的证据。 这是 JuiceFS 自带 S3 网关，与我们向 JuiceFS 提供存储的 rclone 网关不同。</x:v>
      </x:c>
      <x:c r="M319" s="11" t="str">
        <x:v>JuiceFS 30190ca1094d26e85f19a979ca51b0ea19af1eaa</x:v>
      </x:c>
      <x:c r="N319" s="11" t="str">
        <x:v>产品架构未启用该入口</x:v>
      </x:c>
      <x:c r="O319" s="11" t="str">
        <x:v>本轮未执行</x:v>
      </x:c>
      <x:c r="P319" s="11" t="str">
        <x:v>Windows CLI 函数</x:v>
      </x:c>
    </x:row>
    <x:row r="320" ht="60" customHeight="1">
      <x:c r="A320" s="10" t="str">
        <x:v>JFS-CLI-12</x:v>
      </x:c>
      <x:c r="B320" s="10" t="str">
        <x:v>L5</x:v>
      </x:c>
      <x:c r="C320" s="10" t="str">
        <x:v>网关与后端重试</x:v>
      </x:c>
      <x:c r="D320" s="10" t="str">
        <x:v>多网关用户组一致性</x:v>
      </x:c>
      <x:c r="E320" s="10" t="str">
        <x:v>A JuiceFS 官方 Windows</x:v>
      </x:c>
      <x:c r="F320" s="10" t="str">
        <x:v>不适用</x:v>
      </x:c>
      <x:c r="G320" s="10" t="str">
        <x:v>独立 JuiceFS S3 Gateway；产品未启用</x:v>
      </x:c>
      <x:c r="H320" s="10" t="str">
        <x:v>原函数断言与预期结果；环境适配不冒充原 CI 原样执行</x:v>
      </x:c>
      <x:c r="I320" s="10" t="str">
        <x:v>.github/scripts/command-win/gateway.sh:124 / test_mult_gateways_set_group</x:v>
      </x:c>
      <x:c r="J320" s="10" t="str">
        <x:v>S08；E11</x:v>
      </x:c>
      <x:c r="K320" s="10" t="str">
        <x:v>命名函数</x:v>
      </x:c>
      <x:c r="L320" s="10" t="str">
        <x:v>上游 command-win.yml 已登记；本项目无执行此原始函数的证据。 这是 JuiceFS 自带 S3 网关，与我们向 JuiceFS 提供存储的 rclone 网关不同。</x:v>
      </x:c>
      <x:c r="M320" s="10" t="str">
        <x:v>JuiceFS 30190ca1094d26e85f19a979ca51b0ea19af1eaa</x:v>
      </x:c>
      <x:c r="N320" s="10" t="str">
        <x:v>产品架构未启用该入口</x:v>
      </x:c>
      <x:c r="O320" s="10" t="str">
        <x:v>本轮未执行</x:v>
      </x:c>
      <x:c r="P320" s="10" t="str">
        <x:v>Windows CLI 函数</x:v>
      </x:c>
    </x:row>
    <x:row r="321" ht="60" customHeight="1">
      <x:c r="A321" s="11" t="str">
        <x:v>JFS-CLI-13</x:v>
      </x:c>
      <x:c r="B321" s="11" t="str">
        <x:v>L5</x:v>
      </x:c>
      <x:c r="C321" s="11" t="str">
        <x:v>网关与后端重试</x:v>
      </x:c>
      <x:c r="D321" s="11" t="str">
        <x:v>用户服务账户</x:v>
      </x:c>
      <x:c r="E321" s="11" t="str">
        <x:v>A JuiceFS 官方 Windows</x:v>
      </x:c>
      <x:c r="F321" s="11" t="str">
        <x:v>不适用</x:v>
      </x:c>
      <x:c r="G321" s="11" t="str">
        <x:v>独立 JuiceFS S3 Gateway；产品未启用</x:v>
      </x:c>
      <x:c r="H321" s="11" t="str">
        <x:v>原函数断言与预期结果；环境适配不冒充原 CI 原样执行</x:v>
      </x:c>
      <x:c r="I321" s="11" t="str">
        <x:v>.github/scripts/command-win/gateway.sh:154 / test_user_svcacct_add</x:v>
      </x:c>
      <x:c r="J321" s="11" t="str">
        <x:v>S08；E11</x:v>
      </x:c>
      <x:c r="K321" s="11" t="str">
        <x:v>命名函数</x:v>
      </x:c>
      <x:c r="L321" s="11" t="str">
        <x:v>上游 command-win.yml 已登记；本项目无执行此原始函数的证据。 这是 JuiceFS 自带 S3 网关，与我们向 JuiceFS 提供存储的 rclone 网关不同。</x:v>
      </x:c>
      <x:c r="M321" s="11" t="str">
        <x:v>JuiceFS 30190ca1094d26e85f19a979ca51b0ea19af1eaa</x:v>
      </x:c>
      <x:c r="N321" s="11" t="str">
        <x:v>产品架构未启用该入口</x:v>
      </x:c>
      <x:c r="O321" s="11" t="str">
        <x:v>本轮未执行</x:v>
      </x:c>
      <x:c r="P321" s="11" t="str">
        <x:v>Windows CLI 函数</x:v>
      </x:c>
    </x:row>
    <x:row r="322" ht="60" customHeight="1">
      <x:c r="A322" s="10" t="str">
        <x:v>JFS-CLI-14</x:v>
      </x:c>
      <x:c r="B322" s="10" t="str">
        <x:v>L5</x:v>
      </x:c>
      <x:c r="C322" s="10" t="str">
        <x:v>网关与后端重试</x:v>
      </x:c>
      <x:c r="D322" s="10" t="str">
        <x:v>管理员服务账户</x:v>
      </x:c>
      <x:c r="E322" s="10" t="str">
        <x:v>A JuiceFS 官方 Windows</x:v>
      </x:c>
      <x:c r="F322" s="10" t="str">
        <x:v>不适用</x:v>
      </x:c>
      <x:c r="G322" s="10" t="str">
        <x:v>独立 JuiceFS S3 Gateway；产品未启用</x:v>
      </x:c>
      <x:c r="H322" s="10" t="str">
        <x:v>原函数断言与预期结果；环境适配不冒充原 CI 原样执行</x:v>
      </x:c>
      <x:c r="I322" s="10" t="str">
        <x:v>.github/scripts/command-win/gateway.sh:177 / test_user_admin_svcacct_add</x:v>
      </x:c>
      <x:c r="J322" s="10" t="str">
        <x:v>S08；E11</x:v>
      </x:c>
      <x:c r="K322" s="10" t="str">
        <x:v>命名函数</x:v>
      </x:c>
      <x:c r="L322" s="10" t="str">
        <x:v>上游 command-win.yml 已登记；本项目无执行此原始函数的证据。 这是 JuiceFS 自带 S3 网关，与我们向 JuiceFS 提供存储的 rclone 网关不同。</x:v>
      </x:c>
      <x:c r="M322" s="10" t="str">
        <x:v>JuiceFS 30190ca1094d26e85f19a979ca51b0ea19af1eaa</x:v>
      </x:c>
      <x:c r="N322" s="10" t="str">
        <x:v>产品架构未启用该入口</x:v>
      </x:c>
      <x:c r="O322" s="10" t="str">
        <x:v>本轮未执行</x:v>
      </x:c>
      <x:c r="P322" s="10" t="str">
        <x:v>Windows CLI 函数</x:v>
      </x:c>
    </x:row>
    <x:row r="323" ht="60" customHeight="1">
      <x:c r="A323" s="11" t="str">
        <x:v>JFS-CLI-15</x:v>
      </x:c>
      <x:c r="B323" s="11" t="str">
        <x:v>L5</x:v>
      </x:c>
      <x:c r="C323" s="11" t="str">
        <x:v>网关与后端重试</x:v>
      </x:c>
      <x:c r="D323" s="11" t="str">
        <x:v>STS 临时凭据</x:v>
      </x:c>
      <x:c r="E323" s="11" t="str">
        <x:v>A JuiceFS 官方 Windows</x:v>
      </x:c>
      <x:c r="F323" s="11" t="str">
        <x:v>不适用</x:v>
      </x:c>
      <x:c r="G323" s="11" t="str">
        <x:v>独立 JuiceFS S3 Gateway；产品未启用</x:v>
      </x:c>
      <x:c r="H323" s="11" t="str">
        <x:v>原函数断言与预期结果；环境适配不冒充原 CI 原样执行</x:v>
      </x:c>
      <x:c r="I323" s="11" t="str">
        <x:v>.github/scripts/command-win/gateway.sh:199 / test_user_sts</x:v>
      </x:c>
      <x:c r="J323" s="11" t="str">
        <x:v>S08；E11</x:v>
      </x:c>
      <x:c r="K323" s="11" t="str">
        <x:v>命名函数</x:v>
      </x:c>
      <x:c r="L323" s="11" t="str">
        <x:v>上游 command-win.yml 已登记；本项目无执行此原始函数的证据。 这是 JuiceFS 自带 S3 网关，与我们向 JuiceFS 提供存储的 rclone 网关不同。</x:v>
      </x:c>
      <x:c r="M323" s="11" t="str">
        <x:v>JuiceFS 30190ca1094d26e85f19a979ca51b0ea19af1eaa</x:v>
      </x:c>
      <x:c r="N323" s="11" t="str">
        <x:v>产品架构未启用该入口</x:v>
      </x:c>
      <x:c r="O323" s="11" t="str">
        <x:v>本轮未执行</x:v>
      </x:c>
      <x:c r="P323" s="11" t="str">
        <x:v>Windows CLI 函数</x:v>
      </x:c>
    </x:row>
    <x:row r="324" ht="60" customHeight="1">
      <x:c r="A324" s="10" t="str">
        <x:v>JFS-CLI-16</x:v>
      </x:c>
      <x:c r="B324" s="10" t="str">
        <x:v>L5</x:v>
      </x:c>
      <x:c r="C324" s="10" t="str">
        <x:v>网关与后端重试</x:v>
      </x:c>
      <x:c r="D324" s="10" t="str">
        <x:v>网关凭据变更</x:v>
      </x:c>
      <x:c r="E324" s="10" t="str">
        <x:v>A JuiceFS 官方 Windows</x:v>
      </x:c>
      <x:c r="F324" s="10" t="str">
        <x:v>不适用</x:v>
      </x:c>
      <x:c r="G324" s="10" t="str">
        <x:v>独立 JuiceFS S3 Gateway；产品未启用</x:v>
      </x:c>
      <x:c r="H324" s="10" t="str">
        <x:v>原函数断言与预期结果；环境适配不冒充原 CI 原样执行</x:v>
      </x:c>
      <x:c r="I324" s="10" t="str">
        <x:v>.github/scripts/command-win/gateway.sh:217 / test_change_credentials</x:v>
      </x:c>
      <x:c r="J324" s="10" t="str">
        <x:v>S08；E11</x:v>
      </x:c>
      <x:c r="K324" s="10" t="str">
        <x:v>命名函数</x:v>
      </x:c>
      <x:c r="L324" s="10" t="str">
        <x:v>上游 command-win.yml 已登记；本项目无执行此原始函数的证据。 这是 JuiceFS 自带 S3 网关，与我们向 JuiceFS 提供存储的 rclone 网关不同。</x:v>
      </x:c>
      <x:c r="M324" s="10" t="str">
        <x:v>JuiceFS 30190ca1094d26e85f19a979ca51b0ea19af1eaa</x:v>
      </x:c>
      <x:c r="N324" s="10" t="str">
        <x:v>产品架构未启用该入口</x:v>
      </x:c>
      <x:c r="O324" s="10" t="str">
        <x:v>本轮未执行</x:v>
      </x:c>
      <x:c r="P324" s="10" t="str">
        <x:v>Windows CLI 函数</x:v>
      </x:c>
    </x:row>
    <x:row r="325" ht="76" customHeight="1">
      <x:c r="A325" s="11" t="str">
        <x:v>NATIVE-094</x:v>
      </x:c>
      <x:c r="B325" s="11" t="str">
        <x:v>L5</x:v>
      </x:c>
      <x:c r="C325" s="11" t="str">
        <x:v>平台与扩展边界</x:v>
      </x:c>
      <x:c r="D325" s="11" t="str">
        <x:v>WSL 元数据查询（原版）</x:v>
      </x:c>
      <x:c r="E325" s="11" t="str">
        <x:v>B Windows / WinFsp</x:v>
      </x:c>
      <x:c r="F325" s="11" t="str">
        <x:v>已失败</x:v>
      </x:c>
      <x:c r="G325" s="11" t="str">
        <x:v>本地后端 JuiceFS 同步／后台；NTFS 与直连结果在历史执行明细</x:v>
      </x:c>
      <x:c r="H325" s="11" t="str">
        <x:v>原版 WinFsp 2.1 外部模式的全部启用断言；与 NTFS 对照核对差异</x:v>
      </x:c>
      <x:c r="I325" s="11" t="str">
        <x:v>wsl_stat_test</x:v>
      </x:c>
      <x:c r="J325" s="11" t="str">
        <x:v>E09；S06；S07</x:v>
      </x:c>
      <x:c r="K325" s="11" t="str">
        <x:v>参数化用例</x:v>
      </x:c>
      <x:c r="L325" s="11" t="str">
        <x:v>2026-10-10 历史结果；当前构建及三网盘尚未按严格配置复测。 ASSERT(STATUS_INVALID_INFO_CLASS == Result || STATUS_NOT_IMPLEMENTED == Result) failed at wsl-test.c:161:wsl_stat_dotest (err=0:0)</x:v>
      </x:c>
      <x:c r="M325" s="11" t="str">
        <x:v>WinFsp tests 2.1.25156；--external --resilient +*</x:v>
      </x:c>
      <x:c r="N325" s="11" t="str">
        <x:v>WSL 扩展能力；目录保留历史失败</x:v>
      </x:c>
      <x:c r="O325" s="11" t="str">
        <x:v>本轮未复测</x:v>
      </x:c>
      <x:c r="P325" s="11" t="str">
        <x:v>原版外部套件</x:v>
      </x:c>
    </x:row>
    <x:row r="326" ht="44" customHeight="1">
      <x:c r="A326" s="10" t="str">
        <x:v>PLAN-028</x:v>
      </x:c>
      <x:c r="B326" s="10" t="str">
        <x:v>L5</x:v>
      </x:c>
      <x:c r="C326" s="10" t="str">
        <x:v>平台与扩展边界</x:v>
      </x:c>
      <x:c r="D326" s="10" t="str">
        <x:v>Linux pjdfstest / LTP 验证</x:v>
      </x:c>
      <x:c r="E326" s="10" t="str">
        <x:v>C 项目补充</x:v>
      </x:c>
      <x:c r="F326" s="10" t="str">
        <x:v>范围外</x:v>
      </x:c>
      <x:c r="G326" s="10" t="str">
        <x:v>Linux 平台支持纳入后</x:v>
      </x:c>
      <x:c r="H326" s="10" t="str">
        <x:v>按 Linux 产品语义执行对应套件</x:v>
      </x:c>
      <x:c r="I326" s="10" t="str">
        <x:v>拟补充场景；未记录可执行完整用例</x:v>
      </x:c>
      <x:c r="J326" s="10" t="str">
        <x:v>需求缺口分析；无通过证据</x:v>
      </x:c>
      <x:c r="K326" s="10" t="str">
        <x:v>待细化场景</x:v>
      </x:c>
      <x:c r="L326" s="10" t="str">
        <x:v>当前 Windows 本期范围外</x:v>
      </x:c>
      <x:c r="M326" s="10" t="str">
        <x:v>项目代码与参数见对应证据</x:v>
      </x:c>
      <x:c r="N326" s="10" t="str">
        <x:v>当前架构／平台范围外</x:v>
      </x:c>
      <x:c r="O326" s="10" t="str">
        <x:v>本轮仅补充矩阵，未复测</x:v>
      </x:c>
      <x:c r="P326" s="10" t="str">
        <x:v>项目场景</x:v>
      </x:c>
    </x:row>
    <x:row r="327" ht="44" customHeight="1">
      <x:c r="A327" s="11" t="str">
        <x:v>PLAN-029</x:v>
      </x:c>
      <x:c r="B327" s="11" t="str">
        <x:v>L5</x:v>
      </x:c>
      <x:c r="C327" s="11" t="str">
        <x:v>平台与扩展边界</x:v>
      </x:c>
      <x:c r="D327" s="11" t="str">
        <x:v>多设备共享元数据与同时写入</x:v>
      </x:c>
      <x:c r="E327" s="11" t="str">
        <x:v>C 项目补充</x:v>
      </x:c>
      <x:c r="F327" s="11" t="str">
        <x:v>范围外</x:v>
      </x:c>
      <x:c r="G327" s="11" t="str">
        <x:v>未来共享元数据架构</x:v>
      </x:c>
      <x:c r="H327" s="11" t="str">
        <x:v>先设计共享元数据和一致性能力，再定义多机用例</x:v>
      </x:c>
      <x:c r="I327" s="11" t="str">
        <x:v>拟补充场景；未记录可执行完整用例</x:v>
      </x:c>
      <x:c r="J327" s="11" t="str">
        <x:v>需求缺口分析；无通过证据</x:v>
      </x:c>
      <x:c r="K327" s="11" t="str">
        <x:v>待细化场景</x:v>
      </x:c>
      <x:c r="L327" s="11" t="str">
        <x:v>当前单机 SQLite 架构不提供该能力</x:v>
      </x:c>
      <x:c r="M327" s="11" t="str">
        <x:v>项目代码与参数见对应证据</x:v>
      </x:c>
      <x:c r="N327" s="11" t="str">
        <x:v>当前架构／平台范围外</x:v>
      </x:c>
      <x:c r="O327" s="11" t="str">
        <x:v>本轮仅补充矩阵，未复测</x:v>
      </x:c>
      <x:c r="P327" s="11" t="str">
        <x:v>项目场景</x:v>
      </x:c>
    </x:row>
    <x:row r="328" ht="44" customHeight="1">
      <x:c r="A328" s="10" t="str">
        <x:v>WFP-INT-01</x:v>
      </x:c>
      <x:c r="B328" s="10" t="str">
        <x:v>L5</x:v>
      </x:c>
      <x:c r="C328" s="10" t="str">
        <x:v>平台与扩展边界</x:v>
      </x:c>
      <x:c r="D328" s="10" t="str">
        <x:v>fuse_opt_parse_test</x:v>
      </x:c>
      <x:c r="E328" s="10" t="str">
        <x:v>B Windows / WinFsp</x:v>
      </x:c>
      <x:c r="F328" s="10" t="str">
        <x:v>不适用</x:v>
      </x:c>
      <x:c r="G328" s="10" t="str">
        <x:v>WinFsp 驱动／MEMFS／内部库测试</x:v>
      </x:c>
      <x:c r="H328" s="10" t="str">
        <x:v>由 WinFsp 自身测试工程验证；不能把外部 JuiceFS 盘符作为直接替代</x:v>
      </x:c>
      <x:c r="I328" s="10" t="str">
        <x:v>fuse_opt_parse_test</x:v>
      </x:c>
      <x:c r="J328" s="10" t="str">
        <x:v>E09；S06；E10</x:v>
      </x:c>
      <x:c r="K328" s="10" t="str">
        <x:v>内部用例</x:v>
      </x:c>
      <x:c r="L328" s="10" t="str">
        <x:v>保留完整目录；修改 WinFsp 驱动或适配库时需独立环境重新评估，不计为文件系统通过</x:v>
      </x:c>
      <x:c r="M328" s="10" t="str">
        <x:v>WinFsp 2.1.25156 与 JuiceFS fork 共有内部入口</x:v>
      </x:c>
      <x:c r="N328" s="10" t="str">
        <x:v>不适用于当前外部挂载测试入口</x:v>
      </x:c>
      <x:c r="O328" s="10" t="str">
        <x:v>未执行</x:v>
      </x:c>
      <x:c r="P328" s="10" t="str">
        <x:v>WinFsp 内部</x:v>
      </x:c>
    </x:row>
    <x:row r="329" ht="44" customHeight="1">
      <x:c r="A329" s="11" t="str">
        <x:v>WFP-INT-02</x:v>
      </x:c>
      <x:c r="B329" s="11" t="str">
        <x:v>L5</x:v>
      </x:c>
      <x:c r="C329" s="11" t="str">
        <x:v>平台与扩展边界</x:v>
      </x:c>
      <x:c r="D329" s="11" t="str">
        <x:v>fuse_sequential_test</x:v>
      </x:c>
      <x:c r="E329" s="11" t="str">
        <x:v>B Windows / WinFsp</x:v>
      </x:c>
      <x:c r="F329" s="11" t="str">
        <x:v>不适用</x:v>
      </x:c>
      <x:c r="G329" s="11" t="str">
        <x:v>WinFsp 驱动／MEMFS／内部库测试</x:v>
      </x:c>
      <x:c r="H329" s="11" t="str">
        <x:v>由 WinFsp 自身测试工程验证；不能把外部 JuiceFS 盘符作为直接替代</x:v>
      </x:c>
      <x:c r="I329" s="11" t="str">
        <x:v>fuse_sequential_test</x:v>
      </x:c>
      <x:c r="J329" s="11" t="str">
        <x:v>E09；S06；E10</x:v>
      </x:c>
      <x:c r="K329" s="11" t="str">
        <x:v>内部用例</x:v>
      </x:c>
      <x:c r="L329" s="11" t="str">
        <x:v>保留完整目录；修改 WinFsp 驱动或适配库时需独立环境重新评估，不计为文件系统通过</x:v>
      </x:c>
      <x:c r="M329" s="11" t="str">
        <x:v>WinFsp 2.1.25156 与 JuiceFS fork 共有内部入口</x:v>
      </x:c>
      <x:c r="N329" s="11" t="str">
        <x:v>不适用于当前外部挂载测试入口</x:v>
      </x:c>
      <x:c r="O329" s="11" t="str">
        <x:v>未执行</x:v>
      </x:c>
      <x:c r="P329" s="11" t="str">
        <x:v>WinFsp 内部</x:v>
      </x:c>
    </x:row>
    <x:row r="330" ht="44" customHeight="1">
      <x:c r="A330" s="10" t="str">
        <x:v>WFP-INT-03</x:v>
      </x:c>
      <x:c r="B330" s="10" t="str">
        <x:v>L5</x:v>
      </x:c>
      <x:c r="C330" s="10" t="str">
        <x:v>平台与扩展边界</x:v>
      </x:c>
      <x:c r="D330" s="10" t="str">
        <x:v>fuse_parallel_test</x:v>
      </x:c>
      <x:c r="E330" s="10" t="str">
        <x:v>B Windows / WinFsp</x:v>
      </x:c>
      <x:c r="F330" s="10" t="str">
        <x:v>不适用</x:v>
      </x:c>
      <x:c r="G330" s="10" t="str">
        <x:v>WinFsp 驱动／MEMFS／内部库测试</x:v>
      </x:c>
      <x:c r="H330" s="10" t="str">
        <x:v>由 WinFsp 自身测试工程验证；不能把外部 JuiceFS 盘符作为直接替代</x:v>
      </x:c>
      <x:c r="I330" s="10" t="str">
        <x:v>fuse_parallel_test</x:v>
      </x:c>
      <x:c r="J330" s="10" t="str">
        <x:v>E09；S06；E10</x:v>
      </x:c>
      <x:c r="K330" s="10" t="str">
        <x:v>内部用例</x:v>
      </x:c>
      <x:c r="L330" s="10" t="str">
        <x:v>保留完整目录；修改 WinFsp 驱动或适配库时需独立环境重新评估，不计为文件系统通过</x:v>
      </x:c>
      <x:c r="M330" s="10" t="str">
        <x:v>WinFsp 2.1.25156 与 JuiceFS fork 共有内部入口</x:v>
      </x:c>
      <x:c r="N330" s="10" t="str">
        <x:v>不适用于当前外部挂载测试入口</x:v>
      </x:c>
      <x:c r="O330" s="10" t="str">
        <x:v>未执行</x:v>
      </x:c>
      <x:c r="P330" s="10" t="str">
        <x:v>WinFsp 内部</x:v>
      </x:c>
    </x:row>
    <x:row r="331" ht="44" customHeight="1">
      <x:c r="A331" s="11" t="str">
        <x:v>WFP-INT-04</x:v>
      </x:c>
      <x:c r="B331" s="11" t="str">
        <x:v>L5</x:v>
      </x:c>
      <x:c r="C331" s="11" t="str">
        <x:v>平台与扩展边界</x:v>
      </x:c>
      <x:c r="D331" s="11" t="str">
        <x:v>posix_map_sid_test</x:v>
      </x:c>
      <x:c r="E331" s="11" t="str">
        <x:v>B Windows / WinFsp</x:v>
      </x:c>
      <x:c r="F331" s="11" t="str">
        <x:v>不适用</x:v>
      </x:c>
      <x:c r="G331" s="11" t="str">
        <x:v>WinFsp 驱动／MEMFS／内部库测试</x:v>
      </x:c>
      <x:c r="H331" s="11" t="str">
        <x:v>由 WinFsp 自身测试工程验证；不能把外部 JuiceFS 盘符作为直接替代</x:v>
      </x:c>
      <x:c r="I331" s="11" t="str">
        <x:v>posix_map_sid_test</x:v>
      </x:c>
      <x:c r="J331" s="11" t="str">
        <x:v>E09；S06；E10</x:v>
      </x:c>
      <x:c r="K331" s="11" t="str">
        <x:v>内部用例</x:v>
      </x:c>
      <x:c r="L331" s="11" t="str">
        <x:v>保留完整目录；修改 WinFsp 驱动或适配库时需独立环境重新评估，不计为文件系统通过</x:v>
      </x:c>
      <x:c r="M331" s="11" t="str">
        <x:v>WinFsp 2.1.25156 与 JuiceFS fork 共有内部入口</x:v>
      </x:c>
      <x:c r="N331" s="11" t="str">
        <x:v>不适用于当前外部挂载测试入口</x:v>
      </x:c>
      <x:c r="O331" s="11" t="str">
        <x:v>未执行</x:v>
      </x:c>
      <x:c r="P331" s="11" t="str">
        <x:v>WinFsp 内部</x:v>
      </x:c>
    </x:row>
    <x:row r="332" ht="44" customHeight="1">
      <x:c r="A332" s="10" t="str">
        <x:v>WFP-INT-05</x:v>
      </x:c>
      <x:c r="B332" s="10" t="str">
        <x:v>L5</x:v>
      </x:c>
      <x:c r="C332" s="10" t="str">
        <x:v>平台与扩展边界</x:v>
      </x:c>
      <x:c r="D332" s="10" t="str">
        <x:v>posix_map_sd_test</x:v>
      </x:c>
      <x:c r="E332" s="10" t="str">
        <x:v>B Windows / WinFsp</x:v>
      </x:c>
      <x:c r="F332" s="10" t="str">
        <x:v>不适用</x:v>
      </x:c>
      <x:c r="G332" s="10" t="str">
        <x:v>WinFsp 驱动／MEMFS／内部库测试</x:v>
      </x:c>
      <x:c r="H332" s="10" t="str">
        <x:v>由 WinFsp 自身测试工程验证；不能把外部 JuiceFS 盘符作为直接替代</x:v>
      </x:c>
      <x:c r="I332" s="10" t="str">
        <x:v>posix_map_sd_test</x:v>
      </x:c>
      <x:c r="J332" s="10" t="str">
        <x:v>E09；S06；E10</x:v>
      </x:c>
      <x:c r="K332" s="10" t="str">
        <x:v>内部用例</x:v>
      </x:c>
      <x:c r="L332" s="10" t="str">
        <x:v>保留完整目录；修改 WinFsp 驱动或适配库时需独立环境重新评估，不计为文件系统通过</x:v>
      </x:c>
      <x:c r="M332" s="10" t="str">
        <x:v>WinFsp 2.1.25156 与 JuiceFS fork 共有内部入口</x:v>
      </x:c>
      <x:c r="N332" s="10" t="str">
        <x:v>不适用于当前外部挂载测试入口</x:v>
      </x:c>
      <x:c r="O332" s="10" t="str">
        <x:v>未执行</x:v>
      </x:c>
      <x:c r="P332" s="10" t="str">
        <x:v>WinFsp 内部</x:v>
      </x:c>
    </x:row>
    <x:row r="333" ht="44" customHeight="1">
      <x:c r="A333" s="11" t="str">
        <x:v>WFP-INT-06</x:v>
      </x:c>
      <x:c r="B333" s="11" t="str">
        <x:v>L5</x:v>
      </x:c>
      <x:c r="C333" s="11" t="str">
        <x:v>平台与扩展边界</x:v>
      </x:c>
      <x:c r="D333" s="11" t="str">
        <x:v>posix_merge_sd_test</x:v>
      </x:c>
      <x:c r="E333" s="11" t="str">
        <x:v>B Windows / WinFsp</x:v>
      </x:c>
      <x:c r="F333" s="11" t="str">
        <x:v>不适用</x:v>
      </x:c>
      <x:c r="G333" s="11" t="str">
        <x:v>WinFsp 驱动／MEMFS／内部库测试</x:v>
      </x:c>
      <x:c r="H333" s="11" t="str">
        <x:v>由 WinFsp 自身测试工程验证；不能把外部 JuiceFS 盘符作为直接替代</x:v>
      </x:c>
      <x:c r="I333" s="11" t="str">
        <x:v>posix_merge_sd_test</x:v>
      </x:c>
      <x:c r="J333" s="11" t="str">
        <x:v>E09；S06；E10</x:v>
      </x:c>
      <x:c r="K333" s="11" t="str">
        <x:v>内部用例</x:v>
      </x:c>
      <x:c r="L333" s="11" t="str">
        <x:v>保留完整目录；修改 WinFsp 驱动或适配库时需独立环境重新评估，不计为文件系统通过</x:v>
      </x:c>
      <x:c r="M333" s="11" t="str">
        <x:v>WinFsp 2.1.25156 与 JuiceFS fork 共有内部入口</x:v>
      </x:c>
      <x:c r="N333" s="11" t="str">
        <x:v>不适用于当前外部挂载测试入口</x:v>
      </x:c>
      <x:c r="O333" s="11" t="str">
        <x:v>未执行</x:v>
      </x:c>
      <x:c r="P333" s="11" t="str">
        <x:v>WinFsp 内部</x:v>
      </x:c>
    </x:row>
    <x:row r="334" ht="44" customHeight="1">
      <x:c r="A334" s="10" t="str">
        <x:v>WFP-INT-07</x:v>
      </x:c>
      <x:c r="B334" s="10" t="str">
        <x:v>L5</x:v>
      </x:c>
      <x:c r="C334" s="10" t="str">
        <x:v>平台与扩展边界</x:v>
      </x:c>
      <x:c r="D334" s="10" t="str">
        <x:v>posix_map_path_test</x:v>
      </x:c>
      <x:c r="E334" s="10" t="str">
        <x:v>B Windows / WinFsp</x:v>
      </x:c>
      <x:c r="F334" s="10" t="str">
        <x:v>不适用</x:v>
      </x:c>
      <x:c r="G334" s="10" t="str">
        <x:v>WinFsp 驱动／MEMFS／内部库测试</x:v>
      </x:c>
      <x:c r="H334" s="10" t="str">
        <x:v>由 WinFsp 自身测试工程验证；不能把外部 JuiceFS 盘符作为直接替代</x:v>
      </x:c>
      <x:c r="I334" s="10" t="str">
        <x:v>posix_map_path_test</x:v>
      </x:c>
      <x:c r="J334" s="10" t="str">
        <x:v>E09；S06；E10</x:v>
      </x:c>
      <x:c r="K334" s="10" t="str">
        <x:v>内部用例</x:v>
      </x:c>
      <x:c r="L334" s="10" t="str">
        <x:v>保留完整目录；修改 WinFsp 驱动或适配库时需独立环境重新评估，不计为文件系统通过</x:v>
      </x:c>
      <x:c r="M334" s="10" t="str">
        <x:v>WinFsp 2.1.25156 与 JuiceFS fork 共有内部入口</x:v>
      </x:c>
      <x:c r="N334" s="10" t="str">
        <x:v>不适用于当前外部挂载测试入口</x:v>
      </x:c>
      <x:c r="O334" s="10" t="str">
        <x:v>未执行</x:v>
      </x:c>
      <x:c r="P334" s="10" t="str">
        <x:v>WinFsp 内部</x:v>
      </x:c>
    </x:row>
    <x:row r="335" ht="44" customHeight="1">
      <x:c r="A335" s="11" t="str">
        <x:v>WFP-INT-08</x:v>
      </x:c>
      <x:c r="B335" s="11" t="str">
        <x:v>L5</x:v>
      </x:c>
      <x:c r="C335" s="11" t="str">
        <x:v>平台与扩展边界</x:v>
      </x:c>
      <x:c r="D335" s="11" t="str">
        <x:v>uuid5_test</x:v>
      </x:c>
      <x:c r="E335" s="11" t="str">
        <x:v>B Windows / WinFsp</x:v>
      </x:c>
      <x:c r="F335" s="11" t="str">
        <x:v>不适用</x:v>
      </x:c>
      <x:c r="G335" s="11" t="str">
        <x:v>WinFsp 驱动／MEMFS／内部库测试</x:v>
      </x:c>
      <x:c r="H335" s="11" t="str">
        <x:v>由 WinFsp 自身测试工程验证；不能把外部 JuiceFS 盘符作为直接替代</x:v>
      </x:c>
      <x:c r="I335" s="11" t="str">
        <x:v>uuid5_test</x:v>
      </x:c>
      <x:c r="J335" s="11" t="str">
        <x:v>E09；S06；E10</x:v>
      </x:c>
      <x:c r="K335" s="11" t="str">
        <x:v>内部用例</x:v>
      </x:c>
      <x:c r="L335" s="11" t="str">
        <x:v>保留完整目录；修改 WinFsp 驱动或适配库时需独立环境重新评估，不计为文件系统通过</x:v>
      </x:c>
      <x:c r="M335" s="11" t="str">
        <x:v>WinFsp 2.1.25156 与 JuiceFS fork 共有内部入口</x:v>
      </x:c>
      <x:c r="N335" s="11" t="str">
        <x:v>不适用于当前外部挂载测试入口</x:v>
      </x:c>
      <x:c r="O335" s="11" t="str">
        <x:v>未执行</x:v>
      </x:c>
      <x:c r="P335" s="11" t="str">
        <x:v>WinFsp 内部</x:v>
      </x:c>
    </x:row>
    <x:row r="336" ht="44" customHeight="1">
      <x:c r="A336" s="10" t="str">
        <x:v>WFP-INT-09</x:v>
      </x:c>
      <x:c r="B336" s="10" t="str">
        <x:v>L5</x:v>
      </x:c>
      <x:c r="C336" s="10" t="str">
        <x:v>平台与扩展边界</x:v>
      </x:c>
      <x:c r="D336" s="10" t="str">
        <x:v>eventlog_test</x:v>
      </x:c>
      <x:c r="E336" s="10" t="str">
        <x:v>B Windows / WinFsp</x:v>
      </x:c>
      <x:c r="F336" s="10" t="str">
        <x:v>不适用</x:v>
      </x:c>
      <x:c r="G336" s="10" t="str">
        <x:v>WinFsp 驱动／MEMFS／内部库测试</x:v>
      </x:c>
      <x:c r="H336" s="10" t="str">
        <x:v>由 WinFsp 自身测试工程验证；不能把外部 JuiceFS 盘符作为直接替代</x:v>
      </x:c>
      <x:c r="I336" s="10" t="str">
        <x:v>eventlog_test</x:v>
      </x:c>
      <x:c r="J336" s="10" t="str">
        <x:v>E09；S06；E10</x:v>
      </x:c>
      <x:c r="K336" s="10" t="str">
        <x:v>内部用例</x:v>
      </x:c>
      <x:c r="L336" s="10" t="str">
        <x:v>保留完整目录；修改 WinFsp 驱动或适配库时需独立环境重新评估，不计为文件系统通过</x:v>
      </x:c>
      <x:c r="M336" s="10" t="str">
        <x:v>WinFsp 2.1.25156 与 JuiceFS fork 共有内部入口</x:v>
      </x:c>
      <x:c r="N336" s="10" t="str">
        <x:v>不适用于当前外部挂载测试入口</x:v>
      </x:c>
      <x:c r="O336" s="10" t="str">
        <x:v>未执行</x:v>
      </x:c>
      <x:c r="P336" s="10" t="str">
        <x:v>WinFsp 内部</x:v>
      </x:c>
    </x:row>
    <x:row r="337" ht="44" customHeight="1">
      <x:c r="A337" s="11" t="str">
        <x:v>WFP-INT-10</x:v>
      </x:c>
      <x:c r="B337" s="11" t="str">
        <x:v>L5</x:v>
      </x:c>
      <x:c r="C337" s="11" t="str">
        <x:v>平台与扩展边界</x:v>
      </x:c>
      <x:c r="D337" s="11" t="str">
        <x:v>path_prefix_test</x:v>
      </x:c>
      <x:c r="E337" s="11" t="str">
        <x:v>B Windows / WinFsp</x:v>
      </x:c>
      <x:c r="F337" s="11" t="str">
        <x:v>不适用</x:v>
      </x:c>
      <x:c r="G337" s="11" t="str">
        <x:v>WinFsp 驱动／MEMFS／内部库测试</x:v>
      </x:c>
      <x:c r="H337" s="11" t="str">
        <x:v>由 WinFsp 自身测试工程验证；不能把外部 JuiceFS 盘符作为直接替代</x:v>
      </x:c>
      <x:c r="I337" s="11" t="str">
        <x:v>path_prefix_test</x:v>
      </x:c>
      <x:c r="J337" s="11" t="str">
        <x:v>E09；S06；E10</x:v>
      </x:c>
      <x:c r="K337" s="11" t="str">
        <x:v>内部用例</x:v>
      </x:c>
      <x:c r="L337" s="11" t="str">
        <x:v>保留完整目录；修改 WinFsp 驱动或适配库时需独立环境重新评估，不计为文件系统通过</x:v>
      </x:c>
      <x:c r="M337" s="11" t="str">
        <x:v>WinFsp 2.1.25156 与 JuiceFS fork 共有内部入口</x:v>
      </x:c>
      <x:c r="N337" s="11" t="str">
        <x:v>不适用于当前外部挂载测试入口</x:v>
      </x:c>
      <x:c r="O337" s="11" t="str">
        <x:v>未执行</x:v>
      </x:c>
      <x:c r="P337" s="11" t="str">
        <x:v>WinFsp 内部</x:v>
      </x:c>
    </x:row>
    <x:row r="338" ht="44" customHeight="1">
      <x:c r="A338" s="10" t="str">
        <x:v>WFP-INT-11</x:v>
      </x:c>
      <x:c r="B338" s="10" t="str">
        <x:v>L5</x:v>
      </x:c>
      <x:c r="C338" s="10" t="str">
        <x:v>平台与扩展边界</x:v>
      </x:c>
      <x:c r="D338" s="10" t="str">
        <x:v>path_suffix_test</x:v>
      </x:c>
      <x:c r="E338" s="10" t="str">
        <x:v>B Windows / WinFsp</x:v>
      </x:c>
      <x:c r="F338" s="10" t="str">
        <x:v>不适用</x:v>
      </x:c>
      <x:c r="G338" s="10" t="str">
        <x:v>WinFsp 驱动／MEMFS／内部库测试</x:v>
      </x:c>
      <x:c r="H338" s="10" t="str">
        <x:v>由 WinFsp 自身测试工程验证；不能把外部 JuiceFS 盘符作为直接替代</x:v>
      </x:c>
      <x:c r="I338" s="10" t="str">
        <x:v>path_suffix_test</x:v>
      </x:c>
      <x:c r="J338" s="10" t="str">
        <x:v>E09；S06；E10</x:v>
      </x:c>
      <x:c r="K338" s="10" t="str">
        <x:v>内部用例</x:v>
      </x:c>
      <x:c r="L338" s="10" t="str">
        <x:v>保留完整目录；修改 WinFsp 驱动或适配库时需独立环境重新评估，不计为文件系统通过</x:v>
      </x:c>
      <x:c r="M338" s="10" t="str">
        <x:v>WinFsp 2.1.25156 与 JuiceFS fork 共有内部入口</x:v>
      </x:c>
      <x:c r="N338" s="10" t="str">
        <x:v>不适用于当前外部挂载测试入口</x:v>
      </x:c>
      <x:c r="O338" s="10" t="str">
        <x:v>未执行</x:v>
      </x:c>
      <x:c r="P338" s="10" t="str">
        <x:v>WinFsp 内部</x:v>
      </x:c>
    </x:row>
    <x:row r="339" ht="44" customHeight="1">
      <x:c r="A339" s="11" t="str">
        <x:v>WFP-INT-12</x:v>
      </x:c>
      <x:c r="B339" s="11" t="str">
        <x:v>L5</x:v>
      </x:c>
      <x:c r="C339" s="11" t="str">
        <x:v>平台与扩展边界</x:v>
      </x:c>
      <x:c r="D339" s="11" t="str">
        <x:v>dirbuf_empty_test</x:v>
      </x:c>
      <x:c r="E339" s="11" t="str">
        <x:v>B Windows / WinFsp</x:v>
      </x:c>
      <x:c r="F339" s="11" t="str">
        <x:v>不适用</x:v>
      </x:c>
      <x:c r="G339" s="11" t="str">
        <x:v>WinFsp 驱动／MEMFS／内部库测试</x:v>
      </x:c>
      <x:c r="H339" s="11" t="str">
        <x:v>由 WinFsp 自身测试工程验证；不能把外部 JuiceFS 盘符作为直接替代</x:v>
      </x:c>
      <x:c r="I339" s="11" t="str">
        <x:v>dirbuf_empty_test</x:v>
      </x:c>
      <x:c r="J339" s="11" t="str">
        <x:v>E09；S06；E10</x:v>
      </x:c>
      <x:c r="K339" s="11" t="str">
        <x:v>内部用例</x:v>
      </x:c>
      <x:c r="L339" s="11" t="str">
        <x:v>保留完整目录；修改 WinFsp 驱动或适配库时需独立环境重新评估，不计为文件系统通过</x:v>
      </x:c>
      <x:c r="M339" s="11" t="str">
        <x:v>WinFsp 2.1.25156 与 JuiceFS fork 共有内部入口</x:v>
      </x:c>
      <x:c r="N339" s="11" t="str">
        <x:v>不适用于当前外部挂载测试入口</x:v>
      </x:c>
      <x:c r="O339" s="11" t="str">
        <x:v>未执行</x:v>
      </x:c>
      <x:c r="P339" s="11" t="str">
        <x:v>WinFsp 内部</x:v>
      </x:c>
    </x:row>
    <x:row r="340" ht="44" customHeight="1">
      <x:c r="A340" s="10" t="str">
        <x:v>WFP-INT-13</x:v>
      </x:c>
      <x:c r="B340" s="10" t="str">
        <x:v>L5</x:v>
      </x:c>
      <x:c r="C340" s="10" t="str">
        <x:v>平台与扩展边界</x:v>
      </x:c>
      <x:c r="D340" s="10" t="str">
        <x:v>dirbuf_dots_test</x:v>
      </x:c>
      <x:c r="E340" s="10" t="str">
        <x:v>B Windows / WinFsp</x:v>
      </x:c>
      <x:c r="F340" s="10" t="str">
        <x:v>不适用</x:v>
      </x:c>
      <x:c r="G340" s="10" t="str">
        <x:v>WinFsp 驱动／MEMFS／内部库测试</x:v>
      </x:c>
      <x:c r="H340" s="10" t="str">
        <x:v>由 WinFsp 自身测试工程验证；不能把外部 JuiceFS 盘符作为直接替代</x:v>
      </x:c>
      <x:c r="I340" s="10" t="str">
        <x:v>dirbuf_dots_test</x:v>
      </x:c>
      <x:c r="J340" s="10" t="str">
        <x:v>E09；S06；E10</x:v>
      </x:c>
      <x:c r="K340" s="10" t="str">
        <x:v>内部用例</x:v>
      </x:c>
      <x:c r="L340" s="10" t="str">
        <x:v>保留完整目录；修改 WinFsp 驱动或适配库时需独立环境重新评估，不计为文件系统通过</x:v>
      </x:c>
      <x:c r="M340" s="10" t="str">
        <x:v>WinFsp 2.1.25156 与 JuiceFS fork 共有内部入口</x:v>
      </x:c>
      <x:c r="N340" s="10" t="str">
        <x:v>不适用于当前外部挂载测试入口</x:v>
      </x:c>
      <x:c r="O340" s="10" t="str">
        <x:v>未执行</x:v>
      </x:c>
      <x:c r="P340" s="10" t="str">
        <x:v>WinFsp 内部</x:v>
      </x:c>
    </x:row>
    <x:row r="341" ht="44" customHeight="1">
      <x:c r="A341" s="11" t="str">
        <x:v>WFP-INT-14</x:v>
      </x:c>
      <x:c r="B341" s="11" t="str">
        <x:v>L5</x:v>
      </x:c>
      <x:c r="C341" s="11" t="str">
        <x:v>平台与扩展边界</x:v>
      </x:c>
      <x:c r="D341" s="11" t="str">
        <x:v>dirbuf_fill_test</x:v>
      </x:c>
      <x:c r="E341" s="11" t="str">
        <x:v>B Windows / WinFsp</x:v>
      </x:c>
      <x:c r="F341" s="11" t="str">
        <x:v>不适用</x:v>
      </x:c>
      <x:c r="G341" s="11" t="str">
        <x:v>WinFsp 驱动／MEMFS／内部库测试</x:v>
      </x:c>
      <x:c r="H341" s="11" t="str">
        <x:v>由 WinFsp 自身测试工程验证；不能把外部 JuiceFS 盘符作为直接替代</x:v>
      </x:c>
      <x:c r="I341" s="11" t="str">
        <x:v>dirbuf_fill_test</x:v>
      </x:c>
      <x:c r="J341" s="11" t="str">
        <x:v>E09；S06；E10</x:v>
      </x:c>
      <x:c r="K341" s="11" t="str">
        <x:v>内部用例</x:v>
      </x:c>
      <x:c r="L341" s="11" t="str">
        <x:v>保留完整目录；修改 WinFsp 驱动或适配库时需独立环境重新评估，不计为文件系统通过</x:v>
      </x:c>
      <x:c r="M341" s="11" t="str">
        <x:v>WinFsp 2.1.25156 与 JuiceFS fork 共有内部入口</x:v>
      </x:c>
      <x:c r="N341" s="11" t="str">
        <x:v>不适用于当前外部挂载测试入口</x:v>
      </x:c>
      <x:c r="O341" s="11" t="str">
        <x:v>未执行</x:v>
      </x:c>
      <x:c r="P341" s="11" t="str">
        <x:v>WinFsp 内部</x:v>
      </x:c>
    </x:row>
    <x:row r="342" ht="44" customHeight="1">
      <x:c r="A342" s="10" t="str">
        <x:v>WFP-INT-15</x:v>
      </x:c>
      <x:c r="B342" s="10" t="str">
        <x:v>L5</x:v>
      </x:c>
      <x:c r="C342" s="10" t="str">
        <x:v>平台与扩展边界</x:v>
      </x:c>
      <x:c r="D342" s="10" t="str">
        <x:v>dirbuf_presort_fill_test</x:v>
      </x:c>
      <x:c r="E342" s="10" t="str">
        <x:v>B Windows / WinFsp</x:v>
      </x:c>
      <x:c r="F342" s="10" t="str">
        <x:v>不适用</x:v>
      </x:c>
      <x:c r="G342" s="10" t="str">
        <x:v>WinFsp 驱动／MEMFS／内部库测试</x:v>
      </x:c>
      <x:c r="H342" s="10" t="str">
        <x:v>由 WinFsp 自身测试工程验证；不能把外部 JuiceFS 盘符作为直接替代</x:v>
      </x:c>
      <x:c r="I342" s="10" t="str">
        <x:v>dirbuf_presort_fill_test</x:v>
      </x:c>
      <x:c r="J342" s="10" t="str">
        <x:v>E09；S06；E10</x:v>
      </x:c>
      <x:c r="K342" s="10" t="str">
        <x:v>内部用例</x:v>
      </x:c>
      <x:c r="L342" s="10" t="str">
        <x:v>保留完整目录；修改 WinFsp 驱动或适配库时需独立环境重新评估，不计为文件系统通过</x:v>
      </x:c>
      <x:c r="M342" s="10" t="str">
        <x:v>WinFsp 2.1.25156 与 JuiceFS fork 共有内部入口</x:v>
      </x:c>
      <x:c r="N342" s="10" t="str">
        <x:v>不适用于当前外部挂载测试入口</x:v>
      </x:c>
      <x:c r="O342" s="10" t="str">
        <x:v>未执行</x:v>
      </x:c>
      <x:c r="P342" s="10" t="str">
        <x:v>WinFsp 内部</x:v>
      </x:c>
    </x:row>
    <x:row r="343" ht="44" customHeight="1">
      <x:c r="A343" s="11" t="str">
        <x:v>WFP-INT-16</x:v>
      </x:c>
      <x:c r="B343" s="11" t="str">
        <x:v>L5</x:v>
      </x:c>
      <x:c r="C343" s="11" t="str">
        <x:v>平台与扩展边界</x:v>
      </x:c>
      <x:c r="D343" s="11" t="str">
        <x:v>dirbuf_boundary_test</x:v>
      </x:c>
      <x:c r="E343" s="11" t="str">
        <x:v>B Windows / WinFsp</x:v>
      </x:c>
      <x:c r="F343" s="11" t="str">
        <x:v>不适用</x:v>
      </x:c>
      <x:c r="G343" s="11" t="str">
        <x:v>WinFsp 驱动／MEMFS／内部库测试</x:v>
      </x:c>
      <x:c r="H343" s="11" t="str">
        <x:v>由 WinFsp 自身测试工程验证；不能把外部 JuiceFS 盘符作为直接替代</x:v>
      </x:c>
      <x:c r="I343" s="11" t="str">
        <x:v>dirbuf_boundary_test</x:v>
      </x:c>
      <x:c r="J343" s="11" t="str">
        <x:v>E09；S06；E10</x:v>
      </x:c>
      <x:c r="K343" s="11" t="str">
        <x:v>内部用例</x:v>
      </x:c>
      <x:c r="L343" s="11" t="str">
        <x:v>保留完整目录；修改 WinFsp 驱动或适配库时需独立环境重新评估，不计为文件系统通过</x:v>
      </x:c>
      <x:c r="M343" s="11" t="str">
        <x:v>WinFsp 2.1.25156 与 JuiceFS fork 共有内部入口</x:v>
      </x:c>
      <x:c r="N343" s="11" t="str">
        <x:v>不适用于当前外部挂载测试入口</x:v>
      </x:c>
      <x:c r="O343" s="11" t="str">
        <x:v>未执行</x:v>
      </x:c>
      <x:c r="P343" s="11" t="str">
        <x:v>WinFsp 内部</x:v>
      </x:c>
    </x:row>
    <x:row r="344" ht="44" customHeight="1">
      <x:c r="A344" s="10" t="str">
        <x:v>WFP-INT-17</x:v>
      </x:c>
      <x:c r="B344" s="10" t="str">
        <x:v>L5</x:v>
      </x:c>
      <x:c r="C344" s="10" t="str">
        <x:v>平台与扩展边界</x:v>
      </x:c>
      <x:c r="D344" s="10" t="str">
        <x:v>version_test</x:v>
      </x:c>
      <x:c r="E344" s="10" t="str">
        <x:v>B Windows / WinFsp</x:v>
      </x:c>
      <x:c r="F344" s="10" t="str">
        <x:v>不适用</x:v>
      </x:c>
      <x:c r="G344" s="10" t="str">
        <x:v>WinFsp 驱动／MEMFS／内部库测试</x:v>
      </x:c>
      <x:c r="H344" s="10" t="str">
        <x:v>由 WinFsp 自身测试工程验证；不能把外部 JuiceFS 盘符作为直接替代</x:v>
      </x:c>
      <x:c r="I344" s="10" t="str">
        <x:v>version_test</x:v>
      </x:c>
      <x:c r="J344" s="10" t="str">
        <x:v>E09；S06；E10</x:v>
      </x:c>
      <x:c r="K344" s="10" t="str">
        <x:v>内部用例</x:v>
      </x:c>
      <x:c r="L344" s="10" t="str">
        <x:v>保留完整目录；修改 WinFsp 驱动或适配库时需独立环境重新评估，不计为文件系统通过</x:v>
      </x:c>
      <x:c r="M344" s="10" t="str">
        <x:v>WinFsp 2.1.25156 与 JuiceFS fork 共有内部入口</x:v>
      </x:c>
      <x:c r="N344" s="10" t="str">
        <x:v>不适用于当前外部挂载测试入口</x:v>
      </x:c>
      <x:c r="O344" s="10" t="str">
        <x:v>未执行</x:v>
      </x:c>
      <x:c r="P344" s="10" t="str">
        <x:v>WinFsp 内部</x:v>
      </x:c>
    </x:row>
    <x:row r="345" ht="44" customHeight="1">
      <x:c r="A345" s="11" t="str">
        <x:v>WFP-INT-18</x:v>
      </x:c>
      <x:c r="B345" s="11" t="str">
        <x:v>L5</x:v>
      </x:c>
      <x:c r="C345" s="11" t="str">
        <x:v>平台与扩展边界</x:v>
      </x:c>
      <x:c r="D345" s="11" t="str">
        <x:v>launch_reg_test</x:v>
      </x:c>
      <x:c r="E345" s="11" t="str">
        <x:v>B Windows / WinFsp</x:v>
      </x:c>
      <x:c r="F345" s="11" t="str">
        <x:v>不适用</x:v>
      </x:c>
      <x:c r="G345" s="11" t="str">
        <x:v>WinFsp 驱动／MEMFS／内部库测试</x:v>
      </x:c>
      <x:c r="H345" s="11" t="str">
        <x:v>由 WinFsp 自身测试工程验证；不能把外部 JuiceFS 盘符作为直接替代</x:v>
      </x:c>
      <x:c r="I345" s="11" t="str">
        <x:v>launch_reg_test</x:v>
      </x:c>
      <x:c r="J345" s="11" t="str">
        <x:v>E09；S06；E10</x:v>
      </x:c>
      <x:c r="K345" s="11" t="str">
        <x:v>内部用例</x:v>
      </x:c>
      <x:c r="L345" s="11" t="str">
        <x:v>保留完整目录；修改 WinFsp 驱动或适配库时需独立环境重新评估，不计为文件系统通过</x:v>
      </x:c>
      <x:c r="M345" s="11" t="str">
        <x:v>WinFsp 2.1.25156 与 JuiceFS fork 共有内部入口</x:v>
      </x:c>
      <x:c r="N345" s="11" t="str">
        <x:v>不适用于当前外部挂载测试入口</x:v>
      </x:c>
      <x:c r="O345" s="11" t="str">
        <x:v>未执行</x:v>
      </x:c>
      <x:c r="P345" s="11" t="str">
        <x:v>WinFsp 内部</x:v>
      </x:c>
    </x:row>
    <x:row r="346" ht="44" customHeight="1">
      <x:c r="A346" s="10" t="str">
        <x:v>WFP-INT-19</x:v>
      </x:c>
      <x:c r="B346" s="10" t="str">
        <x:v>L5</x:v>
      </x:c>
      <x:c r="C346" s="10" t="str">
        <x:v>平台与扩展边界</x:v>
      </x:c>
      <x:c r="D346" s="10" t="str">
        <x:v>launcher_ptrans_test</x:v>
      </x:c>
      <x:c r="E346" s="10" t="str">
        <x:v>B Windows / WinFsp</x:v>
      </x:c>
      <x:c r="F346" s="10" t="str">
        <x:v>不适用</x:v>
      </x:c>
      <x:c r="G346" s="10" t="str">
        <x:v>WinFsp 驱动／MEMFS／内部库测试</x:v>
      </x:c>
      <x:c r="H346" s="10" t="str">
        <x:v>由 WinFsp 自身测试工程验证；不能把外部 JuiceFS 盘符作为直接替代</x:v>
      </x:c>
      <x:c r="I346" s="10" t="str">
        <x:v>launcher_ptrans_test</x:v>
      </x:c>
      <x:c r="J346" s="10" t="str">
        <x:v>E09；S06；E10</x:v>
      </x:c>
      <x:c r="K346" s="10" t="str">
        <x:v>内部用例</x:v>
      </x:c>
      <x:c r="L346" s="10" t="str">
        <x:v>保留完整目录；修改 WinFsp 驱动或适配库时需独立环境重新评估，不计为文件系统通过</x:v>
      </x:c>
      <x:c r="M346" s="10" t="str">
        <x:v>WinFsp 2.1.25156 与 JuiceFS fork 共有内部入口</x:v>
      </x:c>
      <x:c r="N346" s="10" t="str">
        <x:v>不适用于当前外部挂载测试入口</x:v>
      </x:c>
      <x:c r="O346" s="10" t="str">
        <x:v>未执行</x:v>
      </x:c>
      <x:c r="P346" s="10" t="str">
        <x:v>WinFsp 内部</x:v>
      </x:c>
    </x:row>
    <x:row r="347" ht="44" customHeight="1">
      <x:c r="A347" s="11" t="str">
        <x:v>WFP-INT-20</x:v>
      </x:c>
      <x:c r="B347" s="11" t="str">
        <x:v>L5</x:v>
      </x:c>
      <x:c r="C347" s="11" t="str">
        <x:v>平台与扩展边界</x:v>
      </x:c>
      <x:c r="D347" s="11" t="str">
        <x:v>mount_invalid_test</x:v>
      </x:c>
      <x:c r="E347" s="11" t="str">
        <x:v>B Windows / WinFsp</x:v>
      </x:c>
      <x:c r="F347" s="11" t="str">
        <x:v>不适用</x:v>
      </x:c>
      <x:c r="G347" s="11" t="str">
        <x:v>WinFsp 驱动／MEMFS／内部库测试</x:v>
      </x:c>
      <x:c r="H347" s="11" t="str">
        <x:v>由 WinFsp 自身测试工程验证；不能把外部 JuiceFS 盘符作为直接替代</x:v>
      </x:c>
      <x:c r="I347" s="11" t="str">
        <x:v>mount_invalid_test</x:v>
      </x:c>
      <x:c r="J347" s="11" t="str">
        <x:v>E09；S06；E10</x:v>
      </x:c>
      <x:c r="K347" s="11" t="str">
        <x:v>内部用例</x:v>
      </x:c>
      <x:c r="L347" s="11" t="str">
        <x:v>保留完整目录；修改 WinFsp 驱动或适配库时需独立环境重新评估，不计为文件系统通过</x:v>
      </x:c>
      <x:c r="M347" s="11" t="str">
        <x:v>WinFsp 2.1.25156 与 JuiceFS fork 共有内部入口</x:v>
      </x:c>
      <x:c r="N347" s="11" t="str">
        <x:v>不适用于当前外部挂载测试入口</x:v>
      </x:c>
      <x:c r="O347" s="11" t="str">
        <x:v>未执行</x:v>
      </x:c>
      <x:c r="P347" s="11" t="str">
        <x:v>WinFsp 内部</x:v>
      </x:c>
    </x:row>
    <x:row r="348" ht="44" customHeight="1">
      <x:c r="A348" s="10" t="str">
        <x:v>WFP-INT-21</x:v>
      </x:c>
      <x:c r="B348" s="10" t="str">
        <x:v>L5</x:v>
      </x:c>
      <x:c r="C348" s="10" t="str">
        <x:v>平台与扩展边界</x:v>
      </x:c>
      <x:c r="D348" s="10" t="str">
        <x:v>mount_open_device_test</x:v>
      </x:c>
      <x:c r="E348" s="10" t="str">
        <x:v>B Windows / WinFsp</x:v>
      </x:c>
      <x:c r="F348" s="10" t="str">
        <x:v>不适用</x:v>
      </x:c>
      <x:c r="G348" s="10" t="str">
        <x:v>WinFsp 驱动／MEMFS／内部库测试</x:v>
      </x:c>
      <x:c r="H348" s="10" t="str">
        <x:v>由 WinFsp 自身测试工程验证；不能把外部 JuiceFS 盘符作为直接替代</x:v>
      </x:c>
      <x:c r="I348" s="10" t="str">
        <x:v>mount_open_device_test</x:v>
      </x:c>
      <x:c r="J348" s="10" t="str">
        <x:v>E09；S06；E10</x:v>
      </x:c>
      <x:c r="K348" s="10" t="str">
        <x:v>内部用例</x:v>
      </x:c>
      <x:c r="L348" s="10" t="str">
        <x:v>保留完整目录；修改 WinFsp 驱动或适配库时需独立环境重新评估，不计为文件系统通过</x:v>
      </x:c>
      <x:c r="M348" s="10" t="str">
        <x:v>WinFsp 2.1.25156 与 JuiceFS fork 共有内部入口</x:v>
      </x:c>
      <x:c r="N348" s="10" t="str">
        <x:v>不适用于当前外部挂载测试入口</x:v>
      </x:c>
      <x:c r="O348" s="10" t="str">
        <x:v>未执行</x:v>
      </x:c>
      <x:c r="P348" s="10" t="str">
        <x:v>WinFsp 内部</x:v>
      </x:c>
    </x:row>
    <x:row r="349" ht="44" customHeight="1">
      <x:c r="A349" s="11" t="str">
        <x:v>WFP-INT-22</x:v>
      </x:c>
      <x:c r="B349" s="11" t="str">
        <x:v>L5</x:v>
      </x:c>
      <x:c r="C349" s="11" t="str">
        <x:v>平台与扩展边界</x:v>
      </x:c>
      <x:c r="D349" s="11" t="str">
        <x:v>mount_create_volume_v0_test</x:v>
      </x:c>
      <x:c r="E349" s="11" t="str">
        <x:v>B Windows / WinFsp</x:v>
      </x:c>
      <x:c r="F349" s="11" t="str">
        <x:v>不适用</x:v>
      </x:c>
      <x:c r="G349" s="11" t="str">
        <x:v>WinFsp 驱动／MEMFS／内部库测试</x:v>
      </x:c>
      <x:c r="H349" s="11" t="str">
        <x:v>由 WinFsp 自身测试工程验证；不能把外部 JuiceFS 盘符作为直接替代</x:v>
      </x:c>
      <x:c r="I349" s="11" t="str">
        <x:v>mount_create_volume_v0_test</x:v>
      </x:c>
      <x:c r="J349" s="11" t="str">
        <x:v>E09；S06；E10</x:v>
      </x:c>
      <x:c r="K349" s="11" t="str">
        <x:v>内部用例</x:v>
      </x:c>
      <x:c r="L349" s="11" t="str">
        <x:v>保留完整目录；修改 WinFsp 驱动或适配库时需独立环境重新评估，不计为文件系统通过</x:v>
      </x:c>
      <x:c r="M349" s="11" t="str">
        <x:v>WinFsp 2.1.25156 与 JuiceFS fork 共有内部入口</x:v>
      </x:c>
      <x:c r="N349" s="11" t="str">
        <x:v>不适用于当前外部挂载测试入口</x:v>
      </x:c>
      <x:c r="O349" s="11" t="str">
        <x:v>未执行</x:v>
      </x:c>
      <x:c r="P349" s="11" t="str">
        <x:v>WinFsp 内部</x:v>
      </x:c>
    </x:row>
    <x:row r="350" ht="44" customHeight="1">
      <x:c r="A350" s="10" t="str">
        <x:v>WFP-INT-23</x:v>
      </x:c>
      <x:c r="B350" s="10" t="str">
        <x:v>L5</x:v>
      </x:c>
      <x:c r="C350" s="10" t="str">
        <x:v>平台与扩展边界</x:v>
      </x:c>
      <x:c r="D350" s="10" t="str">
        <x:v>mount_create_volume_test</x:v>
      </x:c>
      <x:c r="E350" s="10" t="str">
        <x:v>B Windows / WinFsp</x:v>
      </x:c>
      <x:c r="F350" s="10" t="str">
        <x:v>不适用</x:v>
      </x:c>
      <x:c r="G350" s="10" t="str">
        <x:v>WinFsp 驱动／MEMFS／内部库测试</x:v>
      </x:c>
      <x:c r="H350" s="10" t="str">
        <x:v>由 WinFsp 自身测试工程验证；不能把外部 JuiceFS 盘符作为直接替代</x:v>
      </x:c>
      <x:c r="I350" s="10" t="str">
        <x:v>mount_create_volume_test</x:v>
      </x:c>
      <x:c r="J350" s="10" t="str">
        <x:v>E09；S06；E10</x:v>
      </x:c>
      <x:c r="K350" s="10" t="str">
        <x:v>内部用例</x:v>
      </x:c>
      <x:c r="L350" s="10" t="str">
        <x:v>保留完整目录；修改 WinFsp 驱动或适配库时需独立环境重新评估，不计为文件系统通过</x:v>
      </x:c>
      <x:c r="M350" s="10" t="str">
        <x:v>WinFsp 2.1.25156 与 JuiceFS fork 共有内部入口</x:v>
      </x:c>
      <x:c r="N350" s="10" t="str">
        <x:v>不适用于当前外部挂载测试入口</x:v>
      </x:c>
      <x:c r="O350" s="10" t="str">
        <x:v>未执行</x:v>
      </x:c>
      <x:c r="P350" s="10" t="str">
        <x:v>WinFsp 内部</x:v>
      </x:c>
    </x:row>
    <x:row r="351" ht="44" customHeight="1">
      <x:c r="A351" s="11" t="str">
        <x:v>WFP-INT-24</x:v>
      </x:c>
      <x:c r="B351" s="11" t="str">
        <x:v>L5</x:v>
      </x:c>
      <x:c r="C351" s="11" t="str">
        <x:v>平台与扩展边界</x:v>
      </x:c>
      <x:c r="D351" s="11" t="str">
        <x:v>mount_volume_cancel_test</x:v>
      </x:c>
      <x:c r="E351" s="11" t="str">
        <x:v>B Windows / WinFsp</x:v>
      </x:c>
      <x:c r="F351" s="11" t="str">
        <x:v>不适用</x:v>
      </x:c>
      <x:c r="G351" s="11" t="str">
        <x:v>WinFsp 驱动／MEMFS／内部库测试</x:v>
      </x:c>
      <x:c r="H351" s="11" t="str">
        <x:v>由 WinFsp 自身测试工程验证；不能把外部 JuiceFS 盘符作为直接替代</x:v>
      </x:c>
      <x:c r="I351" s="11" t="str">
        <x:v>mount_volume_cancel_test</x:v>
      </x:c>
      <x:c r="J351" s="11" t="str">
        <x:v>E09；S06；E10</x:v>
      </x:c>
      <x:c r="K351" s="11" t="str">
        <x:v>内部用例</x:v>
      </x:c>
      <x:c r="L351" s="11" t="str">
        <x:v>保留完整目录；修改 WinFsp 驱动或适配库时需独立环境重新评估，不计为文件系统通过</x:v>
      </x:c>
      <x:c r="M351" s="11" t="str">
        <x:v>WinFsp 2.1.25156 与 JuiceFS fork 共有内部入口</x:v>
      </x:c>
      <x:c r="N351" s="11" t="str">
        <x:v>不适用于当前外部挂载测试入口</x:v>
      </x:c>
      <x:c r="O351" s="11" t="str">
        <x:v>未执行</x:v>
      </x:c>
      <x:c r="P351" s="11" t="str">
        <x:v>WinFsp 内部</x:v>
      </x:c>
    </x:row>
    <x:row r="352" ht="44" customHeight="1">
      <x:c r="A352" s="10" t="str">
        <x:v>WFP-INT-25</x:v>
      </x:c>
      <x:c r="B352" s="10" t="str">
        <x:v>L5</x:v>
      </x:c>
      <x:c r="C352" s="10" t="str">
        <x:v>平台与扩展边界</x:v>
      </x:c>
      <x:c r="D352" s="10" t="str">
        <x:v>mount_volume_transact_test</x:v>
      </x:c>
      <x:c r="E352" s="10" t="str">
        <x:v>B Windows / WinFsp</x:v>
      </x:c>
      <x:c r="F352" s="10" t="str">
        <x:v>不适用</x:v>
      </x:c>
      <x:c r="G352" s="10" t="str">
        <x:v>WinFsp 驱动／MEMFS／内部库测试</x:v>
      </x:c>
      <x:c r="H352" s="10" t="str">
        <x:v>由 WinFsp 自身测试工程验证；不能把外部 JuiceFS 盘符作为直接替代</x:v>
      </x:c>
      <x:c r="I352" s="10" t="str">
        <x:v>mount_volume_transact_test</x:v>
      </x:c>
      <x:c r="J352" s="10" t="str">
        <x:v>E09；S06；E10</x:v>
      </x:c>
      <x:c r="K352" s="10" t="str">
        <x:v>内部用例</x:v>
      </x:c>
      <x:c r="L352" s="10" t="str">
        <x:v>保留完整目录；修改 WinFsp 驱动或适配库时需独立环境重新评估，不计为文件系统通过</x:v>
      </x:c>
      <x:c r="M352" s="10" t="str">
        <x:v>WinFsp 2.1.25156 与 JuiceFS fork 共有内部入口</x:v>
      </x:c>
      <x:c r="N352" s="10" t="str">
        <x:v>不适用于当前外部挂载测试入口</x:v>
      </x:c>
      <x:c r="O352" s="10" t="str">
        <x:v>未执行</x:v>
      </x:c>
      <x:c r="P352" s="10" t="str">
        <x:v>WinFsp 内部</x:v>
      </x:c>
    </x:row>
    <x:row r="353" ht="44" customHeight="1">
      <x:c r="A353" s="11" t="str">
        <x:v>WFP-INT-26</x:v>
      </x:c>
      <x:c r="B353" s="11" t="str">
        <x:v>L5</x:v>
      </x:c>
      <x:c r="C353" s="11" t="str">
        <x:v>平台与扩展边界</x:v>
      </x:c>
      <x:c r="D353" s="11" t="str">
        <x:v>mount_preflight_test</x:v>
      </x:c>
      <x:c r="E353" s="11" t="str">
        <x:v>B Windows / WinFsp</x:v>
      </x:c>
      <x:c r="F353" s="11" t="str">
        <x:v>不适用</x:v>
      </x:c>
      <x:c r="G353" s="11" t="str">
        <x:v>WinFsp 驱动／MEMFS／内部库测试</x:v>
      </x:c>
      <x:c r="H353" s="11" t="str">
        <x:v>由 WinFsp 自身测试工程验证；不能把外部 JuiceFS 盘符作为直接替代</x:v>
      </x:c>
      <x:c r="I353" s="11" t="str">
        <x:v>mount_preflight_test</x:v>
      </x:c>
      <x:c r="J353" s="11" t="str">
        <x:v>E09；S06；E10</x:v>
      </x:c>
      <x:c r="K353" s="11" t="str">
        <x:v>内部用例</x:v>
      </x:c>
      <x:c r="L353" s="11" t="str">
        <x:v>保留完整目录；修改 WinFsp 驱动或适配库时需独立环境重新评估，不计为文件系统通过</x:v>
      </x:c>
      <x:c r="M353" s="11" t="str">
        <x:v>WinFsp 2.1.25156 与 JuiceFS fork 共有内部入口</x:v>
      </x:c>
      <x:c r="N353" s="11" t="str">
        <x:v>不适用于当前外部挂载测试入口</x:v>
      </x:c>
      <x:c r="O353" s="11" t="str">
        <x:v>未执行</x:v>
      </x:c>
      <x:c r="P353" s="11" t="str">
        <x:v>WinFsp 内部</x:v>
      </x:c>
    </x:row>
    <x:row r="354" ht="44" customHeight="1">
      <x:c r="A354" s="10" t="str">
        <x:v>WFP-INT-27</x:v>
      </x:c>
      <x:c r="B354" s="10" t="str">
        <x:v>L5</x:v>
      </x:c>
      <x:c r="C354" s="10" t="str">
        <x:v>平台与扩展边界</x:v>
      </x:c>
      <x:c r="D354" s="10" t="str">
        <x:v>timeout_pending_test</x:v>
      </x:c>
      <x:c r="E354" s="10" t="str">
        <x:v>B Windows / WinFsp</x:v>
      </x:c>
      <x:c r="F354" s="10" t="str">
        <x:v>不适用</x:v>
      </x:c>
      <x:c r="G354" s="10" t="str">
        <x:v>WinFsp 驱动／MEMFS／内部库测试</x:v>
      </x:c>
      <x:c r="H354" s="10" t="str">
        <x:v>由 WinFsp 自身测试工程验证；不能把外部 JuiceFS 盘符作为直接替代</x:v>
      </x:c>
      <x:c r="I354" s="10" t="str">
        <x:v>timeout_pending_test</x:v>
      </x:c>
      <x:c r="J354" s="10" t="str">
        <x:v>E09；S06；E10</x:v>
      </x:c>
      <x:c r="K354" s="10" t="str">
        <x:v>内部用例</x:v>
      </x:c>
      <x:c r="L354" s="10" t="str">
        <x:v>保留完整目录；修改 WinFsp 驱动或适配库时需独立环境重新评估，不计为文件系统通过</x:v>
      </x:c>
      <x:c r="M354" s="10" t="str">
        <x:v>WinFsp 2.1.25156 与 JuiceFS fork 共有内部入口</x:v>
      </x:c>
      <x:c r="N354" s="10" t="str">
        <x:v>不适用于当前外部挂载测试入口</x:v>
      </x:c>
      <x:c r="O354" s="10" t="str">
        <x:v>未执行</x:v>
      </x:c>
      <x:c r="P354" s="10" t="str">
        <x:v>WinFsp 内部</x:v>
      </x:c>
    </x:row>
    <x:row r="355" ht="44" customHeight="1">
      <x:c r="A355" s="11" t="str">
        <x:v>WFP-INT-28</x:v>
      </x:c>
      <x:c r="B355" s="11" t="str">
        <x:v>L5</x:v>
      </x:c>
      <x:c r="C355" s="11" t="str">
        <x:v>平台与扩展边界</x:v>
      </x:c>
      <x:c r="D355" s="11" t="str">
        <x:v>timeout_transact_test</x:v>
      </x:c>
      <x:c r="E355" s="11" t="str">
        <x:v>B Windows / WinFsp</x:v>
      </x:c>
      <x:c r="F355" s="11" t="str">
        <x:v>不适用</x:v>
      </x:c>
      <x:c r="G355" s="11" t="str">
        <x:v>WinFsp 驱动／MEMFS／内部库测试</x:v>
      </x:c>
      <x:c r="H355" s="11" t="str">
        <x:v>由 WinFsp 自身测试工程验证；不能把外部 JuiceFS 盘符作为直接替代</x:v>
      </x:c>
      <x:c r="I355" s="11" t="str">
        <x:v>timeout_transact_test</x:v>
      </x:c>
      <x:c r="J355" s="11" t="str">
        <x:v>E09；S06；E10</x:v>
      </x:c>
      <x:c r="K355" s="11" t="str">
        <x:v>内部用例</x:v>
      </x:c>
      <x:c r="L355" s="11" t="str">
        <x:v>保留完整目录；修改 WinFsp 驱动或适配库时需独立环境重新评估，不计为文件系统通过</x:v>
      </x:c>
      <x:c r="M355" s="11" t="str">
        <x:v>WinFsp 2.1.25156 与 JuiceFS fork 共有内部入口</x:v>
      </x:c>
      <x:c r="N355" s="11" t="str">
        <x:v>不适用于当前外部挂载测试入口</x:v>
      </x:c>
      <x:c r="O355" s="11" t="str">
        <x:v>未执行</x:v>
      </x:c>
      <x:c r="P355" s="11" t="str">
        <x:v>WinFsp 内部</x:v>
      </x:c>
    </x:row>
    <x:row r="356" ht="44" customHeight="1">
      <x:c r="A356" s="10" t="str">
        <x:v>WFP-INT-29</x:v>
      </x:c>
      <x:c r="B356" s="10" t="str">
        <x:v>L5</x:v>
      </x:c>
      <x:c r="C356" s="10" t="str">
        <x:v>平台与扩展边界</x:v>
      </x:c>
      <x:c r="D356" s="10" t="str">
        <x:v>memfs_test</x:v>
      </x:c>
      <x:c r="E356" s="10" t="str">
        <x:v>B Windows / WinFsp</x:v>
      </x:c>
      <x:c r="F356" s="10" t="str">
        <x:v>不适用</x:v>
      </x:c>
      <x:c r="G356" s="10" t="str">
        <x:v>WinFsp 驱动／MEMFS／内部库测试</x:v>
      </x:c>
      <x:c r="H356" s="10" t="str">
        <x:v>由 WinFsp 自身测试工程验证；不能把外部 JuiceFS 盘符作为直接替代</x:v>
      </x:c>
      <x:c r="I356" s="10" t="str">
        <x:v>memfs_test</x:v>
      </x:c>
      <x:c r="J356" s="10" t="str">
        <x:v>E09；S06；E10</x:v>
      </x:c>
      <x:c r="K356" s="10" t="str">
        <x:v>内部用例</x:v>
      </x:c>
      <x:c r="L356" s="10" t="str">
        <x:v>保留完整目录；修改 WinFsp 驱动或适配库时需独立环境重新评估，不计为文件系统通过</x:v>
      </x:c>
      <x:c r="M356" s="10" t="str">
        <x:v>WinFsp 2.1.25156 与 JuiceFS fork 共有内部入口</x:v>
      </x:c>
      <x:c r="N356" s="10" t="str">
        <x:v>不适用于当前外部挂载测试入口</x:v>
      </x:c>
      <x:c r="O356" s="10" t="str">
        <x:v>未执行</x:v>
      </x:c>
      <x:c r="P356" s="10" t="str">
        <x:v>WinFsp 内部</x:v>
      </x:c>
    </x:row>
    <x:row r="357" ht="44" customHeight="1">
      <x:c r="A357" s="11" t="str">
        <x:v>WFP-INT-30</x:v>
      </x:c>
      <x:c r="B357" s="11" t="str">
        <x:v>L5</x:v>
      </x:c>
      <x:c r="C357" s="11" t="str">
        <x:v>平台与扩展边界</x:v>
      </x:c>
      <x:c r="D357" s="11" t="str">
        <x:v>create_pid_test</x:v>
      </x:c>
      <x:c r="E357" s="11" t="str">
        <x:v>B Windows / WinFsp</x:v>
      </x:c>
      <x:c r="F357" s="11" t="str">
        <x:v>不适用</x:v>
      </x:c>
      <x:c r="G357" s="11" t="str">
        <x:v>WinFsp 驱动／MEMFS／内部库测试</x:v>
      </x:c>
      <x:c r="H357" s="11" t="str">
        <x:v>由 WinFsp 自身测试工程验证；不能把外部 JuiceFS 盘符作为直接替代</x:v>
      </x:c>
      <x:c r="I357" s="11" t="str">
        <x:v>create_pid_test</x:v>
      </x:c>
      <x:c r="J357" s="11" t="str">
        <x:v>E09；S06；E10</x:v>
      </x:c>
      <x:c r="K357" s="11" t="str">
        <x:v>内部用例</x:v>
      </x:c>
      <x:c r="L357" s="11" t="str">
        <x:v>保留完整目录；修改 WinFsp 驱动或适配库时需独立环境重新评估，不计为文件系统通过</x:v>
      </x:c>
      <x:c r="M357" s="11" t="str">
        <x:v>WinFsp 2.1.25156 与 JuiceFS fork 共有内部入口</x:v>
      </x:c>
      <x:c r="N357" s="11" t="str">
        <x:v>不适用于当前外部挂载测试入口</x:v>
      </x:c>
      <x:c r="O357" s="11" t="str">
        <x:v>未执行</x:v>
      </x:c>
      <x:c r="P357" s="11" t="str">
        <x:v>WinFsp 内部</x:v>
      </x:c>
    </x:row>
    <x:row r="358" ht="44" customHeight="1">
      <x:c r="A358" s="10" t="str">
        <x:v>WFP-INT-31</x:v>
      </x:c>
      <x:c r="B358" s="10" t="str">
        <x:v>L5</x:v>
      </x:c>
      <x:c r="C358" s="10" t="str">
        <x:v>平台与扩展边界</x:v>
      </x:c>
      <x:c r="D358" s="10" t="str">
        <x:v>rename_pid_test</x:v>
      </x:c>
      <x:c r="E358" s="10" t="str">
        <x:v>B Windows / WinFsp</x:v>
      </x:c>
      <x:c r="F358" s="10" t="str">
        <x:v>不适用</x:v>
      </x:c>
      <x:c r="G358" s="10" t="str">
        <x:v>WinFsp 驱动／MEMFS／内部库测试</x:v>
      </x:c>
      <x:c r="H358" s="10" t="str">
        <x:v>由 WinFsp 自身测试工程验证；不能把外部 JuiceFS 盘符作为直接替代</x:v>
      </x:c>
      <x:c r="I358" s="10" t="str">
        <x:v>rename_pid_test</x:v>
      </x:c>
      <x:c r="J358" s="10" t="str">
        <x:v>E09；S06；E10</x:v>
      </x:c>
      <x:c r="K358" s="10" t="str">
        <x:v>内部用例</x:v>
      </x:c>
      <x:c r="L358" s="10" t="str">
        <x:v>保留完整目录；修改 WinFsp 驱动或适配库时需独立环境重新评估，不计为文件系统通过</x:v>
      </x:c>
      <x:c r="M358" s="10" t="str">
        <x:v>WinFsp 2.1.25156 与 JuiceFS fork 共有内部入口</x:v>
      </x:c>
      <x:c r="N358" s="10" t="str">
        <x:v>不适用于当前外部挂载测试入口</x:v>
      </x:c>
      <x:c r="O358" s="10" t="str">
        <x:v>未执行</x:v>
      </x:c>
      <x:c r="P358" s="10" t="str">
        <x:v>WinFsp 内部</x:v>
      </x:c>
    </x:row>
    <x:row r="359" ht="44" customHeight="1">
      <x:c r="A359" s="11" t="str">
        <x:v>WFP-INT-32</x:v>
      </x:c>
      <x:c r="B359" s="11" t="str">
        <x:v>L5</x:v>
      </x:c>
      <x:c r="C359" s="11" t="str">
        <x:v>平台与扩展边界</x:v>
      </x:c>
      <x:c r="D359" s="11" t="str">
        <x:v>query_winfsp_test</x:v>
      </x:c>
      <x:c r="E359" s="11" t="str">
        <x:v>B Windows / WinFsp</x:v>
      </x:c>
      <x:c r="F359" s="11" t="str">
        <x:v>不适用</x:v>
      </x:c>
      <x:c r="G359" s="11" t="str">
        <x:v>WinFsp 驱动／MEMFS／内部库测试</x:v>
      </x:c>
      <x:c r="H359" s="11" t="str">
        <x:v>由 WinFsp 自身测试工程验证；不能把外部 JuiceFS 盘符作为直接替代</x:v>
      </x:c>
      <x:c r="I359" s="11" t="str">
        <x:v>query_winfsp_test</x:v>
      </x:c>
      <x:c r="J359" s="11" t="str">
        <x:v>E09；S06；E10</x:v>
      </x:c>
      <x:c r="K359" s="11" t="str">
        <x:v>内部用例</x:v>
      </x:c>
      <x:c r="L359" s="11" t="str">
        <x:v>保留完整目录；修改 WinFsp 驱动或适配库时需独立环境重新评估，不计为文件系统通过</x:v>
      </x:c>
      <x:c r="M359" s="11" t="str">
        <x:v>WinFsp 2.1.25156 与 JuiceFS fork 共有内部入口</x:v>
      </x:c>
      <x:c r="N359" s="11" t="str">
        <x:v>不适用于当前外部挂载测试入口</x:v>
      </x:c>
      <x:c r="O359" s="11" t="str">
        <x:v>未执行</x:v>
      </x:c>
      <x:c r="P359" s="11" t="str">
        <x:v>WinFsp 内部</x:v>
      </x:c>
    </x:row>
    <x:row r="360" ht="44" customHeight="1">
      <x:c r="A360" s="10" t="str">
        <x:v>WFP-INT-33</x:v>
      </x:c>
      <x:c r="B360" s="10" t="str">
        <x:v>L5</x:v>
      </x:c>
      <x:c r="C360" s="10" t="str">
        <x:v>平台与扩展边界</x:v>
      </x:c>
      <x:c r="D360" s="10" t="str">
        <x:v>devctl_test</x:v>
      </x:c>
      <x:c r="E360" s="10" t="str">
        <x:v>B Windows / WinFsp</x:v>
      </x:c>
      <x:c r="F360" s="10" t="str">
        <x:v>不适用</x:v>
      </x:c>
      <x:c r="G360" s="10" t="str">
        <x:v>WinFsp 驱动／MEMFS／内部库测试</x:v>
      </x:c>
      <x:c r="H360" s="10" t="str">
        <x:v>由 WinFsp 自身测试工程验证；不能把外部 JuiceFS 盘符作为直接替代</x:v>
      </x:c>
      <x:c r="I360" s="10" t="str">
        <x:v>devctl_test</x:v>
      </x:c>
      <x:c r="J360" s="10" t="str">
        <x:v>E09；S06；E10</x:v>
      </x:c>
      <x:c r="K360" s="10" t="str">
        <x:v>内部用例</x:v>
      </x:c>
      <x:c r="L360" s="10" t="str">
        <x:v>保留完整目录；修改 WinFsp 驱动或适配库时需独立环境重新评估，不计为文件系统通过</x:v>
      </x:c>
      <x:c r="M360" s="10" t="str">
        <x:v>WinFsp 2.1.25156 与 JuiceFS fork 共有内部入口</x:v>
      </x:c>
      <x:c r="N360" s="10" t="str">
        <x:v>不适用于当前外部挂载测试入口</x:v>
      </x:c>
      <x:c r="O360" s="10" t="str">
        <x:v>未执行</x:v>
      </x:c>
      <x:c r="P360" s="10" t="str">
        <x:v>WinFsp 内部</x:v>
      </x:c>
    </x:row>
    <x:row r="361" ht="44" customHeight="1">
      <x:c r="A361" s="11" t="str">
        <x:v>WFP-INT-34</x:v>
      </x:c>
      <x:c r="B361" s="11" t="str">
        <x:v>L5</x:v>
      </x:c>
      <x:c r="C361" s="11" t="str">
        <x:v>平台与扩展边界</x:v>
      </x:c>
      <x:c r="D361" s="11" t="str">
        <x:v>notify_abandon_test</x:v>
      </x:c>
      <x:c r="E361" s="11" t="str">
        <x:v>B Windows / WinFsp</x:v>
      </x:c>
      <x:c r="F361" s="11" t="str">
        <x:v>不适用</x:v>
      </x:c>
      <x:c r="G361" s="11" t="str">
        <x:v>WinFsp 驱动／MEMFS／内部库测试</x:v>
      </x:c>
      <x:c r="H361" s="11" t="str">
        <x:v>由 WinFsp 自身测试工程验证；不能把外部 JuiceFS 盘符作为直接替代</x:v>
      </x:c>
      <x:c r="I361" s="11" t="str">
        <x:v>notify_abandon_test</x:v>
      </x:c>
      <x:c r="J361" s="11" t="str">
        <x:v>E09；S06；E10</x:v>
      </x:c>
      <x:c r="K361" s="11" t="str">
        <x:v>内部用例</x:v>
      </x:c>
      <x:c r="L361" s="11" t="str">
        <x:v>保留完整目录；修改 WinFsp 驱动或适配库时需独立环境重新评估，不计为文件系统通过</x:v>
      </x:c>
      <x:c r="M361" s="11" t="str">
        <x:v>WinFsp 2.1.25156 与 JuiceFS fork 共有内部入口</x:v>
      </x:c>
      <x:c r="N361" s="11" t="str">
        <x:v>不适用于当前外部挂载测试入口</x:v>
      </x:c>
      <x:c r="O361" s="11" t="str">
        <x:v>未执行</x:v>
      </x:c>
      <x:c r="P361" s="11" t="str">
        <x:v>WinFsp 内部</x:v>
      </x:c>
    </x:row>
    <x:row r="362" ht="44" customHeight="1">
      <x:c r="A362" s="10" t="str">
        <x:v>WFP-INT-35</x:v>
      </x:c>
      <x:c r="B362" s="10" t="str">
        <x:v>L5</x:v>
      </x:c>
      <x:c r="C362" s="10" t="str">
        <x:v>平台与扩展边界</x:v>
      </x:c>
      <x:c r="D362" s="10" t="str">
        <x:v>notify_abandon_rename_test</x:v>
      </x:c>
      <x:c r="E362" s="10" t="str">
        <x:v>B Windows / WinFsp</x:v>
      </x:c>
      <x:c r="F362" s="10" t="str">
        <x:v>不适用</x:v>
      </x:c>
      <x:c r="G362" s="10" t="str">
        <x:v>WinFsp 驱动／MEMFS／内部库测试</x:v>
      </x:c>
      <x:c r="H362" s="10" t="str">
        <x:v>由 WinFsp 自身测试工程验证；不能把外部 JuiceFS 盘符作为直接替代</x:v>
      </x:c>
      <x:c r="I362" s="10" t="str">
        <x:v>notify_abandon_rename_test</x:v>
      </x:c>
      <x:c r="J362" s="10" t="str">
        <x:v>E09；S06；E10</x:v>
      </x:c>
      <x:c r="K362" s="10" t="str">
        <x:v>内部用例</x:v>
      </x:c>
      <x:c r="L362" s="10" t="str">
        <x:v>保留完整目录；修改 WinFsp 驱动或适配库时需独立环境重新评估，不计为文件系统通过</x:v>
      </x:c>
      <x:c r="M362" s="10" t="str">
        <x:v>WinFsp 2.1.25156 与 JuiceFS fork 共有内部入口</x:v>
      </x:c>
      <x:c r="N362" s="10" t="str">
        <x:v>不适用于当前外部挂载测试入口</x:v>
      </x:c>
      <x:c r="O362" s="10" t="str">
        <x:v>未执行</x:v>
      </x:c>
      <x:c r="P362" s="10" t="str">
        <x:v>WinFsp 内部</x:v>
      </x:c>
    </x:row>
    <x:row r="363" ht="44" customHeight="1">
      <x:c r="A363" s="11" t="str">
        <x:v>WFP-INT-36</x:v>
      </x:c>
      <x:c r="B363" s="11" t="str">
        <x:v>L5</x:v>
      </x:c>
      <x:c r="C363" s="11" t="str">
        <x:v>平台与扩展边界</x:v>
      </x:c>
      <x:c r="D363" s="11" t="str">
        <x:v>notify_multiple_end_test</x:v>
      </x:c>
      <x:c r="E363" s="11" t="str">
        <x:v>B Windows / WinFsp</x:v>
      </x:c>
      <x:c r="F363" s="11" t="str">
        <x:v>不适用</x:v>
      </x:c>
      <x:c r="G363" s="11" t="str">
        <x:v>WinFsp 驱动／MEMFS／内部库测试</x:v>
      </x:c>
      <x:c r="H363" s="11" t="str">
        <x:v>由 WinFsp 自身测试工程验证；不能把外部 JuiceFS 盘符作为直接替代</x:v>
      </x:c>
      <x:c r="I363" s="11" t="str">
        <x:v>notify_multiple_end_test</x:v>
      </x:c>
      <x:c r="J363" s="11" t="str">
        <x:v>E09；S06；E10</x:v>
      </x:c>
      <x:c r="K363" s="11" t="str">
        <x:v>内部用例</x:v>
      </x:c>
      <x:c r="L363" s="11" t="str">
        <x:v>保留完整目录；修改 WinFsp 驱动或适配库时需独立环境重新评估，不计为文件系统通过</x:v>
      </x:c>
      <x:c r="M363" s="11" t="str">
        <x:v>WinFsp 2.1.25156 与 JuiceFS fork 共有内部入口</x:v>
      </x:c>
      <x:c r="N363" s="11" t="str">
        <x:v>不适用于当前外部挂载测试入口</x:v>
      </x:c>
      <x:c r="O363" s="11" t="str">
        <x:v>未执行</x:v>
      </x:c>
      <x:c r="P363" s="11" t="str">
        <x:v>WinFsp 内部</x:v>
      </x:c>
    </x:row>
    <x:row r="364" ht="44" customHeight="1">
      <x:c r="A364" s="10" t="str">
        <x:v>WFP-INT-37</x:v>
      </x:c>
      <x:c r="B364" s="10" t="str">
        <x:v>L5</x:v>
      </x:c>
      <x:c r="C364" s="10" t="str">
        <x:v>平台与扩展边界</x:v>
      </x:c>
      <x:c r="D364" s="10" t="str">
        <x:v>notify_change_test</x:v>
      </x:c>
      <x:c r="E364" s="10" t="str">
        <x:v>B Windows / WinFsp</x:v>
      </x:c>
      <x:c r="F364" s="10" t="str">
        <x:v>不适用</x:v>
      </x:c>
      <x:c r="G364" s="10" t="str">
        <x:v>WinFsp 驱动／MEMFS／内部库测试</x:v>
      </x:c>
      <x:c r="H364" s="10" t="str">
        <x:v>由 WinFsp 自身测试工程验证；不能把外部 JuiceFS 盘符作为直接替代</x:v>
      </x:c>
      <x:c r="I364" s="10" t="str">
        <x:v>notify_change_test</x:v>
      </x:c>
      <x:c r="J364" s="10" t="str">
        <x:v>E09；S06；E10</x:v>
      </x:c>
      <x:c r="K364" s="10" t="str">
        <x:v>内部用例</x:v>
      </x:c>
      <x:c r="L364" s="10" t="str">
        <x:v>保留完整目录；修改 WinFsp 驱动或适配库时需独立环境重新评估，不计为文件系统通过</x:v>
      </x:c>
      <x:c r="M364" s="10" t="str">
        <x:v>WinFsp 2.1.25156 与 JuiceFS fork 共有内部入口</x:v>
      </x:c>
      <x:c r="N364" s="10" t="str">
        <x:v>不适用于当前外部挂载测试入口</x:v>
      </x:c>
      <x:c r="O364" s="10" t="str">
        <x:v>未执行</x:v>
      </x:c>
      <x:c r="P364" s="10" t="str">
        <x:v>WinFsp 内部</x:v>
      </x:c>
    </x:row>
    <x:row r="365" ht="44" customHeight="1">
      <x:c r="A365" s="11" t="str">
        <x:v>WFP-INT-38</x:v>
      </x:c>
      <x:c r="B365" s="11" t="str">
        <x:v>L5</x:v>
      </x:c>
      <x:c r="C365" s="11" t="str">
        <x:v>平台与扩展边界</x:v>
      </x:c>
      <x:c r="D365" s="11" t="str">
        <x:v>notify_open_change_test</x:v>
      </x:c>
      <x:c r="E365" s="11" t="str">
        <x:v>B Windows / WinFsp</x:v>
      </x:c>
      <x:c r="F365" s="11" t="str">
        <x:v>不适用</x:v>
      </x:c>
      <x:c r="G365" s="11" t="str">
        <x:v>WinFsp 驱动／MEMFS／内部库测试</x:v>
      </x:c>
      <x:c r="H365" s="11" t="str">
        <x:v>由 WinFsp 自身测试工程验证；不能把外部 JuiceFS 盘符作为直接替代</x:v>
      </x:c>
      <x:c r="I365" s="11" t="str">
        <x:v>notify_open_change_test</x:v>
      </x:c>
      <x:c r="J365" s="11" t="str">
        <x:v>E09；S06；E10</x:v>
      </x:c>
      <x:c r="K365" s="11" t="str">
        <x:v>内部用例</x:v>
      </x:c>
      <x:c r="L365" s="11" t="str">
        <x:v>保留完整目录；修改 WinFsp 驱动或适配库时需独立环境重新评估，不计为文件系统通过</x:v>
      </x:c>
      <x:c r="M365" s="11" t="str">
        <x:v>WinFsp 2.1.25156 与 JuiceFS fork 共有内部入口</x:v>
      </x:c>
      <x:c r="N365" s="11" t="str">
        <x:v>不适用于当前外部挂载测试入口</x:v>
      </x:c>
      <x:c r="O365" s="11" t="str">
        <x:v>未执行</x:v>
      </x:c>
      <x:c r="P365" s="11" t="str">
        <x:v>WinFsp 内部</x:v>
      </x:c>
    </x:row>
    <x:row r="366" ht="44" customHeight="1">
      <x:c r="A366" s="10" t="str">
        <x:v>WFP-INT-39</x:v>
      </x:c>
      <x:c r="B366" s="10" t="str">
        <x:v>L5</x:v>
      </x:c>
      <x:c r="C366" s="10" t="str">
        <x:v>平台与扩展边界</x:v>
      </x:c>
      <x:c r="D366" s="10" t="str">
        <x:v>notify_dirnotify_test</x:v>
      </x:c>
      <x:c r="E366" s="10" t="str">
        <x:v>B Windows / WinFsp</x:v>
      </x:c>
      <x:c r="F366" s="10" t="str">
        <x:v>不适用</x:v>
      </x:c>
      <x:c r="G366" s="10" t="str">
        <x:v>WinFsp 驱动／MEMFS／内部库测试</x:v>
      </x:c>
      <x:c r="H366" s="10" t="str">
        <x:v>由 WinFsp 自身测试工程验证；不能把外部 JuiceFS 盘符作为直接替代</x:v>
      </x:c>
      <x:c r="I366" s="10" t="str">
        <x:v>notify_dirnotify_test</x:v>
      </x:c>
      <x:c r="J366" s="10" t="str">
        <x:v>E09；S06；E10</x:v>
      </x:c>
      <x:c r="K366" s="10" t="str">
        <x:v>内部用例</x:v>
      </x:c>
      <x:c r="L366" s="10" t="str">
        <x:v>保留完整目录；修改 WinFsp 驱动或适配库时需独立环境重新评估，不计为文件系统通过</x:v>
      </x:c>
      <x:c r="M366" s="10" t="str">
        <x:v>WinFsp 2.1.25156 与 JuiceFS fork 共有内部入口</x:v>
      </x:c>
      <x:c r="N366" s="10" t="str">
        <x:v>不适用于当前外部挂载测试入口</x:v>
      </x:c>
      <x:c r="O366" s="10" t="str">
        <x:v>未执行</x:v>
      </x:c>
      <x:c r="P366" s="10" t="str">
        <x:v>WinFsp 内部</x:v>
      </x:c>
    </x:row>
    <x:row r="367" ht="44" customHeight="1">
      <x:c r="A367" s="11" t="str">
        <x:v>WFP-INT-40</x:v>
      </x:c>
      <x:c r="B367" s="11" t="str">
        <x:v>L5</x:v>
      </x:c>
      <x:c r="C367" s="11" t="str">
        <x:v>平台与扩展边界</x:v>
      </x:c>
      <x:c r="D367" s="11" t="str">
        <x:v>volpath_test</x:v>
      </x:c>
      <x:c r="E367" s="11" t="str">
        <x:v>B Windows / WinFsp</x:v>
      </x:c>
      <x:c r="F367" s="11" t="str">
        <x:v>不适用</x:v>
      </x:c>
      <x:c r="G367" s="11" t="str">
        <x:v>WinFsp 驱动／MEMFS／内部库测试</x:v>
      </x:c>
      <x:c r="H367" s="11" t="str">
        <x:v>由 WinFsp 自身测试工程验证；不能把外部 JuiceFS 盘符作为直接替代</x:v>
      </x:c>
      <x:c r="I367" s="11" t="str">
        <x:v>volpath_test</x:v>
      </x:c>
      <x:c r="J367" s="11" t="str">
        <x:v>E09；S06；E10</x:v>
      </x:c>
      <x:c r="K367" s="11" t="str">
        <x:v>内部用例</x:v>
      </x:c>
      <x:c r="L367" s="11" t="str">
        <x:v>保留完整目录；修改 WinFsp 驱动或适配库时需独立环境重新评估，不计为文件系统通过</x:v>
      </x:c>
      <x:c r="M367" s="11" t="str">
        <x:v>WinFsp 2.1.25156 与 JuiceFS fork 共有内部入口</x:v>
      </x:c>
      <x:c r="N367" s="11" t="str">
        <x:v>不适用于当前外部挂载测试入口</x:v>
      </x:c>
      <x:c r="O367" s="11" t="str">
        <x:v>未执行</x:v>
      </x:c>
      <x:c r="P367" s="11" t="str">
        <x:v>WinFsp 内部</x:v>
      </x:c>
    </x:row>
    <x:row r="368" ht="44" customHeight="1">
      <x:c r="A368" s="10" t="str">
        <x:v>WFP-INT-41</x:v>
      </x:c>
      <x:c r="B368" s="10" t="str">
        <x:v>L5</x:v>
      </x:c>
      <x:c r="C368" s="10" t="str">
        <x:v>平台与扩展边界</x:v>
      </x:c>
      <x:c r="D368" s="10" t="str">
        <x:v>volpath_mount_test</x:v>
      </x:c>
      <x:c r="E368" s="10" t="str">
        <x:v>B Windows / WinFsp</x:v>
      </x:c>
      <x:c r="F368" s="10" t="str">
        <x:v>不适用</x:v>
      </x:c>
      <x:c r="G368" s="10" t="str">
        <x:v>WinFsp 驱动／MEMFS／内部库测试</x:v>
      </x:c>
      <x:c r="H368" s="10" t="str">
        <x:v>由 WinFsp 自身测试工程验证；不能把外部 JuiceFS 盘符作为直接替代</x:v>
      </x:c>
      <x:c r="I368" s="10" t="str">
        <x:v>volpath_mount_test</x:v>
      </x:c>
      <x:c r="J368" s="10" t="str">
        <x:v>E09；S06；E10</x:v>
      </x:c>
      <x:c r="K368" s="10" t="str">
        <x:v>内部用例</x:v>
      </x:c>
      <x:c r="L368" s="10" t="str">
        <x:v>保留完整目录；修改 WinFsp 驱动或适配库时需独立环境重新评估，不计为文件系统通过</x:v>
      </x:c>
      <x:c r="M368" s="10" t="str">
        <x:v>WinFsp 2.1.25156 与 JuiceFS fork 共有内部入口</x:v>
      </x:c>
      <x:c r="N368" s="10" t="str">
        <x:v>不适用于当前外部挂载测试入口</x:v>
      </x:c>
      <x:c r="O368" s="10" t="str">
        <x:v>未执行</x:v>
      </x:c>
      <x:c r="P368" s="10" t="str">
        <x:v>WinFsp 内部</x:v>
      </x:c>
    </x:row>
    <x:row r="369" ht="44" customHeight="1">
      <x:c r="A369" s="11" t="str">
        <x:v>WFP-OPT-37</x:v>
      </x:c>
      <x:c r="B369" s="11" t="str">
        <x:v>L5</x:v>
      </x:c>
      <x:c r="C369" s="11" t="str">
        <x:v>平台与扩展边界</x:v>
      </x:c>
      <x:c r="D369" s="11" t="str">
        <x:v>WSL 元数据查询（JuiceFS fork）</x:v>
      </x:c>
      <x:c r="E369" s="11" t="str">
        <x:v>B Windows / WinFsp</x:v>
      </x:c>
      <x:c r="F369" s="11" t="str">
        <x:v>待执行</x:v>
      </x:c>
      <x:c r="G369" s="11" t="str">
        <x:v>JuiceFS 测试包全部外部模式；此版本无逐项执行证据</x:v>
      </x:c>
      <x:c r="H369" s="11" t="str">
        <x:v>保留该测试包断言；原版同名结果不能转记为此包通过</x:v>
      </x:c>
      <x:c r="I369" s="11" t="str">
        <x:v>wsl_stat_test</x:v>
      </x:c>
      <x:c r="J369" s="11" t="str">
        <x:v>S04；E10</x:v>
      </x:c>
      <x:c r="K369" s="11" t="str">
        <x:v>用例</x:v>
      </x:c>
      <x:c r="L369" s="11" t="str">
        <x:v>已完整登记；原版同名入口见 NATIVE-094，执行版本和参数不同</x:v>
      </x:c>
      <x:c r="M369" s="11" t="str">
        <x:v>juicedata/winfsp testing_suit_20250324；--external --resilient +*</x:v>
      </x:c>
      <x:c r="N369" s="11" t="str">
        <x:v>WSL 扩展待确认</x:v>
      </x:c>
      <x:c r="O369" s="11" t="str">
        <x:v>未执行该版本入口</x:v>
      </x:c>
      <x:c r="P369" s="11" t="str">
        <x:v>JuiceFS fork 外部</x:v>
      </x:c>
    </x:row>
    <x:row r="370" ht="24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</x:row>
  </x:sheetData>
  <x:conditionalFormatting sqref="F6:F369">
    <x:cfRule type="expression" dxfId="0" priority="1">
      <x:formula>OR($F6="已失败",$F6="已超时")</x:formula>
    </x:cfRule>
    <x:cfRule type="expression" dxfId="1" priority="2">
      <x:formula>OR($F6="待补充",$F6="已跳过",$F6="待执行")</x:formula>
    </x:cfRule>
    <x:cfRule type="expression" dxfId="2" priority="3">
      <x:formula>$F6="范围外"</x:formula>
    </x:cfRule>
  </x:conditionalFormatting>
  <x:dataValidations count="4">
    <x:dataValidation type="list" sqref="B6:B369">
      <x:formula1>"L1,L2,L3,L4,L5"</x:formula1>
    </x:dataValidation>
    <x:dataValidation type="list" sqref="F6:F369">
      <x:formula1>"已通过,已失败,已超时,已跳过,待执行,待补充,范围外,不适用"</x:formula1>
    </x:dataValidation>
    <x:dataValidation type="list" sqref="C6:C369">
      <x:formula1>"文件读写与完整性,命名与目录,属性与权限,并发与文件锁,刷新与一致性,缓存与后台上传,挂载与元数据生命周期,网关与后端重试,崩溃与资源耗尽,应用与界面兼容,性能与规模,平台与扩展边界"</x:formula1>
    </x:dataValidation>
    <x:dataValidation type="list" sqref="E6:E369">
      <x:formula1>"A JuiceFS 官方 Windows,B Windows / WinFsp,C 项目补充,D 外部基准补充"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a337ba39dd492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40" hidden="0" customWidth="1"/>
    <x:col min="4" max="4" width="49" hidden="0" customWidth="1"/>
    <x:col min="5" max="5" width="39" hidden="0" customWidth="1"/>
    <x:col min="6" max="6" width="38" hidden="0" customWidth="1"/>
    <x:col min="7" max="7" width="37" hidden="0" customWidth="1"/>
    <x:col min="8" max="8" width="3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分级标准与执行依据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8" t="str">
        <x:v>级别</x:v>
      </x:c>
      <x:c r="B4" s="8" t="str">
        <x:v>定义</x:v>
      </x:c>
      <x:c r="C4" s="8" t="str">
        <x:v>典型风险</x:v>
      </x:c>
      <x:c r="D4" s="8" t="str">
        <x:v>建议发布要求</x:v>
      </x:c>
      <x:c r="E4" s="8" t="str">
        <x:v>建议执行时机</x:v>
      </x:c>
      <x:c r="F4" s="2"/>
      <x:c r="G4" s="2"/>
      <x:c r="H4" s="2"/>
    </x:row>
    <x:row r="5" ht="66" customHeight="1">
      <x:c r="A5" s="9" t="str">
        <x:v>L1</x:v>
      </x:c>
      <x:c r="B5" s="9" t="str">
        <x:v>数据安全与一致性</x:v>
      </x:c>
      <x:c r="C5" s="9" t="str">
        <x:v>静默内容错误、元数据损坏、已持久化数据丢失、跨卷误操作</x:v>
      </x:c>
      <x:c r="D5" s="9" t="str">
        <x:v>当前支持范围内必须通过；失败阻塞验收</x:v>
      </x:c>
      <x:c r="E5" s="9" t="str">
        <x:v>相关改动必测；发布前完整回归</x:v>
      </x:c>
      <x:c r="F5" s="2"/>
      <x:c r="G5" s="2"/>
      <x:c r="H5" s="2"/>
    </x:row>
    <x:row r="6" ht="66" customHeight="1">
      <x:c r="A6" s="9" t="str">
        <x:v>L2</x:v>
      </x:c>
      <x:c r="B6" s="9" t="str">
        <x:v>核心功能与可恢复性</x:v>
      </x:c>
      <x:c r="C6" s="9" t="str">
        <x:v>无法挂载、基本文件操作失败、无法恢复上传或安全退出</x:v>
      </x:c>
      <x:c r="D6" s="9" t="str">
        <x:v>当前支持范围核心流程必须通过</x:v>
      </x:c>
      <x:c r="E6" s="9" t="str">
        <x:v>每次候选构建；真实网盘发布前运行</x:v>
      </x:c>
      <x:c r="F6" s="2"/>
      <x:c r="G6" s="2"/>
      <x:c r="H6" s="2"/>
    </x:row>
    <x:row r="7" ht="66" customHeight="1">
      <x:c r="A7" s="9" t="str">
        <x:v>L3</x:v>
      </x:c>
      <x:c r="B7" s="9" t="str">
        <x:v>兼容性与配置体验</x:v>
      </x:c>
      <x:c r="C7" s="9" t="str">
        <x:v>部分 Windows 语义、路径、属性、应用或界面配置异常</x:v>
      </x:c>
      <x:c r="D7" s="9" t="str">
        <x:v>声明支持的功能必须验证；未支持项明确记录</x:v>
      </x:c>
      <x:c r="E7" s="9" t="str">
        <x:v>相关改动、夜间或发布前兼容性回归</x:v>
      </x:c>
      <x:c r="F7" s="2"/>
      <x:c r="G7" s="2"/>
      <x:c r="H7" s="2"/>
    </x:row>
    <x:row r="8" ht="66" customHeight="1">
      <x:c r="A8" s="9" t="str">
        <x:v>L4</x:v>
      </x:c>
      <x:c r="B8" s="9" t="str">
        <x:v>性能与资源效率</x:v>
      </x:c>
      <x:c r="C8" s="9" t="str">
        <x:v>吞吐、延迟、资源消耗或缓存效率退化</x:v>
      </x:c>
      <x:c r="D8" s="9" t="str">
        <x:v>先定义可复核基线和目标；不虚构通过阈值</x:v>
      </x:c>
      <x:c r="E8" s="9" t="str">
        <x:v>性能变更和版本基线测试</x:v>
      </x:c>
      <x:c r="F8" s="2"/>
      <x:c r="G8" s="2"/>
      <x:c r="H8" s="2"/>
    </x:row>
    <x:row r="9" ht="66" customHeight="1">
      <x:c r="A9" s="9" t="str">
        <x:v>L5</x:v>
      </x:c>
      <x:c r="B9" s="9" t="str">
        <x:v>当前范围外的扩展验证</x:v>
      </x:c>
      <x:c r="C9" s="9" t="str">
        <x:v>Linux、多设备共享元数据、未来迁移能力</x:v>
      </x:c>
      <x:c r="D9" s="9" t="str">
        <x:v>不作为当前 Windows 版本门槛；纳入后重新定级</x:v>
      </x:c>
      <x:c r="E9" s="9" t="str">
        <x:v>对应能力进入产品范围时</x:v>
      </x:c>
      <x:c r="F9" s="2"/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32" customHeight="1">
      <x:c r="A11" s="8" t="str">
        <x:v>状态</x:v>
      </x:c>
      <x:c r="B11" s="8" t="str">
        <x:v>含义</x:v>
      </x:c>
      <x:c r="C11" s="8" t="str">
        <x:v>使用要求</x:v>
      </x:c>
      <x:c r="D11" s="8" t="str">
        <x:v>与发布结果的关系</x:v>
      </x:c>
      <x:c r="E11" s="8" t="str">
        <x:v>边界</x:v>
      </x:c>
      <x:c r="F11" s="2"/>
      <x:c r="G11" s="2"/>
      <x:c r="H11" s="2"/>
    </x:row>
    <x:row r="12" ht="58" customHeight="1">
      <x:c r="A12" s="9" t="str">
        <x:v>已通过</x:v>
      </x:c>
      <x:c r="B12" s="9" t="str">
        <x:v>有明确历史通过证据</x:v>
      </x:c>
      <x:c r="C12" s="9" t="str">
        <x:v>只适用于记录的版本、后端、模式和规模</x:v>
      </x:c>
      <x:c r="D12" s="9" t="str">
        <x:v>当前构建可能仍需回归</x:v>
      </x:c>
      <x:c r="E12" s="9" t="str">
        <x:v>不据此承诺所有子语义或长期稳定性</x:v>
      </x:c>
      <x:c r="F12" s="2"/>
      <x:c r="G12" s="2"/>
      <x:c r="H12" s="2"/>
    </x:row>
    <x:row r="13" ht="58" customHeight="1">
      <x:c r="A13" s="9" t="str">
        <x:v>已失败</x:v>
      </x:c>
      <x:c r="B13" s="9" t="str">
        <x:v>已执行并确认不满足预期</x:v>
      </x:c>
      <x:c r="C13" s="9" t="str">
        <x:v>保留失败证据，不以重跑成功覆盖</x:v>
      </x:c>
      <x:c r="D13" s="9" t="str">
        <x:v>L1 失败阻塞验收</x:v>
      </x:c>
      <x:c r="E13" s="9" t="str">
        <x:v>不是待补充或跳过</x:v>
      </x:c>
      <x:c r="F13" s="2"/>
      <x:c r="G13" s="2"/>
      <x:c r="H13" s="2"/>
    </x:row>
    <x:row r="14" ht="58" customHeight="1">
      <x:c r="A14" s="9" t="str">
        <x:v>已跳过</x:v>
      </x:c>
      <x:c r="B14" s="9" t="str">
        <x:v>上游规则明确跳过</x:v>
      </x:c>
      <x:c r="C14" s="9" t="str">
        <x:v>不计作通过</x:v>
      </x:c>
      <x:c r="D14" s="9" t="str">
        <x:v>核对是否属于产品支持范围</x:v>
      </x:c>
      <x:c r="E14" s="9" t="str">
        <x:v>Python symlink 的跳过理由不能推广成 Windows 不支持链接</x:v>
      </x:c>
      <x:c r="F14" s="2"/>
      <x:c r="G14" s="2"/>
      <x:c r="H14" s="2"/>
    </x:row>
    <x:row r="15" ht="58" customHeight="1">
      <x:c r="A15" s="9" t="str">
        <x:v>待补充</x:v>
      </x:c>
      <x:c r="B15" s="9" t="str">
        <x:v>缺少完整用例或目标范围执行</x:v>
      </x:c>
      <x:c r="C15" s="9" t="str">
        <x:v>已有局部覆盖需在边界栏说明</x:v>
      </x:c>
      <x:c r="D15" s="9" t="str">
        <x:v>按重要级安排补测</x:v>
      </x:c>
      <x:c r="E15" s="9" t="str">
        <x:v>PLAN 条目未宣称已有脚本或通过结果</x:v>
      </x:c>
      <x:c r="F15" s="2"/>
      <x:c r="G15" s="2"/>
      <x:c r="H15" s="2"/>
    </x:row>
    <x:row r="16" ht="58" customHeight="1">
      <x:c r="A16" s="9" t="str">
        <x:v>范围外</x:v>
      </x:c>
      <x:c r="B16" s="9" t="str">
        <x:v>当前架构或平台不提供该能力</x:v>
      </x:c>
      <x:c r="C16" s="9" t="str">
        <x:v>保留追踪，不伪装为通过</x:v>
      </x:c>
      <x:c r="D16" s="9" t="str">
        <x:v>不计入本期必测范围</x:v>
      </x:c>
      <x:c r="E16" s="9" t="str">
        <x:v>未来纳入后重新分级</x:v>
      </x:c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32" customHeight="1">
      <x:c r="A18" s="8" t="str">
        <x:v>后端</x:v>
      </x:c>
      <x:c r="B18" s="8" t="str">
        <x:v>写入模式</x:v>
      </x:c>
      <x:c r="C18" s="8" t="str">
        <x:v>Python</x:v>
      </x:c>
      <x:c r="D18" s="8" t="str">
        <x:v>winfstest</x:v>
      </x:c>
      <x:c r="E18" s="8" t="str">
        <x:v>WinFsp</x:v>
      </x:c>
      <x:c r="F18" s="8" t="str">
        <x:v>FSX</x:v>
      </x:c>
      <x:c r="G18" s="8" t="str">
        <x:v>冷读 / fsck</x:v>
      </x:c>
      <x:c r="H18" s="8" t="str">
        <x:v>依据</x:v>
      </x:c>
    </x:row>
    <x:row r="19" ht="24" customHeight="1">
      <x:c r="A19" s="2" t="str">
        <x:v>本地对照</x:v>
      </x:c>
      <x:c r="B19" s="2" t="str">
        <x:v>同步上传</x:v>
      </x:c>
      <x:c r="C19" s="2" t="str">
        <x:v>8 通过 / 1 跳过</x:v>
      </x:c>
      <x:c r="D19" s="2" t="str">
        <x:v>152 / 152 断言</x:v>
      </x:c>
      <x:c r="E19" s="2" t="str">
        <x:v>54 / 54 用例</x:v>
      </x:c>
      <x:c r="F19" s="2" t="str">
        <x:v>固定次数，10822 操作</x:v>
      </x:c>
      <x:c r="G19" s="2" t="str">
        <x:v>均通过</x:v>
      </x:c>
      <x:c r="H19" s="2" t="str">
        <x:v>E01</x:v>
      </x:c>
    </x:row>
    <x:row r="20" ht="24" customHeight="1">
      <x:c r="A20" s="2" t="str">
        <x:v>本地对照</x:v>
      </x:c>
      <x:c r="B20" s="2" t="str">
        <x:v>后台上传</x:v>
      </x:c>
      <x:c r="C20" s="2" t="str">
        <x:v>8 通过 / 1 跳过</x:v>
      </x:c>
      <x:c r="D20" s="2" t="str">
        <x:v>152 / 152 断言</x:v>
      </x:c>
      <x:c r="E20" s="2" t="str">
        <x:v>54 / 54 用例</x:v>
      </x:c>
      <x:c r="F20" s="2" t="str">
        <x:v>固定次数，10822 操作</x:v>
      </x:c>
      <x:c r="G20" s="2" t="str">
        <x:v>均通过</x:v>
      </x:c>
      <x:c r="H20" s="2" t="str">
        <x:v>E01</x:v>
      </x:c>
    </x:row>
    <x:row r="21" ht="24" customHeight="1">
      <x:c r="A21" s="2" t="str">
        <x:v>百度网盘</x:v>
      </x:c>
      <x:c r="B21" s="2" t="str">
        <x:v>同步上传</x:v>
      </x:c>
      <x:c r="C21" s="2" t="str">
        <x:v>8 通过 / 1 跳过</x:v>
      </x:c>
      <x:c r="D21" s="2" t="str">
        <x:v>152 / 152 断言</x:v>
      </x:c>
      <x:c r="E21" s="2" t="str">
        <x:v>54 / 54 用例</x:v>
      </x:c>
      <x:c r="F21" s="2" t="str">
        <x:v>固定次数，221 操作</x:v>
      </x:c>
      <x:c r="G21" s="2" t="str">
        <x:v>均通过</x:v>
      </x:c>
      <x:c r="H21" s="2" t="str">
        <x:v>E01</x:v>
      </x:c>
    </x:row>
    <x:row r="22" ht="24" customHeight="1">
      <x:c r="A22" s="2" t="str">
        <x:v>百度网盘</x:v>
      </x:c>
      <x:c r="B22" s="2" t="str">
        <x:v>后台上传</x:v>
      </x:c>
      <x:c r="C22" s="2" t="str">
        <x:v>8 通过 / 1 跳过</x:v>
      </x:c>
      <x:c r="D22" s="2" t="str">
        <x:v>152 / 152 断言</x:v>
      </x:c>
      <x:c r="E22" s="2" t="str">
        <x:v>54 / 54 用例</x:v>
      </x:c>
      <x:c r="F22" s="2" t="str">
        <x:v>固定次数，221 操作</x:v>
      </x:c>
      <x:c r="G22" s="2" t="str">
        <x:v>均通过</x:v>
      </x:c>
      <x:c r="H22" s="2" t="str">
        <x:v>E01</x:v>
      </x:c>
    </x:row>
    <x:row r="23" ht="24" customHeight="1">
      <x:c r="A23" s="2" t="str">
        <x:v>Google Drive</x:v>
      </x:c>
      <x:c r="B23" s="2" t="str">
        <x:v>同步上传</x:v>
      </x:c>
      <x:c r="C23" s="2" t="str">
        <x:v>8 通过 / 1 跳过</x:v>
      </x:c>
      <x:c r="D23" s="2" t="str">
        <x:v>152 / 152 断言</x:v>
      </x:c>
      <x:c r="E23" s="2" t="str">
        <x:v>54 / 54 用例</x:v>
      </x:c>
      <x:c r="F23" s="2" t="str">
        <x:v>180 秒，132 操作</x:v>
      </x:c>
      <x:c r="G23" s="2" t="str">
        <x:v>均通过</x:v>
      </x:c>
      <x:c r="H23" s="2" t="str">
        <x:v>E01</x:v>
      </x:c>
    </x:row>
    <x:row r="24" ht="24" customHeight="1">
      <x:c r="A24" s="2" t="str">
        <x:v>Google Drive</x:v>
      </x:c>
      <x:c r="B24" s="2" t="str">
        <x:v>后台上传</x:v>
      </x:c>
      <x:c r="C24" s="2" t="str">
        <x:v>8 通过 / 1 跳过</x:v>
      </x:c>
      <x:c r="D24" s="2" t="str">
        <x:v>152 / 152 断言</x:v>
      </x:c>
      <x:c r="E24" s="2" t="str">
        <x:v>54 / 54 用例</x:v>
      </x:c>
      <x:c r="F24" s="2" t="str">
        <x:v>固定次数，221 操作</x:v>
      </x:c>
      <x:c r="G24" s="2" t="str">
        <x:v>均通过</x:v>
      </x:c>
      <x:c r="H24" s="2" t="str">
        <x:v>E01</x:v>
      </x:c>
    </x:row>
    <x:row r="25" ht="24" customHeight="1">
      <x:c r="A25" s="2" t="str">
        <x:v>OneDrive</x:v>
      </x:c>
      <x:c r="B25" s="2" t="str">
        <x:v>同步上传</x:v>
      </x:c>
      <x:c r="C25" s="2" t="str">
        <x:v>8 通过 / 1 跳过</x:v>
      </x:c>
      <x:c r="D25" s="2" t="str">
        <x:v>152 / 152 断言</x:v>
      </x:c>
      <x:c r="E25" s="2" t="str">
        <x:v>54 / 54 用例</x:v>
      </x:c>
      <x:c r="F25" s="2" t="str">
        <x:v>180 秒，62 操作</x:v>
      </x:c>
      <x:c r="G25" s="2" t="str">
        <x:v>均通过</x:v>
      </x:c>
      <x:c r="H25" s="2" t="str">
        <x:v>E01</x:v>
      </x:c>
    </x:row>
    <x:row r="26" ht="24" customHeight="1">
      <x:c r="A26" s="2" t="str">
        <x:v>OneDrive</x:v>
      </x:c>
      <x:c r="B26" s="2" t="str">
        <x:v>后台上传</x:v>
      </x:c>
      <x:c r="C26" s="2" t="str">
        <x:v>8 通过 / 1 跳过</x:v>
      </x:c>
      <x:c r="D26" s="2" t="str">
        <x:v>152 / 152 断言</x:v>
      </x:c>
      <x:c r="E26" s="2" t="str">
        <x:v>54 / 54 用例</x:v>
      </x:c>
      <x:c r="F26" s="2" t="str">
        <x:v>固定次数，221 操作</x:v>
      </x:c>
      <x:c r="G26" s="2" t="str">
        <x:v>均通过</x:v>
      </x:c>
      <x:c r="H26" s="2" t="str">
        <x:v>E01</x:v>
      </x:c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仅汇总正常完成的历史运行；原 OneDrive 失败保留在 DEF-001。固定次数与定时测试不能混为相同强度。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32" customHeight="1">
      <x:c r="A30" s="8" t="str">
        <x:v>来源编号</x:v>
      </x:c>
      <x:c r="B30" s="8" t="str">
        <x:v>分类</x:v>
      </x:c>
      <x:c r="C30" s="8" t="str">
        <x:v>原始来源</x:v>
      </x:c>
      <x:c r="D30" s="8" t="str">
        <x:v>执行定位</x:v>
      </x:c>
      <x:c r="E30" s="8" t="str">
        <x:v>说明</x:v>
      </x:c>
      <x:c r="F30" s="2"/>
      <x:c r="G30" s="2"/>
      <x:c r="H30" s="2"/>
    </x:row>
    <x:row r="31" ht="112" customHeight="1">
      <x:c r="A31" s="9" t="str">
        <x:v>S01</x:v>
      </x:c>
      <x:c r="B31" s="9" t="str">
        <x:v>A JuiceFS 官方 Windows</x:v>
      </x:c>
      <x:c r="C31" s="9" t="str">
        <x:v>https://raw.githubusercontent.com/juicedata/juicefs/30190ca1094d26e85f19a979ca51b0ea19af1eaa/.github/scripts/wins_fs_test.py</x:v>
      </x:c>
      <x:c r="D31" s="9" t="str">
        <x:v>官方 Python 用例</x:v>
      </x:c>
      <x:c r="E31" s="9" t="str">
        <x:v>只替换测试目录，保持断言及跳过规则</x:v>
      </x:c>
      <x:c r="F31" s="2"/>
      <x:c r="G31" s="2"/>
      <x:c r="H31" s="2"/>
    </x:row>
    <x:row r="32" ht="112" customHeight="1">
      <x:c r="A32" s="9" t="str">
        <x:v>S02</x:v>
      </x:c>
      <x:c r="B32" s="9" t="str">
        <x:v>A JuiceFS 官方 Windows</x:v>
      </x:c>
      <x:c r="C32" s="9" t="str">
        <x:v>https://github.com/chenjie4255/fstools/releases/download/v0.0.1/fsx-x64.exe</x:v>
      </x:c>
      <x:c r="D32" s="9" t="str">
        <x:v>JuiceFS Windows CI 选用 FSX</x:v>
      </x:c>
      <x:c r="E32" s="9" t="str">
        <x:v>来源为 fstools；按 CI 使用关系归 A</x:v>
      </x:c>
      <x:c r="F32" s="2"/>
      <x:c r="G32" s="2"/>
      <x:c r="H32" s="2"/>
    </x:row>
    <x:row r="33" ht="112" customHeight="1">
      <x:c r="A33" s="9" t="str">
        <x:v>S03</x:v>
      </x:c>
      <x:c r="B33" s="9" t="str">
        <x:v>B Windows / WinFsp</x:v>
      </x:c>
      <x:c r="C33" s="9" t="str">
        <x:v>https://github.com/juicedata/winfstest/releases/download/testing_20250313/TestSuite-x64-v4.zip</x:v>
      </x:c>
      <x:c r="D33" s="9" t="str">
        <x:v>winfstest 11 个脚本</x:v>
      </x:c>
      <x:c r="E33" s="9" t="str">
        <x:v>JuiceFS CI 引用的固定测试版本</x:v>
      </x:c>
      <x:c r="F33" s="2"/>
      <x:c r="G33" s="2"/>
      <x:c r="H33" s="2"/>
    </x:row>
    <x:row r="34" ht="112" customHeight="1">
      <x:c r="A34" s="9" t="str">
        <x:v>S04</x:v>
      </x:c>
      <x:c r="B34" s="9" t="str">
        <x:v>B Windows / WinFsp</x:v>
      </x:c>
      <x:c r="C34" s="9" t="str">
        <x:v>https://github.com/juicedata/winfsp/releases/download/testing_suit_20250324/winfsp-tests-x64.exe</x:v>
      </x:c>
      <x:c r="D34" s="9" t="str">
        <x:v>54 项默认 FUSE 外部文件系统用例</x:v>
      </x:c>
      <x:c r="E34" s="9" t="str">
        <x:v>不等同 WinFsp 项目自身全部 CI</x:v>
      </x:c>
      <x:c r="F34" s="2"/>
      <x:c r="G34" s="2"/>
      <x:c r="H34" s="2"/>
    </x:row>
    <x:row r="35" ht="112" customHeight="1">
      <x:c r="A35" s="9" t="str">
        <x:v>S05</x:v>
      </x:c>
      <x:c r="B35" s="9" t="str">
        <x:v>C 项目补充</x:v>
      </x:c>
      <x:c r="C35" s="9" t="str">
        <x:v>项目仓库 scripts / tests 及诊断记录</x:v>
      </x:c>
      <x:c r="D35" s="9" t="str">
        <x:v>单元、集成、界面、故障注入与拟补充场景</x:v>
      </x:c>
      <x:c r="E35" s="9" t="str">
        <x:v>项目来源不代表已实现；以状态和定位为准</x:v>
      </x:c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32" customHeight="1">
      <x:c r="A37" s="8" t="str">
        <x:v>证据编号</x:v>
      </x:c>
      <x:c r="B37" s="8" t="str">
        <x:v>记录日期</x:v>
      </x:c>
      <x:c r="C37" s="8" t="str">
        <x:v>报告或日志</x:v>
      </x:c>
      <x:c r="D37" s="8" t="str">
        <x:v>支持的结论</x:v>
      </x:c>
      <x:c r="E37" s="8" t="str">
        <x:v>限制</x:v>
      </x:c>
      <x:c r="F37" s="2"/>
      <x:c r="G37" s="2"/>
      <x:c r="H37" s="2"/>
    </x:row>
    <x:row r="38" ht="92" customHeight="1">
      <x:c r="A38" s="9" t="str">
        <x:v>E01</x:v>
      </x:c>
      <x:c r="B38" s="17" t="d">
        <x:v>2026-10-15T00:00:00.000Z</x:v>
      </x:c>
      <x:c r="C38" s="9" t="str">
        <x:v>docs/JUICEFS-UPSTREAM-RESULTS-2026-10-15.json</x:v>
      </x:c>
      <x:c r="D38" s="9" t="str">
        <x:v>八组正常流程、逐个 WinFsp 用例、冷读、fsck</x:v>
      </x:c>
      <x:c r="E38" s="9" t="str">
        <x:v>overallPassed=false；保留已确认缺陷</x:v>
      </x:c>
      <x:c r="F38" s="2"/>
      <x:c r="G38" s="2"/>
      <x:c r="H38" s="2"/>
    </x:row>
    <x:row r="39" ht="92" customHeight="1">
      <x:c r="A39" s="9" t="str">
        <x:v>E02</x:v>
      </x:c>
      <x:c r="B39" s="17" t="d">
        <x:v>2026-10-14T00:00:00.000Z</x:v>
      </x:c>
      <x:c r="C39" s="9" t="str">
        <x:v>docs/JUICEFS-CLOUD-RESULTS-2026-10-14.json；同日 VALIDATION.md</x:v>
      </x:c>
      <x:c r="D39" s="9" t="str">
        <x:v>真实三网盘六组集成、网关回归、初始化恢复</x:v>
      </x:c>
      <x:c r="E39" s="9" t="str">
        <x:v>旧记录的默认后台上传关闭已被新配置替代</x:v>
      </x:c>
      <x:c r="F39" s="2"/>
      <x:c r="G39" s="2"/>
      <x:c r="H39" s="2"/>
    </x:row>
    <x:row r="40" ht="92" customHeight="1">
      <x:c r="A40" s="9" t="str">
        <x:v>E03</x:v>
      </x:c>
      <x:c r="B40" s="17" t="d">
        <x:v>2026-10-16T00:00:00.000Z</x:v>
      </x:c>
      <x:c r="C40" s="9" t="str">
        <x:v>test-results/cache-settings-unit.log；tests/*.test.cjs</x:v>
      </x:c>
      <x:c r="D40" s="9" t="str">
        <x:v>应用全套 63 项单元通过；矩阵只收录文件系统相关子集</x:v>
      </x:c>
      <x:c r="E40" s="9" t="str">
        <x:v>63 是整套应用计数，不能与本矩阵记录相加</x:v>
      </x:c>
      <x:c r="F40" s="2"/>
      <x:c r="G40" s="2"/>
      <x:c r="H40" s="2"/>
    </x:row>
    <x:row r="41" ht="92" customHeight="1">
      <x:c r="A41" s="9" t="str">
        <x:v>E04</x:v>
      </x:c>
      <x:c r="B41" s="17" t="d">
        <x:v>2026-10-16T00:00:00.000Z</x:v>
      </x:c>
      <x:c r="C41" s="9" t="str">
        <x:v>test-results/cache-settings-g9qbn9/report.json</x:v>
      </x:c>
      <x:c r="D41" s="9" t="str">
        <x:v>本地真实挂载，缓存开关切换和冷读</x:v>
      </x:c>
      <x:c r="E41" s="9" t="str">
        <x:v>三网盘切换专项未重新执行</x:v>
      </x:c>
      <x:c r="F41" s="2"/>
      <x:c r="G41" s="2"/>
      <x:c r="H41" s="2"/>
    </x:row>
    <x:row r="42" ht="92" customHeight="1">
      <x:c r="A42" s="9" t="str">
        <x:v>E05</x:v>
      </x:c>
      <x:c r="B42" s="17" t="d">
        <x:v>2026-10-16T00:00:00.000Z</x:v>
      </x:c>
      <x:c r="C42" s="9" t="str">
        <x:v>test-results/cache-settings-ui-final.log</x:v>
      </x:c>
      <x:c r="D42" s="9" t="str">
        <x:v>源码界面交互通过</x:v>
      </x:c>
      <x:c r="E42" s="9" t="str">
        <x:v>不验证云端文件系统故障恢复</x:v>
      </x:c>
      <x:c r="F42" s="2"/>
      <x:c r="G42" s="2"/>
      <x:c r="H42" s="2"/>
    </x:row>
    <x:row r="43" ht="92" customHeight="1">
      <x:c r="A43" s="9" t="str">
        <x:v>E06</x:v>
      </x:c>
      <x:c r="B43" s="17" t="d">
        <x:v>2026-10-16T00:00:00.000Z</x:v>
      </x:c>
      <x:c r="C43" s="9" t="str">
        <x:v>test-results/cache-settings-packaged-pass.log</x:v>
      </x:c>
      <x:c r="D43" s="9" t="str">
        <x:v>本地 Windows 预览包交互通过</x:v>
      </x:c>
      <x:c r="E43" s="9" t="str">
        <x:v>隐藏窗口自动化；只证明相应用例</x:v>
      </x:c>
      <x:c r="F43" s="2"/>
      <x:c r="G43" s="2"/>
      <x:c r="H43" s="2"/>
    </x:row>
    <x:row r="44" ht="92" customHeight="1">
      <x:c r="A44" s="9" t="str">
        <x:v>E07</x:v>
      </x:c>
      <x:c r="B44" s="17" t="d">
        <x:v>2026-10-15T00:00:00.000Z</x:v>
      </x:c>
      <x:c r="C44" s="9" t="str">
        <x:v>docs/JUICEFS-TRUNCATE-INVESTIGATION-2026-10-15.md</x:v>
      </x:c>
      <x:c r="D44" s="9" t="str">
        <x:v>真实失败归因、本地故障复现与无故障对照</x:v>
      </x:c>
      <x:c r="E44" s="9" t="str">
        <x:v>当前缺陷尚未修复</x:v>
      </x:c>
      <x:c r="F44" s="2"/>
      <x:c r="G44" s="2"/>
      <x:c r="H44" s="2"/>
    </x:row>
    <x:row r="45" ht="92" customHeight="1">
      <x:c r="A45" s="9" t="str">
        <x:v>E08</x:v>
      </x:c>
      <x:c r="B45" s="17" t="d">
        <x:v>2026-10-16T00:00:00.000Z</x:v>
      </x:c>
      <x:c r="C45" s="9" t="str">
        <x:v>docs/JUICEFS-VERSION-CHECK-2026-10-16.md</x:v>
      </x:c>
      <x:c r="D45" s="9" t="str">
        <x:v>1.3.3 与 1.4.1 官方二进制亦复现缺陷</x:v>
      </x:c>
      <x:c r="E45" s="9" t="str">
        <x:v>主分支只做源码核查，未跑二进制</x:v>
      </x:c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 t="str">
        <x:v>判定规则：数据完整性必须对照独立预期内容与操作记录；只比较暖读、冷读哈希相等不足以证明操作正确。</x:v>
      </x:c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 t="str">
        <x:v>分级口径：同一来源可包含多个级别；同一功能既有正常流程，也有更高级别的故障用例。L1 不表示运行最快。</x:v>
      </x:c>
      <x:c r="B49" s="2"/>
      <x:c r="C49" s="2"/>
      <x:c r="D49" s="2"/>
      <x:c r="E49" s="2"/>
      <x:c r="F49" s="2"/>
      <x:c r="G49" s="2"/>
      <x:c r="H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计数口径：本表记录粒度不完全相同，不计算笼统通过率。已有代码、历史结果、目标范围与发布复测分开记录。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实施边界：本次仅整理矩阵，未重新运行文件系统套件，未修复缺陷，也未实施暂缓的写缓存容量限制。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32" customHeight="1">
      <x:c r="A55" s="8" t="str">
        <x:v>来源编号</x:v>
      </x:c>
      <x:c r="B55" s="8" t="str">
        <x:v>分类</x:v>
      </x:c>
      <x:c r="C55" s="8" t="str">
        <x:v>原始来源</x:v>
      </x:c>
      <x:c r="D55" s="8" t="str">
        <x:v>执行定位</x:v>
      </x:c>
      <x:c r="E55" s="8" t="str">
        <x:v>说明</x:v>
      </x:c>
      <x:c r="F55" s="2"/>
      <x:c r="G55" s="2"/>
      <x:c r="H55" s="2"/>
    </x:row>
    <x:row r="56" ht="105" customHeight="1">
      <x:c r="A56" s="9" t="str">
        <x:v>S06</x:v>
      </x:c>
      <x:c r="B56" s="9" t="str">
        <x:v>B Windows / WinFsp</x:v>
      </x:c>
      <x:c r="C56" s="9" t="str">
        <x:v>https://github.com/winfsp/winfsp/releases/download/v2.1/winfsp-tests-2.1.25156.zip</x:v>
      </x:c>
      <x:c r="D56" s="9" t="str">
        <x:v>94 个原版外部入口 + 41 个内部入口</x:v>
      </x:c>
      <x:c r="E56" s="9" t="str">
        <x:v>外部原版与 fork 分开；内部测试不直接适用于产品挂载</x:v>
      </x:c>
      <x:c r="F56" s="2"/>
      <x:c r="G56" s="2"/>
      <x:c r="H56" s="2"/>
    </x:row>
    <x:row r="57" ht="105" customHeight="1">
      <x:c r="A57" s="9" t="str">
        <x:v>S07</x:v>
      </x:c>
      <x:c r="B57" s="9" t="str">
        <x:v>B Windows / WinFsp</x:v>
      </x:c>
      <x:c r="C57" s="9" t="str">
        <x:v>https://github.com/billziss-gh/secfs.test/tree/6ac65cda46abc2be39c7b137debf9521052edbaf</x:v>
      </x:c>
      <x:c r="D57" s="9" t="str">
        <x:v>20 个原版 winfstest 脚本 + 3 个 FSX 配置</x:v>
      </x:c>
      <x:c r="E57" s="9" t="str">
        <x:v>WinFsp 全套运行的其余 23 项；FSX 配置不是 3 个独立测试程序</x:v>
      </x:c>
      <x:c r="F57" s="2"/>
      <x:c r="G57" s="2"/>
      <x:c r="H57" s="2"/>
    </x:row>
    <x:row r="58" ht="105" customHeight="1">
      <x:c r="A58" s="9" t="str">
        <x:v>S08</x:v>
      </x:c>
      <x:c r="B58" s="9" t="str">
        <x:v>A JuiceFS 官方 Windows</x:v>
      </x:c>
      <x:c r="C58" s="9" t="str">
        <x:v>https://github.com/juicedata/juicefs/tree/30190ca1094d26e85f19a979ca51b0ea19af1eaa</x:v>
      </x:c>
      <x:c r="D58" s="9" t="str">
        <x:v>固定版本完整源码静态清单及 36 个 CI workflow</x:v>
      </x:c>
      <x:c r="E58" s="9" t="str">
        <x:v>源码 186 个测试／支持文件共 844 个目录项；不把辅助文件或动态参数计为已执行测试</x:v>
      </x:c>
      <x:c r="F58" s="2"/>
      <x:c r="G58" s="2"/>
      <x:c r="H58" s="2"/>
    </x:row>
    <x:row r="59" ht="105" customHeight="1">
      <x:c r="A59" s="9" t="str">
        <x:v>S09</x:v>
      </x:c>
      <x:c r="B59" s="9" t="str">
        <x:v>D 外部基准补充</x:v>
      </x:c>
      <x:c r="C59" s="9" t="str">
        <x:v>fio 官方校验文档；Microsoft HLK 文件系统测试前置条件；Windows 应用工作流</x:v>
      </x:c>
      <x:c r="D59" s="9" t="str">
        <x:v>BASE-001…BASE-005</x:v>
      </x:c>
      <x:c r="E59" s="9" t="str">
        <x:v>已登记基准方案；工具参数与适用用例待细化，尚未执行</x:v>
      </x:c>
      <x:c r="F59" s="2"/>
      <x:c r="G59" s="2"/>
      <x:c r="H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</x:row>
    <x:row r="61" ht="32" customHeight="1">
      <x:c r="A61" s="8" t="str">
        <x:v>证据编号</x:v>
      </x:c>
      <x:c r="B61" s="8" t="str">
        <x:v>记录日期</x:v>
      </x:c>
      <x:c r="C61" s="8" t="str">
        <x:v>报告或清单</x:v>
      </x:c>
      <x:c r="D61" s="8" t="str">
        <x:v>支持的结论</x:v>
      </x:c>
      <x:c r="E61" s="8" t="str">
        <x:v>限制</x:v>
      </x:c>
      <x:c r="F61" s="2"/>
      <x:c r="G61" s="2"/>
      <x:c r="H61" s="2"/>
    </x:row>
    <x:row r="62" ht="100" customHeight="1">
      <x:c r="A62" s="9" t="str">
        <x:v>E09</x:v>
      </x:c>
      <x:c r="B62" s="17" t="d">
        <x:v>2026-10-10T00:00:00.000Z</x:v>
      </x:c>
      <x:c r="C62" s="9" t="str">
        <x:v>docs/WINFSP-RESULTS-2026-10-10.json；CI run 38048124469</x:v>
      </x:c>
      <x:c r="D62" s="9" t="str">
        <x:v>4 组 × 117 个执行单元，468 条真实记录</x:v>
      </x:c>
      <x:c r="E62" s="9" t="str">
        <x:v>历史构建；本地后端；管理员 runner；不代表当前构建或三网盘已复测</x:v>
      </x:c>
      <x:c r="F62" s="2"/>
      <x:c r="G62" s="2"/>
      <x:c r="H62" s="2"/>
    </x:row>
    <x:row r="63" ht="100" customHeight="1">
      <x:c r="A63" s="9" t="str">
        <x:v>E10</x:v>
      </x:c>
      <x:c r="B63" s="17" t="d">
        <x:v>2026-10-16T00:00:00.000Z</x:v>
      </x:c>
      <x:c r="C63" s="9" t="str">
        <x:v>JuiceFS 固定测试包 --external --list +* 与 --list +*</x:v>
      </x:c>
      <x:c r="D63" s="9" t="str">
        <x:v>91 外部、41 内部；54 默认子集以外有 37 项</x:v>
      </x:c>
      <x:c r="E63" s="9" t="str">
        <x:v>仅枚举入口；未执行完整 91 项，不能沿用原版同名用例结果</x:v>
      </x:c>
      <x:c r="F63" s="2"/>
      <x:c r="G63" s="2"/>
      <x:c r="H63" s="2"/>
    </x:row>
    <x:row r="64" ht="100" customHeight="1">
      <x:c r="A64" s="9" t="str">
        <x:v>E11</x:v>
      </x:c>
      <x:c r="B64" s="17" t="d">
        <x:v>2026-10-16T00:00:00.000Z</x:v>
      </x:c>
      <x:c r="C64" s="9" t="str">
        <x:v>JuiceFS 源码归档 30190ca1094d26e85f19a979ca51b0ea19af1eaa</x:v>
      </x:c>
      <x:c r="D64" s="9" t="str">
        <x:v>全部候选测试文件和 workflow job 已建立静态目录</x:v>
      </x:c>
      <x:c r="E64" s="9" t="str">
        <x:v>Go/Python/Shell/Java 命名入口及无入口文件；不是运行时参数／子断言穷举</x:v>
      </x:c>
      <x:c r="F64" s="2"/>
      <x:c r="G64" s="2"/>
      <x:c r="H64" s="2"/>
    </x:row>
    <x:row r="65" ht="100" customHeight="1">
      <x:c r="A65" s="9" t="str">
        <x:v>E12</x:v>
      </x:c>
      <x:c r="B65" s="17" t="d">
        <x:v>2026-10-16T00:00:00.000Z</x:v>
      </x:c>
      <x:c r="C65" s="9" t="str">
        <x:v>docs/FILESYSTEM-TEST-MATRIX.json</x:v>
      </x:c>
      <x:c r="D65" s="9" t="str">
        <x:v>本次归并目录、来源、历史执行与统计口径</x:v>
      </x:c>
      <x:c r="E65" s="9" t="str">
        <x:v>完整性限定到所固定版本和列明扫描规则；外部动态套件必须另固定版本展开</x:v>
      </x:c>
      <x:c r="F65" s="2"/>
      <x:c r="G65" s="2"/>
      <x:c r="H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</x:row>
    <x:row r="67" ht="32" customHeight="1">
      <x:c r="A67" s="8" t="str">
        <x:v>补充状态</x:v>
      </x:c>
      <x:c r="B67" s="8" t="str">
        <x:v>含义</x:v>
      </x:c>
      <x:c r="C67" s="8" t="str">
        <x:v>使用要求</x:v>
      </x:c>
      <x:c r="D67" s="8" t="str">
        <x:v>适用关系</x:v>
      </x:c>
      <x:c r="E67" s="8" t="str">
        <x:v>不能据此推断</x:v>
      </x:c>
      <x:c r="F67" s="2"/>
      <x:c r="G67" s="2"/>
      <x:c r="H67" s="2"/>
    </x:row>
    <x:row r="68" ht="80" customHeight="1">
      <x:c r="A68" s="9" t="str">
        <x:v>已超时</x:v>
      </x:c>
      <x:c r="B68" s="9" t="str">
        <x:v>已执行，达到运行上限</x:v>
      </x:c>
      <x:c r="C68" s="9" t="str">
        <x:v>保留超时与原始日志，按失败性质定位</x:v>
      </x:c>
      <x:c r="D68" s="9" t="str">
        <x:v>不能归并为未执行或已通过</x:v>
      </x:c>
      <x:c r="E68" s="9" t="str">
        <x:v>不一定是上传超时，也可能是事件等待</x:v>
      </x:c>
      <x:c r="F68" s="2"/>
      <x:c r="G68" s="2"/>
      <x:c r="H68" s="2"/>
    </x:row>
    <x:row r="69" ht="80" customHeight="1">
      <x:c r="A69" s="9" t="str">
        <x:v>待执行</x:v>
      </x:c>
      <x:c r="B69" s="9" t="str">
        <x:v>已存在明确上游入口，无对应执行证据</x:v>
      </x:c>
      <x:c r="C69" s="9" t="str">
        <x:v>固定环境后执行；保留原断言</x:v>
      </x:c>
      <x:c r="D69" s="9" t="str">
        <x:v>与尚需实现的“待补充”区分</x:v>
      </x:c>
      <x:c r="E69" s="9" t="str">
        <x:v>源码存在不等于本项目运行过</x:v>
      </x:c>
      <x:c r="F69" s="2"/>
      <x:c r="G69" s="2"/>
      <x:c r="H69" s="2"/>
    </x:row>
    <x:row r="70" ht="80" customHeight="1">
      <x:c r="A70" s="9" t="str">
        <x:v>不适用</x:v>
      </x:c>
      <x:c r="B70" s="9" t="str">
        <x:v>测试对象或产品入口不匹配</x:v>
      </x:c>
      <x:c r="C70" s="9" t="str">
        <x:v>写清具体原因；目标变化后重评</x:v>
      </x:c>
      <x:c r="D70" s="9" t="str">
        <x:v>内部驱动测试／未启用 JuiceFS Gateway</x:v>
      </x:c>
      <x:c r="E70" s="9" t="str">
        <x:v>不能仅因失败或当前缺功能而排除 Windows 目标语义</x:v>
      </x:c>
      <x:c r="F70" s="2"/>
      <x:c r="G70" s="2"/>
      <x:c r="H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</x:row>
    <x:row r="73" ht="32" customHeight="1">
      <x:c r="A73" s="8" t="str">
        <x:v>严格历史配置</x:v>
      </x:c>
      <x:c r="B73" s="8" t="str">
        <x:v>执行单元</x:v>
      </x:c>
      <x:c r="C73" s="8" t="str">
        <x:v>通过</x:v>
      </x:c>
      <x:c r="D73" s="8" t="str">
        <x:v>失败</x:v>
      </x:c>
      <x:c r="E73" s="8" t="str">
        <x:v>超时</x:v>
      </x:c>
      <x:c r="F73" s="8" t="str">
        <x:v>报告日期</x:v>
      </x:c>
      <x:c r="G73" s="2"/>
      <x:c r="H73" s="2"/>
    </x:row>
    <x:row r="74" ht="24" customHeight="1">
      <x:c r="A74" s="2" t="str">
        <x:v>NTFS 对照</x:v>
      </x:c>
      <x:c r="B74" s="2" t="n">
        <x:v>117</x:v>
      </x:c>
      <x:c r="C74" s="2" t="n">
        <x:f>COUNTIFS('历史执行明细'!$A$6:$A$1009,"STRICT-20261010-ntfs",'历史执行明细'!$H$6:$H$1009,"已通过")</x:f>
        <x:v>114</x:v>
      </x:c>
      <x:c r="D74" s="2" t="n">
        <x:f>COUNTIFS('历史执行明细'!$A$6:$A$1009,"STRICT-20261010-ntfs",'历史执行明细'!$H$6:$H$1009,"已失败")</x:f>
        <x:v>3</x:v>
      </x:c>
      <x:c r="E74" s="2" t="n">
        <x:f>COUNTIFS('历史执行明细'!$A$6:$A$1009,"STRICT-20261010-ntfs",'历史执行明细'!$H$6:$H$1009,"已超时")</x:f>
        <x:v>0</x:v>
      </x:c>
      <x:c r="F74" s="18" t="d">
        <x:v>2026-10-10T00:00:00.000Z</x:v>
      </x:c>
      <x:c r="G74" s="2"/>
      <x:c r="H74" s="2"/>
    </x:row>
    <x:row r="75" ht="24" customHeight="1">
      <x:c r="A75" s="2" t="str">
        <x:v>rclone 直连</x:v>
      </x:c>
      <x:c r="B75" s="2" t="n">
        <x:v>117</x:v>
      </x:c>
      <x:c r="C75" s="2" t="n">
        <x:f>COUNTIFS('历史执行明细'!$A$6:$A$1009,"STRICT-20261010-direct",'历史执行明细'!$H$6:$H$1009,"已通过")</x:f>
        <x:v>62</x:v>
      </x:c>
      <x:c r="D75" s="2" t="n">
        <x:f>COUNTIFS('历史执行明细'!$A$6:$A$1009,"STRICT-20261010-direct",'历史执行明细'!$H$6:$H$1009,"已失败")</x:f>
        <x:v>54</x:v>
      </x:c>
      <x:c r="E75" s="2" t="n">
        <x:f>COUNTIFS('历史执行明细'!$A$6:$A$1009,"STRICT-20261010-direct",'历史执行明细'!$H$6:$H$1009,"已超时")</x:f>
        <x:v>1</x:v>
      </x:c>
      <x:c r="F75" s="18" t="d">
        <x:v>2026-10-10T00:00:00.000Z</x:v>
      </x:c>
      <x:c r="G75" s="2"/>
      <x:c r="H75" s="2"/>
    </x:row>
    <x:row r="76" ht="24" customHeight="1">
      <x:c r="A76" s="2" t="str">
        <x:v>JuiceFS 同步</x:v>
      </x:c>
      <x:c r="B76" s="2" t="n">
        <x:v>117</x:v>
      </x:c>
      <x:c r="C76" s="2" t="n">
        <x:f>COUNTIFS('历史执行明细'!$A$6:$A$1009,"STRICT-20261010-juicefs",'历史执行明细'!$H$6:$H$1009,"已通过")</x:f>
        <x:v>72</x:v>
      </x:c>
      <x:c r="D76" s="2" t="n">
        <x:f>COUNTIFS('历史执行明细'!$A$6:$A$1009,"STRICT-20261010-juicefs",'历史执行明细'!$H$6:$H$1009,"已失败")</x:f>
        <x:v>44</x:v>
      </x:c>
      <x:c r="E76" s="2" t="n">
        <x:f>COUNTIFS('历史执行明细'!$A$6:$A$1009,"STRICT-20261010-juicefs",'历史执行明细'!$H$6:$H$1009,"已超时")</x:f>
        <x:v>1</x:v>
      </x:c>
      <x:c r="F76" s="18" t="d">
        <x:v>2026-10-10T00:00:00.000Z</x:v>
      </x:c>
      <x:c r="G76" s="2"/>
      <x:c r="H76" s="2"/>
    </x:row>
    <x:row r="77" ht="24" customHeight="1">
      <x:c r="A77" s="2" t="str">
        <x:v>JuiceFS 后台</x:v>
      </x:c>
      <x:c r="B77" s="2" t="n">
        <x:v>117</x:v>
      </x:c>
      <x:c r="C77" s="2" t="n">
        <x:f>COUNTIFS('历史执行明细'!$A$6:$A$1009,"STRICT-20261010-juicefs-writeback",'历史执行明细'!$H$6:$H$1009,"已通过")</x:f>
        <x:v>72</x:v>
      </x:c>
      <x:c r="D77" s="2" t="n">
        <x:f>COUNTIFS('历史执行明细'!$A$6:$A$1009,"STRICT-20261010-juicefs-writeback",'历史执行明细'!$H$6:$H$1009,"已失败")</x:f>
        <x:v>44</x:v>
      </x:c>
      <x:c r="E77" s="2" t="n">
        <x:f>COUNTIFS('历史执行明细'!$A$6:$A$1009,"STRICT-20261010-juicefs-writeback",'历史执行明细'!$H$6:$H$1009,"已超时")</x:f>
        <x:v>1</x:v>
      </x:c>
      <x:c r="F77" s="18" t="d">
        <x:v>2026-10-10T00:00:00.000Z</x:v>
      </x:c>
      <x:c r="G77" s="2"/>
      <x:c r="H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</x:row>
    <x:row r="79" ht="24" customHeight="1">
      <x:c r="A79" s="2" t="str">
        <x:v>NTFS 的 3 项失败不能直接从其他挂载结果中扣除；必须比对具体失败断言和环境。</x:v>
      </x:c>
      <x:c r="B79" s="2"/>
      <x:c r="C79" s="2"/>
      <x:c r="D79" s="2"/>
      <x:c r="E79" s="2"/>
      <x:c r="F79" s="2"/>
      <x:c r="G79" s="2"/>
      <x:c r="H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</x:row>
    <x:row r="81" ht="24" customHeight="1">
      <x:c r="A81" s="2" t="str">
        <x:v>clone.sh:test_clone_with_small_files 原断言是 diff 目标目录与自身。原断言保留，另需独立内容校验。</x:v>
      </x:c>
      <x:c r="B81" s="2"/>
      <x:c r="C81" s="2"/>
      <x:c r="D81" s="2"/>
      <x:c r="E81" s="2"/>
      <x:c r="F81" s="2"/>
      <x:c r="G81" s="2"/>
      <x:c r="H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</x:row>
    <x:row r="83" ht="24" customHeight="1">
      <x:c r="A83" s="2" t="str">
        <x:v>源码目录范围：*_test.go；.github/scripts、workflow/bash、integration 的 sh/py/js；SDK 测试源码与 XML。</x:v>
      </x:c>
      <x:c r="B83" s="2"/>
      <x:c r="C83" s="2"/>
      <x:c r="D83" s="2"/>
      <x:c r="E83" s="2"/>
      <x:c r="F83" s="2"/>
      <x:c r="G83" s="2"/>
      <x:c r="H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</x:row>
    <x:row r="85" ht="24" customHeight="1">
      <x:c r="A85" s="2" t="str">
        <x:v>静态粒度：Go 顶层入口及命名子场景、Python 测试和状态机规则、Shell test_*、Java 测试；其余按文件登记。</x:v>
      </x:c>
      <x:c r="B85" s="2"/>
      <x:c r="C85" s="2"/>
      <x:c r="D85" s="2"/>
      <x:c r="E85" s="2"/>
      <x:c r="F85" s="2"/>
      <x:c r="G85" s="2"/>
      <x:c r="H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</x:row>
    <x:row r="87" ht="24" customHeight="1">
      <x:c r="A87" s="2" t="str">
        <x:v>动态表驱动参数、随机序列及 workflow 下载的外部套件不展开为虚构用例；它们在 CI 范围中保留入口和限制。</x:v>
      </x:c>
      <x:c r="B87" s="2"/>
      <x:c r="C87" s="2"/>
      <x:c r="D87" s="2"/>
      <x:c r="E87" s="2"/>
      <x:c r="F87" s="2"/>
      <x:c r="G87" s="2"/>
      <x:c r="H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</x:row>
    <x:row r="89" ht="24" customHeight="1">
      <x:c r="A89" s="2" t="str">
        <x:v>执行目标：NTFS → 独立 JuiceFS 本地 → 产品网关本地 → 三网盘；同步与后台分别运行，普通用户与管理员分开。</x:v>
      </x:c>
      <x:c r="B89" s="2"/>
      <x:c r="C89" s="2"/>
      <x:c r="D89" s="2"/>
      <x:c r="E89" s="2"/>
      <x:c r="F89" s="2"/>
      <x:c r="G89" s="2"/>
      <x:c r="H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</x:row>
    <x:row r="91" ht="24" customHeight="1">
      <x:c r="A91" s="2" t="str">
        <x:v>本轮没有执行这些套件。当前完整验收仍被历史失败、已确认截断缺陷和未执行项阻塞。</x:v>
      </x:c>
      <x:c r="B91" s="2"/>
      <x:c r="C91" s="2"/>
      <x:c r="D91" s="2"/>
      <x:c r="E91" s="2"/>
      <x:c r="F91" s="2"/>
      <x:c r="G91" s="2"/>
      <x:c r="H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</x:row>
    <x:row r="93" ht="24" customHeight="1">
      <x:c r="A93" s="2" t="str">
        <x:v>原版测试 zip SHA256：0cfc68791703c80f96c729ebd38b63187de53e19baa1c603a7059d6ea87c5f52</x:v>
      </x:c>
      <x:c r="B93" s="2"/>
      <x:c r="C93" s="2"/>
      <x:c r="D93" s="2"/>
      <x:c r="E93" s="2"/>
      <x:c r="F93" s="2"/>
      <x:c r="G93" s="2"/>
      <x:c r="H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</x:row>
    <x:row r="95" ht="24" customHeight="1">
      <x:c r="A95" s="2" t="str">
        <x:v>JuiceFS 源码 zip SHA256：53f5a25fd449c6166120cc4d7b3dd223d38d699fa3bc88bc74eaa02e4bbcd6e8</x:v>
      </x:c>
      <x:c r="B95" s="2"/>
      <x:c r="C95" s="2"/>
      <x:c r="D95" s="2"/>
      <x:c r="E95" s="2"/>
      <x:c r="F95" s="2"/>
      <x:c r="G95" s="2"/>
      <x:c r="H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6" hidden="0" customWidth="1"/>
    <x:col min="2" max="2" width="23" hidden="0" customWidth="1"/>
    <x:col min="3" max="3" width="60" hidden="0" customWidth="1"/>
    <x:col min="4" max="4" width="28" hidden="0" customWidth="1"/>
    <x:col min="5" max="5" width="14" hidden="0" customWidth="1"/>
    <x:col min="6" max="6" width="13" hidden="0" customWidth="1"/>
    <x:col min="7" max="7" width="15" hidden="0" customWidth="1"/>
    <x:col min="8" max="8" width="13" hidden="0" customWidth="1"/>
    <x:col min="9" max="9" width="14" hidden="0" customWidth="1"/>
    <x:col min="10" max="10" width="64" hidden="0" customWidth="1"/>
    <x:col min="11" max="11" width="65" hidden="0" customWidth="1"/>
    <x:col min="12" max="12" width="65" hidden="0" customWidth="1"/>
    <x:col min="13" max="13" width="60" hidden="0" customWidth="1"/>
    <x:col min="14" max="14" width="9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4" customHeight="1">
      <x:c r="A2" s="3" t="str">
        <x:v>历史执行记录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468 条原版严格测试 + 536 条八组子集及冷读／fsck 记录。只保留报告实际提供的粒度。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2" customHeight="1">
      <x:c r="A5" s="8" t="str">
        <x:v>运行 ID</x:v>
      </x:c>
      <x:c r="B5" s="8" t="str">
        <x:v>用例 ID</x:v>
      </x:c>
      <x:c r="C5" s="8" t="str">
        <x:v>原始入口</x:v>
      </x:c>
      <x:c r="D5" s="8" t="str">
        <x:v>套件</x:v>
      </x:c>
      <x:c r="E5" s="8" t="str">
        <x:v>后端</x:v>
      </x:c>
      <x:c r="F5" s="8" t="str">
        <x:v>模式</x:v>
      </x:c>
      <x:c r="G5" s="8" t="str">
        <x:v>日期</x:v>
      </x:c>
      <x:c r="H5" s="8" t="str">
        <x:v>结果</x:v>
      </x:c>
      <x:c r="I5" s="8" t="str">
        <x:v>耗时（秒）</x:v>
      </x:c>
      <x:c r="J5" s="8" t="str">
        <x:v>引擎／工具版本</x:v>
      </x:c>
      <x:c r="K5" s="8" t="str">
        <x:v>参数范围</x:v>
      </x:c>
      <x:c r="L5" s="8" t="str">
        <x:v>产品版本</x:v>
      </x:c>
      <x:c r="M5" s="8" t="str">
        <x:v>证据定位</x:v>
      </x:c>
      <x:c r="N5" s="8" t="str">
        <x:v>失败或执行说明</x:v>
      </x:c>
    </x:row>
    <x:row r="6" ht="74" customHeight="1">
      <x:c r="A6" s="10" t="str">
        <x:v>STRICT-20261010-ntfs</x:v>
      </x:c>
      <x:c r="B6" s="10" t="str">
        <x:v>NATIVE-001</x:v>
      </x:c>
      <x:c r="C6" s="10" t="str">
        <x:v>create_test</x:v>
      </x:c>
      <x:c r="D6" s="10" t="str">
        <x:v>winfsp-tests</x:v>
      </x:c>
      <x:c r="E6" s="10" t="str">
        <x:v>NTFS</x:v>
      </x:c>
      <x:c r="F6" s="10" t="str">
        <x:v>不适用</x:v>
      </x:c>
      <x:c r="G6" s="19" t="d">
        <x:v>2026-10-10T00:00:00.000Z</x:v>
      </x:c>
      <x:c r="H6" s="10" t="str">
        <x:v>已失败</x:v>
      </x:c>
      <x:c r="I6" s="21" t="n">
        <x:v>0.324</x:v>
      </x:c>
      <x:c r="J6" s="10" t="str">
        <x:v>JuiceFS 1.3.0 / WinFsp 2.1.25156 / rclone 1.75.0-onemount</x:v>
      </x:c>
      <x:c r="K6" s="10" t="str">
        <x:v>原版全外部；无 FUSE 筛选或名称比较放宽</x:v>
      </x:c>
      <x:c r="L6" s="10" t="str">
        <x:v>63151da049f846e65fb361d1f314df65c2d468a7</x:v>
      </x:c>
      <x:c r="M6" s="10" t="str">
        <x:v>E09 / targets.ntfs.results</x:v>
      </x:c>
      <x:c r="N6" s="10" t="str">
        <x:v>    ASSERT(ERROR_INVALID_NAME == GetLastError()) failed at create-test.c:183:create_dotest (err=c0000103:267)</x:v>
      </x:c>
    </x:row>
    <x:row r="7" ht="74" customHeight="1">
      <x:c r="A7" s="11" t="str">
        <x:v>STRICT-20261010-ntfs</x:v>
      </x:c>
      <x:c r="B7" s="11" t="str">
        <x:v>NATIVE-002</x:v>
      </x:c>
      <x:c r="C7" s="11" t="str">
        <x:v>create_fileattr_test</x:v>
      </x:c>
      <x:c r="D7" s="11" t="str">
        <x:v>winfsp-tests</x:v>
      </x:c>
      <x:c r="E7" s="11" t="str">
        <x:v>NTFS</x:v>
      </x:c>
      <x:c r="F7" s="11" t="str">
        <x:v>不适用</x:v>
      </x:c>
      <x:c r="G7" s="20" t="d">
        <x:v>2026-10-10T00:00:00.000Z</x:v>
      </x:c>
      <x:c r="H7" s="11" t="str">
        <x:v>已通过</x:v>
      </x:c>
      <x:c r="I7" s="22" t="n">
        <x:v>0.067</x:v>
      </x:c>
      <x:c r="J7" s="11" t="str">
        <x:v>JuiceFS 1.3.0 / WinFsp 2.1.25156 / rclone 1.75.0-onemount</x:v>
      </x:c>
      <x:c r="K7" s="11" t="str">
        <x:v>原版全外部；无 FUSE 筛选或名称比较放宽</x:v>
      </x:c>
      <x:c r="L7" s="11" t="str">
        <x:v>63151da049f846e65fb361d1f314df65c2d468a7</x:v>
      </x:c>
      <x:c r="M7" s="11" t="str">
        <x:v>E09 / targets.ntfs.results</x:v>
      </x:c>
      <x:c r="N7" s="11" t="str">
        <x:v>入口结果见原始 JSON；通过不表示任意规模均正确</x:v>
      </x:c>
    </x:row>
    <x:row r="8" ht="74" customHeight="1">
      <x:c r="A8" s="10" t="str">
        <x:v>STRICT-20261010-ntfs</x:v>
      </x:c>
      <x:c r="B8" s="10" t="str">
        <x:v>NATIVE-003</x:v>
      </x:c>
      <x:c r="C8" s="10" t="str">
        <x:v>create_readonlydir_test</x:v>
      </x:c>
      <x:c r="D8" s="10" t="str">
        <x:v>winfsp-tests</x:v>
      </x:c>
      <x:c r="E8" s="10" t="str">
        <x:v>NTFS</x:v>
      </x:c>
      <x:c r="F8" s="10" t="str">
        <x:v>不适用</x:v>
      </x:c>
      <x:c r="G8" s="19" t="d">
        <x:v>2026-10-10T00:00:00.000Z</x:v>
      </x:c>
      <x:c r="H8" s="10" t="str">
        <x:v>已通过</x:v>
      </x:c>
      <x:c r="I8" s="21" t="n">
        <x:v>0.065</x:v>
      </x:c>
      <x:c r="J8" s="10" t="str">
        <x:v>JuiceFS 1.3.0 / WinFsp 2.1.25156 / rclone 1.75.0-onemount</x:v>
      </x:c>
      <x:c r="K8" s="10" t="str">
        <x:v>原版全外部；无 FUSE 筛选或名称比较放宽</x:v>
      </x:c>
      <x:c r="L8" s="10" t="str">
        <x:v>63151da049f846e65fb361d1f314df65c2d468a7</x:v>
      </x:c>
      <x:c r="M8" s="10" t="str">
        <x:v>E09 / targets.ntfs.results</x:v>
      </x:c>
      <x:c r="N8" s="10" t="str">
        <x:v>入口结果见原始 JSON；通过不表示任意规模均正确</x:v>
      </x:c>
    </x:row>
    <x:row r="9" ht="74" customHeight="1">
      <x:c r="A9" s="11" t="str">
        <x:v>STRICT-20261010-ntfs</x:v>
      </x:c>
      <x:c r="B9" s="11" t="str">
        <x:v>NATIVE-004</x:v>
      </x:c>
      <x:c r="C9" s="11" t="str">
        <x:v>create_related_test</x:v>
      </x:c>
      <x:c r="D9" s="11" t="str">
        <x:v>winfsp-tests</x:v>
      </x:c>
      <x:c r="E9" s="11" t="str">
        <x:v>NTFS</x:v>
      </x:c>
      <x:c r="F9" s="11" t="str">
        <x:v>不适用</x:v>
      </x:c>
      <x:c r="G9" s="20" t="d">
        <x:v>2026-10-10T00:00:00.000Z</x:v>
      </x:c>
      <x:c r="H9" s="11" t="str">
        <x:v>已通过</x:v>
      </x:c>
      <x:c r="I9" s="22" t="n">
        <x:v>0.064</x:v>
      </x:c>
      <x:c r="J9" s="11" t="str">
        <x:v>JuiceFS 1.3.0 / WinFsp 2.1.25156 / rclone 1.75.0-onemount</x:v>
      </x:c>
      <x:c r="K9" s="11" t="str">
        <x:v>原版全外部；无 FUSE 筛选或名称比较放宽</x:v>
      </x:c>
      <x:c r="L9" s="11" t="str">
        <x:v>63151da049f846e65fb361d1f314df65c2d468a7</x:v>
      </x:c>
      <x:c r="M9" s="11" t="str">
        <x:v>E09 / targets.ntfs.results</x:v>
      </x:c>
      <x:c r="N9" s="11" t="str">
        <x:v>入口结果见原始 JSON；通过不表示任意规模均正确</x:v>
      </x:c>
    </x:row>
    <x:row r="10" ht="74" customHeight="1">
      <x:c r="A10" s="10" t="str">
        <x:v>STRICT-20261010-ntfs</x:v>
      </x:c>
      <x:c r="B10" s="10" t="str">
        <x:v>NATIVE-005</x:v>
      </x:c>
      <x:c r="C10" s="10" t="str">
        <x:v>create_allocation_test</x:v>
      </x:c>
      <x:c r="D10" s="10" t="str">
        <x:v>winfsp-tests</x:v>
      </x:c>
      <x:c r="E10" s="10" t="str">
        <x:v>NTFS</x:v>
      </x:c>
      <x:c r="F10" s="10" t="str">
        <x:v>不适用</x:v>
      </x:c>
      <x:c r="G10" s="19" t="d">
        <x:v>2026-10-10T00:00:00.000Z</x:v>
      </x:c>
      <x:c r="H10" s="10" t="str">
        <x:v>已通过</x:v>
      </x:c>
      <x:c r="I10" s="21" t="n">
        <x:v>0.073</x:v>
      </x:c>
      <x:c r="J10" s="10" t="str">
        <x:v>JuiceFS 1.3.0 / WinFsp 2.1.25156 / rclone 1.75.0-onemount</x:v>
      </x:c>
      <x:c r="K10" s="10" t="str">
        <x:v>原版全外部；无 FUSE 筛选或名称比较放宽</x:v>
      </x:c>
      <x:c r="L10" s="10" t="str">
        <x:v>63151da049f846e65fb361d1f314df65c2d468a7</x:v>
      </x:c>
      <x:c r="M10" s="10" t="str">
        <x:v>E09 / targets.ntfs.results</x:v>
      </x:c>
      <x:c r="N10" s="10" t="str">
        <x:v>入口结果见原始 JSON；通过不表示任意规模均正确</x:v>
      </x:c>
    </x:row>
    <x:row r="11" ht="74" customHeight="1">
      <x:c r="A11" s="11" t="str">
        <x:v>STRICT-20261010-ntfs</x:v>
      </x:c>
      <x:c r="B11" s="11" t="str">
        <x:v>NATIVE-006</x:v>
      </x:c>
      <x:c r="C11" s="11" t="str">
        <x:v>create_sd_test</x:v>
      </x:c>
      <x:c r="D11" s="11" t="str">
        <x:v>winfsp-tests</x:v>
      </x:c>
      <x:c r="E11" s="11" t="str">
        <x:v>NTFS</x:v>
      </x:c>
      <x:c r="F11" s="11" t="str">
        <x:v>不适用</x:v>
      </x:c>
      <x:c r="G11" s="20" t="d">
        <x:v>2026-10-10T00:00:00.000Z</x:v>
      </x:c>
      <x:c r="H11" s="11" t="str">
        <x:v>已通过</x:v>
      </x:c>
      <x:c r="I11" s="22" t="n">
        <x:v>0.081</x:v>
      </x:c>
      <x:c r="J11" s="11" t="str">
        <x:v>JuiceFS 1.3.0 / WinFsp 2.1.25156 / rclone 1.75.0-onemount</x:v>
      </x:c>
      <x:c r="K11" s="11" t="str">
        <x:v>原版全外部；无 FUSE 筛选或名称比较放宽</x:v>
      </x:c>
      <x:c r="L11" s="11" t="str">
        <x:v>63151da049f846e65fb361d1f314df65c2d468a7</x:v>
      </x:c>
      <x:c r="M11" s="11" t="str">
        <x:v>E09 / targets.ntfs.results</x:v>
      </x:c>
      <x:c r="N11" s="11" t="str">
        <x:v>入口结果见原始 JSON；通过不表示任意规模均正确</x:v>
      </x:c>
    </x:row>
    <x:row r="12" ht="74" customHeight="1">
      <x:c r="A12" s="10" t="str">
        <x:v>STRICT-20261010-ntfs</x:v>
      </x:c>
      <x:c r="B12" s="10" t="str">
        <x:v>NATIVE-007</x:v>
      </x:c>
      <x:c r="C12" s="10" t="str">
        <x:v>create_notraverse_test</x:v>
      </x:c>
      <x:c r="D12" s="10" t="str">
        <x:v>winfsp-tests</x:v>
      </x:c>
      <x:c r="E12" s="10" t="str">
        <x:v>NTFS</x:v>
      </x:c>
      <x:c r="F12" s="10" t="str">
        <x:v>不适用</x:v>
      </x:c>
      <x:c r="G12" s="19" t="d">
        <x:v>2026-10-10T00:00:00.000Z</x:v>
      </x:c>
      <x:c r="H12" s="10" t="str">
        <x:v>已通过</x:v>
      </x:c>
      <x:c r="I12" s="21" t="n">
        <x:v>0.067</x:v>
      </x:c>
      <x:c r="J12" s="10" t="str">
        <x:v>JuiceFS 1.3.0 / WinFsp 2.1.25156 / rclone 1.75.0-onemount</x:v>
      </x:c>
      <x:c r="K12" s="10" t="str">
        <x:v>原版全外部；无 FUSE 筛选或名称比较放宽</x:v>
      </x:c>
      <x:c r="L12" s="10" t="str">
        <x:v>63151da049f846e65fb361d1f314df65c2d468a7</x:v>
      </x:c>
      <x:c r="M12" s="10" t="str">
        <x:v>E09 / targets.ntfs.results</x:v>
      </x:c>
      <x:c r="N12" s="10" t="str">
        <x:v>入口结果见原始 JSON；通过不表示任意规模均正确</x:v>
      </x:c>
    </x:row>
    <x:row r="13" ht="74" customHeight="1">
      <x:c r="A13" s="11" t="str">
        <x:v>STRICT-20261010-ntfs</x:v>
      </x:c>
      <x:c r="B13" s="11" t="str">
        <x:v>NATIVE-008</x:v>
      </x:c>
      <x:c r="C13" s="11" t="str">
        <x:v>create_backup_test</x:v>
      </x:c>
      <x:c r="D13" s="11" t="str">
        <x:v>winfsp-tests</x:v>
      </x:c>
      <x:c r="E13" s="11" t="str">
        <x:v>NTFS</x:v>
      </x:c>
      <x:c r="F13" s="11" t="str">
        <x:v>不适用</x:v>
      </x:c>
      <x:c r="G13" s="20" t="d">
        <x:v>2026-10-10T00:00:00.000Z</x:v>
      </x:c>
      <x:c r="H13" s="11" t="str">
        <x:v>已通过</x:v>
      </x:c>
      <x:c r="I13" s="22" t="n">
        <x:v>0.067</x:v>
      </x:c>
      <x:c r="J13" s="11" t="str">
        <x:v>JuiceFS 1.3.0 / WinFsp 2.1.25156 / rclone 1.75.0-onemount</x:v>
      </x:c>
      <x:c r="K13" s="11" t="str">
        <x:v>原版全外部；无 FUSE 筛选或名称比较放宽</x:v>
      </x:c>
      <x:c r="L13" s="11" t="str">
        <x:v>63151da049f846e65fb361d1f314df65c2d468a7</x:v>
      </x:c>
      <x:c r="M13" s="11" t="str">
        <x:v>E09 / targets.ntfs.results</x:v>
      </x:c>
      <x:c r="N13" s="11" t="str">
        <x:v>入口结果见原始 JSON；通过不表示任意规模均正确</x:v>
      </x:c>
    </x:row>
    <x:row r="14" ht="74" customHeight="1">
      <x:c r="A14" s="10" t="str">
        <x:v>STRICT-20261010-ntfs</x:v>
      </x:c>
      <x:c r="B14" s="10" t="str">
        <x:v>NATIVE-009</x:v>
      </x:c>
      <x:c r="C14" s="10" t="str">
        <x:v>create_restore_test</x:v>
      </x:c>
      <x:c r="D14" s="10" t="str">
        <x:v>winfsp-tests</x:v>
      </x:c>
      <x:c r="E14" s="10" t="str">
        <x:v>NTFS</x:v>
      </x:c>
      <x:c r="F14" s="10" t="str">
        <x:v>不适用</x:v>
      </x:c>
      <x:c r="G14" s="19" t="d">
        <x:v>2026-10-10T00:00:00.000Z</x:v>
      </x:c>
      <x:c r="H14" s="10" t="str">
        <x:v>已通过</x:v>
      </x:c>
      <x:c r="I14" s="21" t="n">
        <x:v>0.075</x:v>
      </x:c>
      <x:c r="J14" s="10" t="str">
        <x:v>JuiceFS 1.3.0 / WinFsp 2.1.25156 / rclone 1.75.0-onemount</x:v>
      </x:c>
      <x:c r="K14" s="10" t="str">
        <x:v>原版全外部；无 FUSE 筛选或名称比较放宽</x:v>
      </x:c>
      <x:c r="L14" s="10" t="str">
        <x:v>63151da049f846e65fb361d1f314df65c2d468a7</x:v>
      </x:c>
      <x:c r="M14" s="10" t="str">
        <x:v>E09 / targets.ntfs.results</x:v>
      </x:c>
      <x:c r="N14" s="10" t="str">
        <x:v>入口结果见原始 JSON；通过不表示任意规模均正确</x:v>
      </x:c>
    </x:row>
    <x:row r="15" ht="74" customHeight="1">
      <x:c r="A15" s="11" t="str">
        <x:v>STRICT-20261010-ntfs</x:v>
      </x:c>
      <x:c r="B15" s="11" t="str">
        <x:v>NATIVE-010</x:v>
      </x:c>
      <x:c r="C15" s="11" t="str">
        <x:v>create_share_test</x:v>
      </x:c>
      <x:c r="D15" s="11" t="str">
        <x:v>winfsp-tests</x:v>
      </x:c>
      <x:c r="E15" s="11" t="str">
        <x:v>NTFS</x:v>
      </x:c>
      <x:c r="F15" s="11" t="str">
        <x:v>不适用</x:v>
      </x:c>
      <x:c r="G15" s="20" t="d">
        <x:v>2026-10-10T00:00:00.000Z</x:v>
      </x:c>
      <x:c r="H15" s="11" t="str">
        <x:v>已通过</x:v>
      </x:c>
      <x:c r="I15" s="22" t="n">
        <x:v>0.069</x:v>
      </x:c>
      <x:c r="J15" s="11" t="str">
        <x:v>JuiceFS 1.3.0 / WinFsp 2.1.25156 / rclone 1.75.0-onemount</x:v>
      </x:c>
      <x:c r="K15" s="11" t="str">
        <x:v>原版全外部；无 FUSE 筛选或名称比较放宽</x:v>
      </x:c>
      <x:c r="L15" s="11" t="str">
        <x:v>63151da049f846e65fb361d1f314df65c2d468a7</x:v>
      </x:c>
      <x:c r="M15" s="11" t="str">
        <x:v>E09 / targets.ntfs.results</x:v>
      </x:c>
      <x:c r="N15" s="11" t="str">
        <x:v>入口结果见原始 JSON；通过不表示任意规模均正确</x:v>
      </x:c>
    </x:row>
    <x:row r="16" ht="74" customHeight="1">
      <x:c r="A16" s="10" t="str">
        <x:v>STRICT-20261010-ntfs</x:v>
      </x:c>
      <x:c r="B16" s="10" t="str">
        <x:v>NATIVE-011</x:v>
      </x:c>
      <x:c r="C16" s="10" t="str">
        <x:v>create_curdir_test</x:v>
      </x:c>
      <x:c r="D16" s="10" t="str">
        <x:v>winfsp-tests</x:v>
      </x:c>
      <x:c r="E16" s="10" t="str">
        <x:v>NTFS</x:v>
      </x:c>
      <x:c r="F16" s="10" t="str">
        <x:v>不适用</x:v>
      </x:c>
      <x:c r="G16" s="19" t="d">
        <x:v>2026-10-10T00:00:00.000Z</x:v>
      </x:c>
      <x:c r="H16" s="10" t="str">
        <x:v>已通过</x:v>
      </x:c>
      <x:c r="I16" s="21" t="n">
        <x:v>0.064</x:v>
      </x:c>
      <x:c r="J16" s="10" t="str">
        <x:v>JuiceFS 1.3.0 / WinFsp 2.1.25156 / rclone 1.75.0-onemount</x:v>
      </x:c>
      <x:c r="K16" s="10" t="str">
        <x:v>原版全外部；无 FUSE 筛选或名称比较放宽</x:v>
      </x:c>
      <x:c r="L16" s="10" t="str">
        <x:v>63151da049f846e65fb361d1f314df65c2d468a7</x:v>
      </x:c>
      <x:c r="M16" s="10" t="str">
        <x:v>E09 / targets.ntfs.results</x:v>
      </x:c>
      <x:c r="N16" s="10" t="str">
        <x:v>入口结果见原始 JSON；通过不表示任意规模均正确</x:v>
      </x:c>
    </x:row>
    <x:row r="17" ht="74" customHeight="1">
      <x:c r="A17" s="11" t="str">
        <x:v>STRICT-20261010-ntfs</x:v>
      </x:c>
      <x:c r="B17" s="11" t="str">
        <x:v>NATIVE-012</x:v>
      </x:c>
      <x:c r="C17" s="11" t="str">
        <x:v>create_namelen_test</x:v>
      </x:c>
      <x:c r="D17" s="11" t="str">
        <x:v>winfsp-tests</x:v>
      </x:c>
      <x:c r="E17" s="11" t="str">
        <x:v>NTFS</x:v>
      </x:c>
      <x:c r="F17" s="11" t="str">
        <x:v>不适用</x:v>
      </x:c>
      <x:c r="G17" s="20" t="d">
        <x:v>2026-10-10T00:00:00.000Z</x:v>
      </x:c>
      <x:c r="H17" s="11" t="str">
        <x:v>已通过</x:v>
      </x:c>
      <x:c r="I17" s="22" t="n">
        <x:v>0.078</x:v>
      </x:c>
      <x:c r="J17" s="11" t="str">
        <x:v>JuiceFS 1.3.0 / WinFsp 2.1.25156 / rclone 1.75.0-onemount</x:v>
      </x:c>
      <x:c r="K17" s="11" t="str">
        <x:v>原版全外部；无 FUSE 筛选或名称比较放宽</x:v>
      </x:c>
      <x:c r="L17" s="11" t="str">
        <x:v>63151da049f846e65fb361d1f314df65c2d468a7</x:v>
      </x:c>
      <x:c r="M17" s="11" t="str">
        <x:v>E09 / targets.ntfs.results</x:v>
      </x:c>
      <x:c r="N17" s="11" t="str">
        <x:v>入口结果见原始 JSON；通过不表示任意规模均正确</x:v>
      </x:c>
    </x:row>
    <x:row r="18" ht="74" customHeight="1">
      <x:c r="A18" s="10" t="str">
        <x:v>STRICT-20261010-ntfs</x:v>
      </x:c>
      <x:c r="B18" s="10" t="str">
        <x:v>NATIVE-013</x:v>
      </x:c>
      <x:c r="C18" s="10" t="str">
        <x:v>getfileattr_test</x:v>
      </x:c>
      <x:c r="D18" s="10" t="str">
        <x:v>winfsp-tests</x:v>
      </x:c>
      <x:c r="E18" s="10" t="str">
        <x:v>NTFS</x:v>
      </x:c>
      <x:c r="F18" s="10" t="str">
        <x:v>不适用</x:v>
      </x:c>
      <x:c r="G18" s="19" t="d">
        <x:v>2026-10-10T00:00:00.000Z</x:v>
      </x:c>
      <x:c r="H18" s="10" t="str">
        <x:v>已通过</x:v>
      </x:c>
      <x:c r="I18" s="21" t="n">
        <x:v>0.08</x:v>
      </x:c>
      <x:c r="J18" s="10" t="str">
        <x:v>JuiceFS 1.3.0 / WinFsp 2.1.25156 / rclone 1.75.0-onemount</x:v>
      </x:c>
      <x:c r="K18" s="10" t="str">
        <x:v>原版全外部；无 FUSE 筛选或名称比较放宽</x:v>
      </x:c>
      <x:c r="L18" s="10" t="str">
        <x:v>63151da049f846e65fb361d1f314df65c2d468a7</x:v>
      </x:c>
      <x:c r="M18" s="10" t="str">
        <x:v>E09 / targets.ntfs.results</x:v>
      </x:c>
      <x:c r="N18" s="10" t="str">
        <x:v>入口结果见原始 JSON；通过不表示任意规模均正确</x:v>
      </x:c>
    </x:row>
    <x:row r="19" ht="74" customHeight="1">
      <x:c r="A19" s="11" t="str">
        <x:v>STRICT-20261010-ntfs</x:v>
      </x:c>
      <x:c r="B19" s="11" t="str">
        <x:v>NATIVE-014</x:v>
      </x:c>
      <x:c r="C19" s="11" t="str">
        <x:v>getfileinfo_test</x:v>
      </x:c>
      <x:c r="D19" s="11" t="str">
        <x:v>winfsp-tests</x:v>
      </x:c>
      <x:c r="E19" s="11" t="str">
        <x:v>NTFS</x:v>
      </x:c>
      <x:c r="F19" s="11" t="str">
        <x:v>不适用</x:v>
      </x:c>
      <x:c r="G19" s="20" t="d">
        <x:v>2026-10-10T00:00:00.000Z</x:v>
      </x:c>
      <x:c r="H19" s="11" t="str">
        <x:v>已通过</x:v>
      </x:c>
      <x:c r="I19" s="22" t="n">
        <x:v>0.062</x:v>
      </x:c>
      <x:c r="J19" s="11" t="str">
        <x:v>JuiceFS 1.3.0 / WinFsp 2.1.25156 / rclone 1.75.0-onemount</x:v>
      </x:c>
      <x:c r="K19" s="11" t="str">
        <x:v>原版全外部；无 FUSE 筛选或名称比较放宽</x:v>
      </x:c>
      <x:c r="L19" s="11" t="str">
        <x:v>63151da049f846e65fb361d1f314df65c2d468a7</x:v>
      </x:c>
      <x:c r="M19" s="11" t="str">
        <x:v>E09 / targets.ntfs.results</x:v>
      </x:c>
      <x:c r="N19" s="11" t="str">
        <x:v>入口结果见原始 JSON；通过不表示任意规模均正确</x:v>
      </x:c>
    </x:row>
    <x:row r="20" ht="74" customHeight="1">
      <x:c r="A20" s="10" t="str">
        <x:v>STRICT-20261010-ntfs</x:v>
      </x:c>
      <x:c r="B20" s="10" t="str">
        <x:v>NATIVE-015</x:v>
      </x:c>
      <x:c r="C20" s="10" t="str">
        <x:v>getfileinfo_name_test</x:v>
      </x:c>
      <x:c r="D20" s="10" t="str">
        <x:v>winfsp-tests</x:v>
      </x:c>
      <x:c r="E20" s="10" t="str">
        <x:v>NTFS</x:v>
      </x:c>
      <x:c r="F20" s="10" t="str">
        <x:v>不适用</x:v>
      </x:c>
      <x:c r="G20" s="19" t="d">
        <x:v>2026-10-10T00:00:00.000Z</x:v>
      </x:c>
      <x:c r="H20" s="10" t="str">
        <x:v>已失败</x:v>
      </x:c>
      <x:c r="I20" s="21" t="n">
        <x:v>0.116</x:v>
      </x:c>
      <x:c r="J20" s="10" t="str">
        <x:v>JuiceFS 1.3.0 / WinFsp 2.1.25156 / rclone 1.75.0-onemount</x:v>
      </x:c>
      <x:c r="K20" s="10" t="str">
        <x:v>原版全外部；无 FUSE 筛选或名称比较放宽</x:v>
      </x:c>
      <x:c r="L20" s="10" t="str">
        <x:v>63151da049f846e65fb361d1f314df65c2d468a7</x:v>
      </x:c>
      <x:c r="M20" s="10" t="str">
        <x:v>E09 / targets.ntfs.results</x:v>
      </x:c>
      <x:c r="N20" s="10" t="str">
        <x:v>    ASSERT(0 == wcscmp(OrigPath, FinalPath)) failed at info-test.c:372:getfileinfo_name_dotest (err=0:0)</x:v>
      </x:c>
    </x:row>
    <x:row r="21" ht="74" customHeight="1">
      <x:c r="A21" s="11" t="str">
        <x:v>STRICT-20261010-ntfs</x:v>
      </x:c>
      <x:c r="B21" s="11" t="str">
        <x:v>NATIVE-016</x:v>
      </x:c>
      <x:c r="C21" s="11" t="str">
        <x:v>setfileinfo_test</x:v>
      </x:c>
      <x:c r="D21" s="11" t="str">
        <x:v>winfsp-tests</x:v>
      </x:c>
      <x:c r="E21" s="11" t="str">
        <x:v>NTFS</x:v>
      </x:c>
      <x:c r="F21" s="11" t="str">
        <x:v>不适用</x:v>
      </x:c>
      <x:c r="G21" s="20" t="d">
        <x:v>2026-10-10T00:00:00.000Z</x:v>
      </x:c>
      <x:c r="H21" s="11" t="str">
        <x:v>已通过</x:v>
      </x:c>
      <x:c r="I21" s="22" t="n">
        <x:v>0.065</x:v>
      </x:c>
      <x:c r="J21" s="11" t="str">
        <x:v>JuiceFS 1.3.0 / WinFsp 2.1.25156 / rclone 1.75.0-onemount</x:v>
      </x:c>
      <x:c r="K21" s="11" t="str">
        <x:v>原版全外部；无 FUSE 筛选或名称比较放宽</x:v>
      </x:c>
      <x:c r="L21" s="11" t="str">
        <x:v>63151da049f846e65fb361d1f314df65c2d468a7</x:v>
      </x:c>
      <x:c r="M21" s="11" t="str">
        <x:v>E09 / targets.ntfs.results</x:v>
      </x:c>
      <x:c r="N21" s="11" t="str">
        <x:v>入口结果见原始 JSON；通过不表示任意规模均正确</x:v>
      </x:c>
    </x:row>
    <x:row r="22" ht="74" customHeight="1">
      <x:c r="A22" s="10" t="str">
        <x:v>STRICT-20261010-ntfs</x:v>
      </x:c>
      <x:c r="B22" s="10" t="str">
        <x:v>NATIVE-017</x:v>
      </x:c>
      <x:c r="C22" s="10" t="str">
        <x:v>delete_test</x:v>
      </x:c>
      <x:c r="D22" s="10" t="str">
        <x:v>winfsp-tests</x:v>
      </x:c>
      <x:c r="E22" s="10" t="str">
        <x:v>NTFS</x:v>
      </x:c>
      <x:c r="F22" s="10" t="str">
        <x:v>不适用</x:v>
      </x:c>
      <x:c r="G22" s="19" t="d">
        <x:v>2026-10-10T00:00:00.000Z</x:v>
      </x:c>
      <x:c r="H22" s="10" t="str">
        <x:v>已通过</x:v>
      </x:c>
      <x:c r="I22" s="21" t="n">
        <x:v>0.063</x:v>
      </x:c>
      <x:c r="J22" s="10" t="str">
        <x:v>JuiceFS 1.3.0 / WinFsp 2.1.25156 / rclone 1.75.0-onemount</x:v>
      </x:c>
      <x:c r="K22" s="10" t="str">
        <x:v>原版全外部；无 FUSE 筛选或名称比较放宽</x:v>
      </x:c>
      <x:c r="L22" s="10" t="str">
        <x:v>63151da049f846e65fb361d1f314df65c2d468a7</x:v>
      </x:c>
      <x:c r="M22" s="10" t="str">
        <x:v>E09 / targets.ntfs.results</x:v>
      </x:c>
      <x:c r="N22" s="10" t="str">
        <x:v>入口结果见原始 JSON；通过不表示任意规模均正确</x:v>
      </x:c>
    </x:row>
    <x:row r="23" ht="74" customHeight="1">
      <x:c r="A23" s="11" t="str">
        <x:v>STRICT-20261010-ntfs</x:v>
      </x:c>
      <x:c r="B23" s="11" t="str">
        <x:v>NATIVE-018</x:v>
      </x:c>
      <x:c r="C23" s="11" t="str">
        <x:v>delete_access_test</x:v>
      </x:c>
      <x:c r="D23" s="11" t="str">
        <x:v>winfsp-tests</x:v>
      </x:c>
      <x:c r="E23" s="11" t="str">
        <x:v>NTFS</x:v>
      </x:c>
      <x:c r="F23" s="11" t="str">
        <x:v>不适用</x:v>
      </x:c>
      <x:c r="G23" s="20" t="d">
        <x:v>2026-10-10T00:00:00.000Z</x:v>
      </x:c>
      <x:c r="H23" s="11" t="str">
        <x:v>已通过</x:v>
      </x:c>
      <x:c r="I23" s="22" t="n">
        <x:v>0.07</x:v>
      </x:c>
      <x:c r="J23" s="11" t="str">
        <x:v>JuiceFS 1.3.0 / WinFsp 2.1.25156 / rclone 1.75.0-onemount</x:v>
      </x:c>
      <x:c r="K23" s="11" t="str">
        <x:v>原版全外部；无 FUSE 筛选或名称比较放宽</x:v>
      </x:c>
      <x:c r="L23" s="11" t="str">
        <x:v>63151da049f846e65fb361d1f314df65c2d468a7</x:v>
      </x:c>
      <x:c r="M23" s="11" t="str">
        <x:v>E09 / targets.ntfs.results</x:v>
      </x:c>
      <x:c r="N23" s="11" t="str">
        <x:v>入口结果见原始 JSON；通过不表示任意规模均正确</x:v>
      </x:c>
    </x:row>
    <x:row r="24" ht="74" customHeight="1">
      <x:c r="A24" s="10" t="str">
        <x:v>STRICT-20261010-ntfs</x:v>
      </x:c>
      <x:c r="B24" s="10" t="str">
        <x:v>NATIVE-019</x:v>
      </x:c>
      <x:c r="C24" s="10" t="str">
        <x:v>delete_pending_test</x:v>
      </x:c>
      <x:c r="D24" s="10" t="str">
        <x:v>winfsp-tests</x:v>
      </x:c>
      <x:c r="E24" s="10" t="str">
        <x:v>NTFS</x:v>
      </x:c>
      <x:c r="F24" s="10" t="str">
        <x:v>不适用</x:v>
      </x:c>
      <x:c r="G24" s="19" t="d">
        <x:v>2026-10-10T00:00:00.000Z</x:v>
      </x:c>
      <x:c r="H24" s="10" t="str">
        <x:v>已通过</x:v>
      </x:c>
      <x:c r="I24" s="21" t="n">
        <x:v>0.064</x:v>
      </x:c>
      <x:c r="J24" s="10" t="str">
        <x:v>JuiceFS 1.3.0 / WinFsp 2.1.25156 / rclone 1.75.0-onemount</x:v>
      </x:c>
      <x:c r="K24" s="10" t="str">
        <x:v>原版全外部；无 FUSE 筛选或名称比较放宽</x:v>
      </x:c>
      <x:c r="L24" s="10" t="str">
        <x:v>63151da049f846e65fb361d1f314df65c2d468a7</x:v>
      </x:c>
      <x:c r="M24" s="10" t="str">
        <x:v>E09 / targets.ntfs.results</x:v>
      </x:c>
      <x:c r="N24" s="10" t="str">
        <x:v>入口结果见原始 JSON；通过不表示任意规模均正确</x:v>
      </x:c>
    </x:row>
    <x:row r="25" ht="74" customHeight="1">
      <x:c r="A25" s="11" t="str">
        <x:v>STRICT-20261010-ntfs</x:v>
      </x:c>
      <x:c r="B25" s="11" t="str">
        <x:v>NATIVE-020</x:v>
      </x:c>
      <x:c r="C25" s="11" t="str">
        <x:v>delete_mmap_test</x:v>
      </x:c>
      <x:c r="D25" s="11" t="str">
        <x:v>winfsp-tests</x:v>
      </x:c>
      <x:c r="E25" s="11" t="str">
        <x:v>NTFS</x:v>
      </x:c>
      <x:c r="F25" s="11" t="str">
        <x:v>不适用</x:v>
      </x:c>
      <x:c r="G25" s="20" t="d">
        <x:v>2026-10-10T00:00:00.000Z</x:v>
      </x:c>
      <x:c r="H25" s="11" t="str">
        <x:v>已通过</x:v>
      </x:c>
      <x:c r="I25" s="22" t="n">
        <x:v>0.067</x:v>
      </x:c>
      <x:c r="J25" s="11" t="str">
        <x:v>JuiceFS 1.3.0 / WinFsp 2.1.25156 / rclone 1.75.0-onemount</x:v>
      </x:c>
      <x:c r="K25" s="11" t="str">
        <x:v>原版全外部；无 FUSE 筛选或名称比较放宽</x:v>
      </x:c>
      <x:c r="L25" s="11" t="str">
        <x:v>63151da049f846e65fb361d1f314df65c2d468a7</x:v>
      </x:c>
      <x:c r="M25" s="11" t="str">
        <x:v>E09 / targets.ntfs.results</x:v>
      </x:c>
      <x:c r="N25" s="11" t="str">
        <x:v>入口结果见原始 JSON；通过不表示任意规模均正确</x:v>
      </x:c>
    </x:row>
    <x:row r="26" ht="74" customHeight="1">
      <x:c r="A26" s="10" t="str">
        <x:v>STRICT-20261010-ntfs</x:v>
      </x:c>
      <x:c r="B26" s="10" t="str">
        <x:v>NATIVE-021</x:v>
      </x:c>
      <x:c r="C26" s="10" t="str">
        <x:v>delete_standby_test</x:v>
      </x:c>
      <x:c r="D26" s="10" t="str">
        <x:v>winfsp-tests</x:v>
      </x:c>
      <x:c r="E26" s="10" t="str">
        <x:v>NTFS</x:v>
      </x:c>
      <x:c r="F26" s="10" t="str">
        <x:v>不适用</x:v>
      </x:c>
      <x:c r="G26" s="19" t="d">
        <x:v>2026-10-10T00:00:00.000Z</x:v>
      </x:c>
      <x:c r="H26" s="10" t="str">
        <x:v>已通过</x:v>
      </x:c>
      <x:c r="I26" s="21" t="n">
        <x:v>0.135</x:v>
      </x:c>
      <x:c r="J26" s="10" t="str">
        <x:v>JuiceFS 1.3.0 / WinFsp 2.1.25156 / rclone 1.75.0-onemount</x:v>
      </x:c>
      <x:c r="K26" s="10" t="str">
        <x:v>原版全外部；无 FUSE 筛选或名称比较放宽</x:v>
      </x:c>
      <x:c r="L26" s="10" t="str">
        <x:v>63151da049f846e65fb361d1f314df65c2d468a7</x:v>
      </x:c>
      <x:c r="M26" s="10" t="str">
        <x:v>E09 / targets.ntfs.results</x:v>
      </x:c>
      <x:c r="N26" s="10" t="str">
        <x:v>入口结果见原始 JSON；通过不表示任意规模均正确</x:v>
      </x:c>
    </x:row>
    <x:row r="27" ht="74" customHeight="1">
      <x:c r="A27" s="11" t="str">
        <x:v>STRICT-20261010-ntfs</x:v>
      </x:c>
      <x:c r="B27" s="11" t="str">
        <x:v>NATIVE-022</x:v>
      </x:c>
      <x:c r="C27" s="11" t="str">
        <x:v>delete_ex_test</x:v>
      </x:c>
      <x:c r="D27" s="11" t="str">
        <x:v>winfsp-tests</x:v>
      </x:c>
      <x:c r="E27" s="11" t="str">
        <x:v>NTFS</x:v>
      </x:c>
      <x:c r="F27" s="11" t="str">
        <x:v>不适用</x:v>
      </x:c>
      <x:c r="G27" s="20" t="d">
        <x:v>2026-10-10T00:00:00.000Z</x:v>
      </x:c>
      <x:c r="H27" s="11" t="str">
        <x:v>已通过</x:v>
      </x:c>
      <x:c r="I27" s="22" t="n">
        <x:v>0.064</x:v>
      </x:c>
      <x:c r="J27" s="11" t="str">
        <x:v>JuiceFS 1.3.0 / WinFsp 2.1.25156 / rclone 1.75.0-onemount</x:v>
      </x:c>
      <x:c r="K27" s="11" t="str">
        <x:v>原版全外部；无 FUSE 筛选或名称比较放宽</x:v>
      </x:c>
      <x:c r="L27" s="11" t="str">
        <x:v>63151da049f846e65fb361d1f314df65c2d468a7</x:v>
      </x:c>
      <x:c r="M27" s="11" t="str">
        <x:v>E09 / targets.ntfs.results</x:v>
      </x:c>
      <x:c r="N27" s="11" t="str">
        <x:v>入口结果见原始 JSON；通过不表示任意规模均正确</x:v>
      </x:c>
    </x:row>
    <x:row r="28" ht="74" customHeight="1">
      <x:c r="A28" s="10" t="str">
        <x:v>STRICT-20261010-ntfs</x:v>
      </x:c>
      <x:c r="B28" s="10" t="str">
        <x:v>NATIVE-023</x:v>
      </x:c>
      <x:c r="C28" s="10" t="str">
        <x:v>rename_test</x:v>
      </x:c>
      <x:c r="D28" s="10" t="str">
        <x:v>winfsp-tests</x:v>
      </x:c>
      <x:c r="E28" s="10" t="str">
        <x:v>NTFS</x:v>
      </x:c>
      <x:c r="F28" s="10" t="str">
        <x:v>不适用</x:v>
      </x:c>
      <x:c r="G28" s="19" t="d">
        <x:v>2026-10-10T00:00:00.000Z</x:v>
      </x:c>
      <x:c r="H28" s="10" t="str">
        <x:v>已通过</x:v>
      </x:c>
      <x:c r="I28" s="21" t="n">
        <x:v>0.068</x:v>
      </x:c>
      <x:c r="J28" s="10" t="str">
        <x:v>JuiceFS 1.3.0 / WinFsp 2.1.25156 / rclone 1.75.0-onemount</x:v>
      </x:c>
      <x:c r="K28" s="10" t="str">
        <x:v>原版全外部；无 FUSE 筛选或名称比较放宽</x:v>
      </x:c>
      <x:c r="L28" s="10" t="str">
        <x:v>63151da049f846e65fb361d1f314df65c2d468a7</x:v>
      </x:c>
      <x:c r="M28" s="10" t="str">
        <x:v>E09 / targets.ntfs.results</x:v>
      </x:c>
      <x:c r="N28" s="10" t="str">
        <x:v>入口结果见原始 JSON；通过不表示任意规模均正确</x:v>
      </x:c>
    </x:row>
    <x:row r="29" ht="74" customHeight="1">
      <x:c r="A29" s="11" t="str">
        <x:v>STRICT-20261010-ntfs</x:v>
      </x:c>
      <x:c r="B29" s="11" t="str">
        <x:v>NATIVE-024</x:v>
      </x:c>
      <x:c r="C29" s="11" t="str">
        <x:v>rename_backslash_test</x:v>
      </x:c>
      <x:c r="D29" s="11" t="str">
        <x:v>winfsp-tests</x:v>
      </x:c>
      <x:c r="E29" s="11" t="str">
        <x:v>NTFS</x:v>
      </x:c>
      <x:c r="F29" s="11" t="str">
        <x:v>不适用</x:v>
      </x:c>
      <x:c r="G29" s="20" t="d">
        <x:v>2026-10-10T00:00:00.000Z</x:v>
      </x:c>
      <x:c r="H29" s="11" t="str">
        <x:v>已通过</x:v>
      </x:c>
      <x:c r="I29" s="22" t="n">
        <x:v>0.066</x:v>
      </x:c>
      <x:c r="J29" s="11" t="str">
        <x:v>JuiceFS 1.3.0 / WinFsp 2.1.25156 / rclone 1.75.0-onemount</x:v>
      </x:c>
      <x:c r="K29" s="11" t="str">
        <x:v>原版全外部；无 FUSE 筛选或名称比较放宽</x:v>
      </x:c>
      <x:c r="L29" s="11" t="str">
        <x:v>63151da049f846e65fb361d1f314df65c2d468a7</x:v>
      </x:c>
      <x:c r="M29" s="11" t="str">
        <x:v>E09 / targets.ntfs.results</x:v>
      </x:c>
      <x:c r="N29" s="11" t="str">
        <x:v>入口结果见原始 JSON；通过不表示任意规模均正确</x:v>
      </x:c>
    </x:row>
    <x:row r="30" ht="74" customHeight="1">
      <x:c r="A30" s="10" t="str">
        <x:v>STRICT-20261010-ntfs</x:v>
      </x:c>
      <x:c r="B30" s="10" t="str">
        <x:v>NATIVE-025</x:v>
      </x:c>
      <x:c r="C30" s="10" t="str">
        <x:v>rename_open_test</x:v>
      </x:c>
      <x:c r="D30" s="10" t="str">
        <x:v>winfsp-tests</x:v>
      </x:c>
      <x:c r="E30" s="10" t="str">
        <x:v>NTFS</x:v>
      </x:c>
      <x:c r="F30" s="10" t="str">
        <x:v>不适用</x:v>
      </x:c>
      <x:c r="G30" s="19" t="d">
        <x:v>2026-10-10T00:00:00.000Z</x:v>
      </x:c>
      <x:c r="H30" s="10" t="str">
        <x:v>已通过</x:v>
      </x:c>
      <x:c r="I30" s="21" t="n">
        <x:v>0.065</x:v>
      </x:c>
      <x:c r="J30" s="10" t="str">
        <x:v>JuiceFS 1.3.0 / WinFsp 2.1.25156 / rclone 1.75.0-onemount</x:v>
      </x:c>
      <x:c r="K30" s="10" t="str">
        <x:v>原版全外部；无 FUSE 筛选或名称比较放宽</x:v>
      </x:c>
      <x:c r="L30" s="10" t="str">
        <x:v>63151da049f846e65fb361d1f314df65c2d468a7</x:v>
      </x:c>
      <x:c r="M30" s="10" t="str">
        <x:v>E09 / targets.ntfs.results</x:v>
      </x:c>
      <x:c r="N30" s="10" t="str">
        <x:v>入口结果见原始 JSON；通过不表示任意规模均正确</x:v>
      </x:c>
    </x:row>
    <x:row r="31" ht="74" customHeight="1">
      <x:c r="A31" s="11" t="str">
        <x:v>STRICT-20261010-ntfs</x:v>
      </x:c>
      <x:c r="B31" s="11" t="str">
        <x:v>NATIVE-026</x:v>
      </x:c>
      <x:c r="C31" s="11" t="str">
        <x:v>rename_caseins_test</x:v>
      </x:c>
      <x:c r="D31" s="11" t="str">
        <x:v>winfsp-tests</x:v>
      </x:c>
      <x:c r="E31" s="11" t="str">
        <x:v>NTFS</x:v>
      </x:c>
      <x:c r="F31" s="11" t="str">
        <x:v>不适用</x:v>
      </x:c>
      <x:c r="G31" s="20" t="d">
        <x:v>2026-10-10T00:00:00.000Z</x:v>
      </x:c>
      <x:c r="H31" s="11" t="str">
        <x:v>已通过</x:v>
      </x:c>
      <x:c r="I31" s="22" t="n">
        <x:v>0.068</x:v>
      </x:c>
      <x:c r="J31" s="11" t="str">
        <x:v>JuiceFS 1.3.0 / WinFsp 2.1.25156 / rclone 1.75.0-onemount</x:v>
      </x:c>
      <x:c r="K31" s="11" t="str">
        <x:v>原版全外部；无 FUSE 筛选或名称比较放宽</x:v>
      </x:c>
      <x:c r="L31" s="11" t="str">
        <x:v>63151da049f846e65fb361d1f314df65c2d468a7</x:v>
      </x:c>
      <x:c r="M31" s="11" t="str">
        <x:v>E09 / targets.ntfs.results</x:v>
      </x:c>
      <x:c r="N31" s="11" t="str">
        <x:v>入口结果见原始 JSON；通过不表示任意规模均正确</x:v>
      </x:c>
    </x:row>
    <x:row r="32" ht="74" customHeight="1">
      <x:c r="A32" s="10" t="str">
        <x:v>STRICT-20261010-ntfs</x:v>
      </x:c>
      <x:c r="B32" s="10" t="str">
        <x:v>NATIVE-027</x:v>
      </x:c>
      <x:c r="C32" s="10" t="str">
        <x:v>rename_flipflop_test</x:v>
      </x:c>
      <x:c r="D32" s="10" t="str">
        <x:v>winfsp-tests</x:v>
      </x:c>
      <x:c r="E32" s="10" t="str">
        <x:v>NTFS</x:v>
      </x:c>
      <x:c r="F32" s="10" t="str">
        <x:v>不适用</x:v>
      </x:c>
      <x:c r="G32" s="19" t="d">
        <x:v>2026-10-10T00:00:00.000Z</x:v>
      </x:c>
      <x:c r="H32" s="10" t="str">
        <x:v>已通过</x:v>
      </x:c>
      <x:c r="I32" s="21" t="n">
        <x:v>0.115</x:v>
      </x:c>
      <x:c r="J32" s="10" t="str">
        <x:v>JuiceFS 1.3.0 / WinFsp 2.1.25156 / rclone 1.75.0-onemount</x:v>
      </x:c>
      <x:c r="K32" s="10" t="str">
        <x:v>原版全外部；无 FUSE 筛选或名称比较放宽</x:v>
      </x:c>
      <x:c r="L32" s="10" t="str">
        <x:v>63151da049f846e65fb361d1f314df65c2d468a7</x:v>
      </x:c>
      <x:c r="M32" s="10" t="str">
        <x:v>E09 / targets.ntfs.results</x:v>
      </x:c>
      <x:c r="N32" s="10" t="str">
        <x:v>入口结果见原始 JSON；通过不表示任意规模均正确</x:v>
      </x:c>
    </x:row>
    <x:row r="33" ht="74" customHeight="1">
      <x:c r="A33" s="11" t="str">
        <x:v>STRICT-20261010-ntfs</x:v>
      </x:c>
      <x:c r="B33" s="11" t="str">
        <x:v>NATIVE-028</x:v>
      </x:c>
      <x:c r="C33" s="11" t="str">
        <x:v>rename_mmap_test</x:v>
      </x:c>
      <x:c r="D33" s="11" t="str">
        <x:v>winfsp-tests</x:v>
      </x:c>
      <x:c r="E33" s="11" t="str">
        <x:v>NTFS</x:v>
      </x:c>
      <x:c r="F33" s="11" t="str">
        <x:v>不适用</x:v>
      </x:c>
      <x:c r="G33" s="20" t="d">
        <x:v>2026-10-10T00:00:00.000Z</x:v>
      </x:c>
      <x:c r="H33" s="11" t="str">
        <x:v>已通过</x:v>
      </x:c>
      <x:c r="I33" s="22" t="n">
        <x:v>0.063</x:v>
      </x:c>
      <x:c r="J33" s="11" t="str">
        <x:v>JuiceFS 1.3.0 / WinFsp 2.1.25156 / rclone 1.75.0-onemount</x:v>
      </x:c>
      <x:c r="K33" s="11" t="str">
        <x:v>原版全外部；无 FUSE 筛选或名称比较放宽</x:v>
      </x:c>
      <x:c r="L33" s="11" t="str">
        <x:v>63151da049f846e65fb361d1f314df65c2d468a7</x:v>
      </x:c>
      <x:c r="M33" s="11" t="str">
        <x:v>E09 / targets.ntfs.results</x:v>
      </x:c>
      <x:c r="N33" s="11" t="str">
        <x:v>入口结果见原始 JSON；通过不表示任意规模均正确</x:v>
      </x:c>
    </x:row>
    <x:row r="34" ht="74" customHeight="1">
      <x:c r="A34" s="10" t="str">
        <x:v>STRICT-20261010-ntfs</x:v>
      </x:c>
      <x:c r="B34" s="10" t="str">
        <x:v>NATIVE-029</x:v>
      </x:c>
      <x:c r="C34" s="10" t="str">
        <x:v>rename_standby_test</x:v>
      </x:c>
      <x:c r="D34" s="10" t="str">
        <x:v>winfsp-tests</x:v>
      </x:c>
      <x:c r="E34" s="10" t="str">
        <x:v>NTFS</x:v>
      </x:c>
      <x:c r="F34" s="10" t="str">
        <x:v>不适用</x:v>
      </x:c>
      <x:c r="G34" s="19" t="d">
        <x:v>2026-10-10T00:00:00.000Z</x:v>
      </x:c>
      <x:c r="H34" s="10" t="str">
        <x:v>已通过</x:v>
      </x:c>
      <x:c r="I34" s="21" t="n">
        <x:v>0.196</x:v>
      </x:c>
      <x:c r="J34" s="10" t="str">
        <x:v>JuiceFS 1.3.0 / WinFsp 2.1.25156 / rclone 1.75.0-onemount</x:v>
      </x:c>
      <x:c r="K34" s="10" t="str">
        <x:v>原版全外部；无 FUSE 筛选或名称比较放宽</x:v>
      </x:c>
      <x:c r="L34" s="10" t="str">
        <x:v>63151da049f846e65fb361d1f314df65c2d468a7</x:v>
      </x:c>
      <x:c r="M34" s="10" t="str">
        <x:v>E09 / targets.ntfs.results</x:v>
      </x:c>
      <x:c r="N34" s="10" t="str">
        <x:v>入口结果见原始 JSON；通过不表示任意规模均正确</x:v>
      </x:c>
    </x:row>
    <x:row r="35" ht="74" customHeight="1">
      <x:c r="A35" s="11" t="str">
        <x:v>STRICT-20261010-ntfs</x:v>
      </x:c>
      <x:c r="B35" s="11" t="str">
        <x:v>NATIVE-030</x:v>
      </x:c>
      <x:c r="C35" s="11" t="str">
        <x:v>rename_ex_test</x:v>
      </x:c>
      <x:c r="D35" s="11" t="str">
        <x:v>winfsp-tests</x:v>
      </x:c>
      <x:c r="E35" s="11" t="str">
        <x:v>NTFS</x:v>
      </x:c>
      <x:c r="F35" s="11" t="str">
        <x:v>不适用</x:v>
      </x:c>
      <x:c r="G35" s="20" t="d">
        <x:v>2026-10-10T00:00:00.000Z</x:v>
      </x:c>
      <x:c r="H35" s="11" t="str">
        <x:v>已通过</x:v>
      </x:c>
      <x:c r="I35" s="22" t="n">
        <x:v>0.064</x:v>
      </x:c>
      <x:c r="J35" s="11" t="str">
        <x:v>JuiceFS 1.3.0 / WinFsp 2.1.25156 / rclone 1.75.0-onemount</x:v>
      </x:c>
      <x:c r="K35" s="11" t="str">
        <x:v>原版全外部；无 FUSE 筛选或名称比较放宽</x:v>
      </x:c>
      <x:c r="L35" s="11" t="str">
        <x:v>63151da049f846e65fb361d1f314df65c2d468a7</x:v>
      </x:c>
      <x:c r="M35" s="11" t="str">
        <x:v>E09 / targets.ntfs.results</x:v>
      </x:c>
      <x:c r="N35" s="11" t="str">
        <x:v>入口结果见原始 JSON；通过不表示任意规模均正确</x:v>
      </x:c>
    </x:row>
    <x:row r="36" ht="74" customHeight="1">
      <x:c r="A36" s="10" t="str">
        <x:v>STRICT-20261010-ntfs</x:v>
      </x:c>
      <x:c r="B36" s="10" t="str">
        <x:v>NATIVE-031</x:v>
      </x:c>
      <x:c r="C36" s="10" t="str">
        <x:v>getvolinfo_test</x:v>
      </x:c>
      <x:c r="D36" s="10" t="str">
        <x:v>winfsp-tests</x:v>
      </x:c>
      <x:c r="E36" s="10" t="str">
        <x:v>NTFS</x:v>
      </x:c>
      <x:c r="F36" s="10" t="str">
        <x:v>不适用</x:v>
      </x:c>
      <x:c r="G36" s="19" t="d">
        <x:v>2026-10-10T00:00:00.000Z</x:v>
      </x:c>
      <x:c r="H36" s="10" t="str">
        <x:v>已通过</x:v>
      </x:c>
      <x:c r="I36" s="21" t="n">
        <x:v>0.064</x:v>
      </x:c>
      <x:c r="J36" s="10" t="str">
        <x:v>JuiceFS 1.3.0 / WinFsp 2.1.25156 / rclone 1.75.0-onemount</x:v>
      </x:c>
      <x:c r="K36" s="10" t="str">
        <x:v>原版全外部；无 FUSE 筛选或名称比较放宽</x:v>
      </x:c>
      <x:c r="L36" s="10" t="str">
        <x:v>63151da049f846e65fb361d1f314df65c2d468a7</x:v>
      </x:c>
      <x:c r="M36" s="10" t="str">
        <x:v>E09 / targets.ntfs.results</x:v>
      </x:c>
      <x:c r="N36" s="10" t="str">
        <x:v>入口结果见原始 JSON；通过不表示任意规模均正确</x:v>
      </x:c>
    </x:row>
    <x:row r="37" ht="74" customHeight="1">
      <x:c r="A37" s="11" t="str">
        <x:v>STRICT-20261010-ntfs</x:v>
      </x:c>
      <x:c r="B37" s="11" t="str">
        <x:v>NATIVE-032</x:v>
      </x:c>
      <x:c r="C37" s="11" t="str">
        <x:v>setvolinfo_test</x:v>
      </x:c>
      <x:c r="D37" s="11" t="str">
        <x:v>winfsp-tests</x:v>
      </x:c>
      <x:c r="E37" s="11" t="str">
        <x:v>NTFS</x:v>
      </x:c>
      <x:c r="F37" s="11" t="str">
        <x:v>不适用</x:v>
      </x:c>
      <x:c r="G37" s="20" t="d">
        <x:v>2026-10-10T00:00:00.000Z</x:v>
      </x:c>
      <x:c r="H37" s="11" t="str">
        <x:v>已通过</x:v>
      </x:c>
      <x:c r="I37" s="22" t="n">
        <x:v>0.063</x:v>
      </x:c>
      <x:c r="J37" s="11" t="str">
        <x:v>JuiceFS 1.3.0 / WinFsp 2.1.25156 / rclone 1.75.0-onemount</x:v>
      </x:c>
      <x:c r="K37" s="11" t="str">
        <x:v>原版全外部；无 FUSE 筛选或名称比较放宽</x:v>
      </x:c>
      <x:c r="L37" s="11" t="str">
        <x:v>63151da049f846e65fb361d1f314df65c2d468a7</x:v>
      </x:c>
      <x:c r="M37" s="11" t="str">
        <x:v>E09 / targets.ntfs.results</x:v>
      </x:c>
      <x:c r="N37" s="11" t="str">
        <x:v>入口结果见原始 JSON；通过不表示任意规模均正确</x:v>
      </x:c>
    </x:row>
    <x:row r="38" ht="74" customHeight="1">
      <x:c r="A38" s="10" t="str">
        <x:v>STRICT-20261010-ntfs</x:v>
      </x:c>
      <x:c r="B38" s="10" t="str">
        <x:v>NATIVE-033</x:v>
      </x:c>
      <x:c r="C38" s="10" t="str">
        <x:v>getsecurity_test</x:v>
      </x:c>
      <x:c r="D38" s="10" t="str">
        <x:v>winfsp-tests</x:v>
      </x:c>
      <x:c r="E38" s="10" t="str">
        <x:v>NTFS</x:v>
      </x:c>
      <x:c r="F38" s="10" t="str">
        <x:v>不适用</x:v>
      </x:c>
      <x:c r="G38" s="19" t="d">
        <x:v>2026-10-10T00:00:00.000Z</x:v>
      </x:c>
      <x:c r="H38" s="10" t="str">
        <x:v>已通过</x:v>
      </x:c>
      <x:c r="I38" s="21" t="n">
        <x:v>0.072</x:v>
      </x:c>
      <x:c r="J38" s="10" t="str">
        <x:v>JuiceFS 1.3.0 / WinFsp 2.1.25156 / rclone 1.75.0-onemount</x:v>
      </x:c>
      <x:c r="K38" s="10" t="str">
        <x:v>原版全外部；无 FUSE 筛选或名称比较放宽</x:v>
      </x:c>
      <x:c r="L38" s="10" t="str">
        <x:v>63151da049f846e65fb361d1f314df65c2d468a7</x:v>
      </x:c>
      <x:c r="M38" s="10" t="str">
        <x:v>E09 / targets.ntfs.results</x:v>
      </x:c>
      <x:c r="N38" s="10" t="str">
        <x:v>入口结果见原始 JSON；通过不表示任意规模均正确</x:v>
      </x:c>
    </x:row>
    <x:row r="39" ht="74" customHeight="1">
      <x:c r="A39" s="11" t="str">
        <x:v>STRICT-20261010-ntfs</x:v>
      </x:c>
      <x:c r="B39" s="11" t="str">
        <x:v>NATIVE-034</x:v>
      </x:c>
      <x:c r="C39" s="11" t="str">
        <x:v>setsecurity_test</x:v>
      </x:c>
      <x:c r="D39" s="11" t="str">
        <x:v>winfsp-tests</x:v>
      </x:c>
      <x:c r="E39" s="11" t="str">
        <x:v>NTFS</x:v>
      </x:c>
      <x:c r="F39" s="11" t="str">
        <x:v>不适用</x:v>
      </x:c>
      <x:c r="G39" s="20" t="d">
        <x:v>2026-10-10T00:00:00.000Z</x:v>
      </x:c>
      <x:c r="H39" s="11" t="str">
        <x:v>已通过</x:v>
      </x:c>
      <x:c r="I39" s="22" t="n">
        <x:v>0.065</x:v>
      </x:c>
      <x:c r="J39" s="11" t="str">
        <x:v>JuiceFS 1.3.0 / WinFsp 2.1.25156 / rclone 1.75.0-onemount</x:v>
      </x:c>
      <x:c r="K39" s="11" t="str">
        <x:v>原版全外部；无 FUSE 筛选或名称比较放宽</x:v>
      </x:c>
      <x:c r="L39" s="11" t="str">
        <x:v>63151da049f846e65fb361d1f314df65c2d468a7</x:v>
      </x:c>
      <x:c r="M39" s="11" t="str">
        <x:v>E09 / targets.ntfs.results</x:v>
      </x:c>
      <x:c r="N39" s="11" t="str">
        <x:v>入口结果见原始 JSON；通过不表示任意规模均正确</x:v>
      </x:c>
    </x:row>
    <x:row r="40" ht="74" customHeight="1">
      <x:c r="A40" s="10" t="str">
        <x:v>STRICT-20261010-ntfs</x:v>
      </x:c>
      <x:c r="B40" s="10" t="str">
        <x:v>NATIVE-035</x:v>
      </x:c>
      <x:c r="C40" s="10" t="str">
        <x:v>security_stress_meta_test</x:v>
      </x:c>
      <x:c r="D40" s="10" t="str">
        <x:v>winfsp-tests</x:v>
      </x:c>
      <x:c r="E40" s="10" t="str">
        <x:v>NTFS</x:v>
      </x:c>
      <x:c r="F40" s="10" t="str">
        <x:v>不适用</x:v>
      </x:c>
      <x:c r="G40" s="19" t="d">
        <x:v>2026-10-10T00:00:00.000Z</x:v>
      </x:c>
      <x:c r="H40" s="10" t="str">
        <x:v>已通过</x:v>
      </x:c>
      <x:c r="I40" s="21" t="n">
        <x:v>0.152</x:v>
      </x:c>
      <x:c r="J40" s="10" t="str">
        <x:v>JuiceFS 1.3.0 / WinFsp 2.1.25156 / rclone 1.75.0-onemount</x:v>
      </x:c>
      <x:c r="K40" s="10" t="str">
        <x:v>原版全外部；无 FUSE 筛选或名称比较放宽</x:v>
      </x:c>
      <x:c r="L40" s="10" t="str">
        <x:v>63151da049f846e65fb361d1f314df65c2d468a7</x:v>
      </x:c>
      <x:c r="M40" s="10" t="str">
        <x:v>E09 / targets.ntfs.results</x:v>
      </x:c>
      <x:c r="N40" s="10" t="str">
        <x:v>入口结果见原始 JSON；通过不表示任意规模均正确</x:v>
      </x:c>
    </x:row>
    <x:row r="41" ht="74" customHeight="1">
      <x:c r="A41" s="11" t="str">
        <x:v>STRICT-20261010-ntfs</x:v>
      </x:c>
      <x:c r="B41" s="11" t="str">
        <x:v>NATIVE-036</x:v>
      </x:c>
      <x:c r="C41" s="11" t="str">
        <x:v>rdwr_noncached_test</x:v>
      </x:c>
      <x:c r="D41" s="11" t="str">
        <x:v>winfsp-tests</x:v>
      </x:c>
      <x:c r="E41" s="11" t="str">
        <x:v>NTFS</x:v>
      </x:c>
      <x:c r="F41" s="11" t="str">
        <x:v>不适用</x:v>
      </x:c>
      <x:c r="G41" s="20" t="d">
        <x:v>2026-10-10T00:00:00.000Z</x:v>
      </x:c>
      <x:c r="H41" s="11" t="str">
        <x:v>已通过</x:v>
      </x:c>
      <x:c r="I41" s="22" t="n">
        <x:v>0.143</x:v>
      </x:c>
      <x:c r="J41" s="11" t="str">
        <x:v>JuiceFS 1.3.0 / WinFsp 2.1.25156 / rclone 1.75.0-onemount</x:v>
      </x:c>
      <x:c r="K41" s="11" t="str">
        <x:v>原版全外部；无 FUSE 筛选或名称比较放宽</x:v>
      </x:c>
      <x:c r="L41" s="11" t="str">
        <x:v>63151da049f846e65fb361d1f314df65c2d468a7</x:v>
      </x:c>
      <x:c r="M41" s="11" t="str">
        <x:v>E09 / targets.ntfs.results</x:v>
      </x:c>
      <x:c r="N41" s="11" t="str">
        <x:v>入口结果见原始 JSON；通过不表示任意规模均正确</x:v>
      </x:c>
    </x:row>
    <x:row r="42" ht="74" customHeight="1">
      <x:c r="A42" s="10" t="str">
        <x:v>STRICT-20261010-ntfs</x:v>
      </x:c>
      <x:c r="B42" s="10" t="str">
        <x:v>NATIVE-037</x:v>
      </x:c>
      <x:c r="C42" s="10" t="str">
        <x:v>rdwr_noncached_overlapped_test</x:v>
      </x:c>
      <x:c r="D42" s="10" t="str">
        <x:v>winfsp-tests</x:v>
      </x:c>
      <x:c r="E42" s="10" t="str">
        <x:v>NTFS</x:v>
      </x:c>
      <x:c r="F42" s="10" t="str">
        <x:v>不适用</x:v>
      </x:c>
      <x:c r="G42" s="19" t="d">
        <x:v>2026-10-10T00:00:00.000Z</x:v>
      </x:c>
      <x:c r="H42" s="10" t="str">
        <x:v>已通过</x:v>
      </x:c>
      <x:c r="I42" s="21" t="n">
        <x:v>0.183</x:v>
      </x:c>
      <x:c r="J42" s="10" t="str">
        <x:v>JuiceFS 1.3.0 / WinFsp 2.1.25156 / rclone 1.75.0-onemount</x:v>
      </x:c>
      <x:c r="K42" s="10" t="str">
        <x:v>原版全外部；无 FUSE 筛选或名称比较放宽</x:v>
      </x:c>
      <x:c r="L42" s="10" t="str">
        <x:v>63151da049f846e65fb361d1f314df65c2d468a7</x:v>
      </x:c>
      <x:c r="M42" s="10" t="str">
        <x:v>E09 / targets.ntfs.results</x:v>
      </x:c>
      <x:c r="N42" s="10" t="str">
        <x:v>入口结果见原始 JSON；通过不表示任意规模均正确</x:v>
      </x:c>
    </x:row>
    <x:row r="43" ht="74" customHeight="1">
      <x:c r="A43" s="11" t="str">
        <x:v>STRICT-20261010-ntfs</x:v>
      </x:c>
      <x:c r="B43" s="11" t="str">
        <x:v>NATIVE-038</x:v>
      </x:c>
      <x:c r="C43" s="11" t="str">
        <x:v>rdwr_cached_test</x:v>
      </x:c>
      <x:c r="D43" s="11" t="str">
        <x:v>winfsp-tests</x:v>
      </x:c>
      <x:c r="E43" s="11" t="str">
        <x:v>NTFS</x:v>
      </x:c>
      <x:c r="F43" s="11" t="str">
        <x:v>不适用</x:v>
      </x:c>
      <x:c r="G43" s="20" t="d">
        <x:v>2026-10-10T00:00:00.000Z</x:v>
      </x:c>
      <x:c r="H43" s="11" t="str">
        <x:v>已通过</x:v>
      </x:c>
      <x:c r="I43" s="22" t="n">
        <x:v>0.078</x:v>
      </x:c>
      <x:c r="J43" s="11" t="str">
        <x:v>JuiceFS 1.3.0 / WinFsp 2.1.25156 / rclone 1.75.0-onemount</x:v>
      </x:c>
      <x:c r="K43" s="11" t="str">
        <x:v>原版全外部；无 FUSE 筛选或名称比较放宽</x:v>
      </x:c>
      <x:c r="L43" s="11" t="str">
        <x:v>63151da049f846e65fb361d1f314df65c2d468a7</x:v>
      </x:c>
      <x:c r="M43" s="11" t="str">
        <x:v>E09 / targets.ntfs.results</x:v>
      </x:c>
      <x:c r="N43" s="11" t="str">
        <x:v>入口结果见原始 JSON；通过不表示任意规模均正确</x:v>
      </x:c>
    </x:row>
    <x:row r="44" ht="74" customHeight="1">
      <x:c r="A44" s="10" t="str">
        <x:v>STRICT-20261010-ntfs</x:v>
      </x:c>
      <x:c r="B44" s="10" t="str">
        <x:v>NATIVE-039</x:v>
      </x:c>
      <x:c r="C44" s="10" t="str">
        <x:v>rdwr_cached_append_test</x:v>
      </x:c>
      <x:c r="D44" s="10" t="str">
        <x:v>winfsp-tests</x:v>
      </x:c>
      <x:c r="E44" s="10" t="str">
        <x:v>NTFS</x:v>
      </x:c>
      <x:c r="F44" s="10" t="str">
        <x:v>不适用</x:v>
      </x:c>
      <x:c r="G44" s="19" t="d">
        <x:v>2026-10-10T00:00:00.000Z</x:v>
      </x:c>
      <x:c r="H44" s="10" t="str">
        <x:v>已通过</x:v>
      </x:c>
      <x:c r="I44" s="21" t="n">
        <x:v>0.064</x:v>
      </x:c>
      <x:c r="J44" s="10" t="str">
        <x:v>JuiceFS 1.3.0 / WinFsp 2.1.25156 / rclone 1.75.0-onemount</x:v>
      </x:c>
      <x:c r="K44" s="10" t="str">
        <x:v>原版全外部；无 FUSE 筛选或名称比较放宽</x:v>
      </x:c>
      <x:c r="L44" s="10" t="str">
        <x:v>63151da049f846e65fb361d1f314df65c2d468a7</x:v>
      </x:c>
      <x:c r="M44" s="10" t="str">
        <x:v>E09 / targets.ntfs.results</x:v>
      </x:c>
      <x:c r="N44" s="10" t="str">
        <x:v>入口结果见原始 JSON；通过不表示任意规模均正确</x:v>
      </x:c>
    </x:row>
    <x:row r="45" ht="74" customHeight="1">
      <x:c r="A45" s="11" t="str">
        <x:v>STRICT-20261010-ntfs</x:v>
      </x:c>
      <x:c r="B45" s="11" t="str">
        <x:v>NATIVE-040</x:v>
      </x:c>
      <x:c r="C45" s="11" t="str">
        <x:v>rdwr_cached_overlapped_test</x:v>
      </x:c>
      <x:c r="D45" s="11" t="str">
        <x:v>winfsp-tests</x:v>
      </x:c>
      <x:c r="E45" s="11" t="str">
        <x:v>NTFS</x:v>
      </x:c>
      <x:c r="F45" s="11" t="str">
        <x:v>不适用</x:v>
      </x:c>
      <x:c r="G45" s="20" t="d">
        <x:v>2026-10-10T00:00:00.000Z</x:v>
      </x:c>
      <x:c r="H45" s="11" t="str">
        <x:v>已通过</x:v>
      </x:c>
      <x:c r="I45" s="22" t="n">
        <x:v>0.069</x:v>
      </x:c>
      <x:c r="J45" s="11" t="str">
        <x:v>JuiceFS 1.3.0 / WinFsp 2.1.25156 / rclone 1.75.0-onemount</x:v>
      </x:c>
      <x:c r="K45" s="11" t="str">
        <x:v>原版全外部；无 FUSE 筛选或名称比较放宽</x:v>
      </x:c>
      <x:c r="L45" s="11" t="str">
        <x:v>63151da049f846e65fb361d1f314df65c2d468a7</x:v>
      </x:c>
      <x:c r="M45" s="11" t="str">
        <x:v>E09 / targets.ntfs.results</x:v>
      </x:c>
      <x:c r="N45" s="11" t="str">
        <x:v>入口结果见原始 JSON；通过不表示任意规模均正确</x:v>
      </x:c>
    </x:row>
    <x:row r="46" ht="74" customHeight="1">
      <x:c r="A46" s="10" t="str">
        <x:v>STRICT-20261010-ntfs</x:v>
      </x:c>
      <x:c r="B46" s="10" t="str">
        <x:v>NATIVE-041</x:v>
      </x:c>
      <x:c r="C46" s="10" t="str">
        <x:v>rdwr_writethru_test</x:v>
      </x:c>
      <x:c r="D46" s="10" t="str">
        <x:v>winfsp-tests</x:v>
      </x:c>
      <x:c r="E46" s="10" t="str">
        <x:v>NTFS</x:v>
      </x:c>
      <x:c r="F46" s="10" t="str">
        <x:v>不适用</x:v>
      </x:c>
      <x:c r="G46" s="19" t="d">
        <x:v>2026-10-10T00:00:00.000Z</x:v>
      </x:c>
      <x:c r="H46" s="10" t="str">
        <x:v>已通过</x:v>
      </x:c>
      <x:c r="I46" s="21" t="n">
        <x:v>0.133</x:v>
      </x:c>
      <x:c r="J46" s="10" t="str">
        <x:v>JuiceFS 1.3.0 / WinFsp 2.1.25156 / rclone 1.75.0-onemount</x:v>
      </x:c>
      <x:c r="K46" s="10" t="str">
        <x:v>原版全外部；无 FUSE 筛选或名称比较放宽</x:v>
      </x:c>
      <x:c r="L46" s="10" t="str">
        <x:v>63151da049f846e65fb361d1f314df65c2d468a7</x:v>
      </x:c>
      <x:c r="M46" s="10" t="str">
        <x:v>E09 / targets.ntfs.results</x:v>
      </x:c>
      <x:c r="N46" s="10" t="str">
        <x:v>入口结果见原始 JSON；通过不表示任意规模均正确</x:v>
      </x:c>
    </x:row>
    <x:row r="47" ht="74" customHeight="1">
      <x:c r="A47" s="11" t="str">
        <x:v>STRICT-20261010-ntfs</x:v>
      </x:c>
      <x:c r="B47" s="11" t="str">
        <x:v>NATIVE-042</x:v>
      </x:c>
      <x:c r="C47" s="11" t="str">
        <x:v>rdwr_writethru_append_test</x:v>
      </x:c>
      <x:c r="D47" s="11" t="str">
        <x:v>winfsp-tests</x:v>
      </x:c>
      <x:c r="E47" s="11" t="str">
        <x:v>NTFS</x:v>
      </x:c>
      <x:c r="F47" s="11" t="str">
        <x:v>不适用</x:v>
      </x:c>
      <x:c r="G47" s="20" t="d">
        <x:v>2026-10-10T00:00:00.000Z</x:v>
      </x:c>
      <x:c r="H47" s="11" t="str">
        <x:v>已通过</x:v>
      </x:c>
      <x:c r="I47" s="22" t="n">
        <x:v>0.098</x:v>
      </x:c>
      <x:c r="J47" s="11" t="str">
        <x:v>JuiceFS 1.3.0 / WinFsp 2.1.25156 / rclone 1.75.0-onemount</x:v>
      </x:c>
      <x:c r="K47" s="11" t="str">
        <x:v>原版全外部；无 FUSE 筛选或名称比较放宽</x:v>
      </x:c>
      <x:c r="L47" s="11" t="str">
        <x:v>63151da049f846e65fb361d1f314df65c2d468a7</x:v>
      </x:c>
      <x:c r="M47" s="11" t="str">
        <x:v>E09 / targets.ntfs.results</x:v>
      </x:c>
      <x:c r="N47" s="11" t="str">
        <x:v>入口结果见原始 JSON；通过不表示任意规模均正确</x:v>
      </x:c>
    </x:row>
    <x:row r="48" ht="74" customHeight="1">
      <x:c r="A48" s="10" t="str">
        <x:v>STRICT-20261010-ntfs</x:v>
      </x:c>
      <x:c r="B48" s="10" t="str">
        <x:v>NATIVE-043</x:v>
      </x:c>
      <x:c r="C48" s="10" t="str">
        <x:v>rdwr_writethru_overlapped_test</x:v>
      </x:c>
      <x:c r="D48" s="10" t="str">
        <x:v>winfsp-tests</x:v>
      </x:c>
      <x:c r="E48" s="10" t="str">
        <x:v>NTFS</x:v>
      </x:c>
      <x:c r="F48" s="10" t="str">
        <x:v>不适用</x:v>
      </x:c>
      <x:c r="G48" s="19" t="d">
        <x:v>2026-10-10T00:00:00.000Z</x:v>
      </x:c>
      <x:c r="H48" s="10" t="str">
        <x:v>已通过</x:v>
      </x:c>
      <x:c r="I48" s="21" t="n">
        <x:v>0.166</x:v>
      </x:c>
      <x:c r="J48" s="10" t="str">
        <x:v>JuiceFS 1.3.0 / WinFsp 2.1.25156 / rclone 1.75.0-onemount</x:v>
      </x:c>
      <x:c r="K48" s="10" t="str">
        <x:v>原版全外部；无 FUSE 筛选或名称比较放宽</x:v>
      </x:c>
      <x:c r="L48" s="10" t="str">
        <x:v>63151da049f846e65fb361d1f314df65c2d468a7</x:v>
      </x:c>
      <x:c r="M48" s="10" t="str">
        <x:v>E09 / targets.ntfs.results</x:v>
      </x:c>
      <x:c r="N48" s="10" t="str">
        <x:v>入口结果见原始 JSON；通过不表示任意规模均正确</x:v>
      </x:c>
    </x:row>
    <x:row r="49" ht="74" customHeight="1">
      <x:c r="A49" s="11" t="str">
        <x:v>STRICT-20261010-ntfs</x:v>
      </x:c>
      <x:c r="B49" s="11" t="str">
        <x:v>NATIVE-044</x:v>
      </x:c>
      <x:c r="C49" s="11" t="str">
        <x:v>rdwr_mmap_test</x:v>
      </x:c>
      <x:c r="D49" s="11" t="str">
        <x:v>winfsp-tests</x:v>
      </x:c>
      <x:c r="E49" s="11" t="str">
        <x:v>NTFS</x:v>
      </x:c>
      <x:c r="F49" s="11" t="str">
        <x:v>不适用</x:v>
      </x:c>
      <x:c r="G49" s="20" t="d">
        <x:v>2026-10-10T00:00:00.000Z</x:v>
      </x:c>
      <x:c r="H49" s="11" t="str">
        <x:v>已通过</x:v>
      </x:c>
      <x:c r="I49" s="22" t="n">
        <x:v>0.212</x:v>
      </x:c>
      <x:c r="J49" s="11" t="str">
        <x:v>JuiceFS 1.3.0 / WinFsp 2.1.25156 / rclone 1.75.0-onemount</x:v>
      </x:c>
      <x:c r="K49" s="11" t="str">
        <x:v>原版全外部；无 FUSE 筛选或名称比较放宽</x:v>
      </x:c>
      <x:c r="L49" s="11" t="str">
        <x:v>63151da049f846e65fb361d1f314df65c2d468a7</x:v>
      </x:c>
      <x:c r="M49" s="11" t="str">
        <x:v>E09 / targets.ntfs.results</x:v>
      </x:c>
      <x:c r="N49" s="11" t="str">
        <x:v>入口结果见原始 JSON；通过不表示任意规模均正确</x:v>
      </x:c>
    </x:row>
    <x:row r="50" ht="74" customHeight="1">
      <x:c r="A50" s="10" t="str">
        <x:v>STRICT-20261010-ntfs</x:v>
      </x:c>
      <x:c r="B50" s="10" t="str">
        <x:v>NATIVE-045</x:v>
      </x:c>
      <x:c r="C50" s="10" t="str">
        <x:v>rdwr_mixed_test</x:v>
      </x:c>
      <x:c r="D50" s="10" t="str">
        <x:v>winfsp-tests</x:v>
      </x:c>
      <x:c r="E50" s="10" t="str">
        <x:v>NTFS</x:v>
      </x:c>
      <x:c r="F50" s="10" t="str">
        <x:v>不适用</x:v>
      </x:c>
      <x:c r="G50" s="19" t="d">
        <x:v>2026-10-10T00:00:00.000Z</x:v>
      </x:c>
      <x:c r="H50" s="10" t="str">
        <x:v>已通过</x:v>
      </x:c>
      <x:c r="I50" s="21" t="n">
        <x:v>0.122</x:v>
      </x:c>
      <x:c r="J50" s="10" t="str">
        <x:v>JuiceFS 1.3.0 / WinFsp 2.1.25156 / rclone 1.75.0-onemount</x:v>
      </x:c>
      <x:c r="K50" s="10" t="str">
        <x:v>原版全外部；无 FUSE 筛选或名称比较放宽</x:v>
      </x:c>
      <x:c r="L50" s="10" t="str">
        <x:v>63151da049f846e65fb361d1f314df65c2d468a7</x:v>
      </x:c>
      <x:c r="M50" s="10" t="str">
        <x:v>E09 / targets.ntfs.results</x:v>
      </x:c>
      <x:c r="N50" s="10" t="str">
        <x:v>入口结果见原始 JSON；通过不表示任意规模均正确</x:v>
      </x:c>
    </x:row>
    <x:row r="51" ht="74" customHeight="1">
      <x:c r="A51" s="11" t="str">
        <x:v>STRICT-20261010-ntfs</x:v>
      </x:c>
      <x:c r="B51" s="11" t="str">
        <x:v>NATIVE-046</x:v>
      </x:c>
      <x:c r="C51" s="11" t="str">
        <x:v>flush_test</x:v>
      </x:c>
      <x:c r="D51" s="11" t="str">
        <x:v>winfsp-tests</x:v>
      </x:c>
      <x:c r="E51" s="11" t="str">
        <x:v>NTFS</x:v>
      </x:c>
      <x:c r="F51" s="11" t="str">
        <x:v>不适用</x:v>
      </x:c>
      <x:c r="G51" s="20" t="d">
        <x:v>2026-10-10T00:00:00.000Z</x:v>
      </x:c>
      <x:c r="H51" s="11" t="str">
        <x:v>已通过</x:v>
      </x:c>
      <x:c r="I51" s="22" t="n">
        <x:v>0.238</x:v>
      </x:c>
      <x:c r="J51" s="11" t="str">
        <x:v>JuiceFS 1.3.0 / WinFsp 2.1.25156 / rclone 1.75.0-onemount</x:v>
      </x:c>
      <x:c r="K51" s="11" t="str">
        <x:v>原版全外部；无 FUSE 筛选或名称比较放宽</x:v>
      </x:c>
      <x:c r="L51" s="11" t="str">
        <x:v>63151da049f846e65fb361d1f314df65c2d468a7</x:v>
      </x:c>
      <x:c r="M51" s="11" t="str">
        <x:v>E09 / targets.ntfs.results</x:v>
      </x:c>
      <x:c r="N51" s="11" t="str">
        <x:v>入口结果见原始 JSON；通过不表示任意规模均正确</x:v>
      </x:c>
    </x:row>
    <x:row r="52" ht="74" customHeight="1">
      <x:c r="A52" s="10" t="str">
        <x:v>STRICT-20261010-ntfs</x:v>
      </x:c>
      <x:c r="B52" s="10" t="str">
        <x:v>NATIVE-047</x:v>
      </x:c>
      <x:c r="C52" s="10" t="str">
        <x:v>flush_volume_test</x:v>
      </x:c>
      <x:c r="D52" s="10" t="str">
        <x:v>winfsp-tests</x:v>
      </x:c>
      <x:c r="E52" s="10" t="str">
        <x:v>NTFS</x:v>
      </x:c>
      <x:c r="F52" s="10" t="str">
        <x:v>不适用</x:v>
      </x:c>
      <x:c r="G52" s="19" t="d">
        <x:v>2026-10-10T00:00:00.000Z</x:v>
      </x:c>
      <x:c r="H52" s="10" t="str">
        <x:v>已通过</x:v>
      </x:c>
      <x:c r="I52" s="21" t="n">
        <x:v>0.065</x:v>
      </x:c>
      <x:c r="J52" s="10" t="str">
        <x:v>JuiceFS 1.3.0 / WinFsp 2.1.25156 / rclone 1.75.0-onemount</x:v>
      </x:c>
      <x:c r="K52" s="10" t="str">
        <x:v>原版全外部；无 FUSE 筛选或名称比较放宽</x:v>
      </x:c>
      <x:c r="L52" s="10" t="str">
        <x:v>63151da049f846e65fb361d1f314df65c2d468a7</x:v>
      </x:c>
      <x:c r="M52" s="10" t="str">
        <x:v>E09 / targets.ntfs.results</x:v>
      </x:c>
      <x:c r="N52" s="10" t="str">
        <x:v>入口结果见原始 JSON；通过不表示任意规模均正确</x:v>
      </x:c>
    </x:row>
    <x:row r="53" ht="74" customHeight="1">
      <x:c r="A53" s="11" t="str">
        <x:v>STRICT-20261010-ntfs</x:v>
      </x:c>
      <x:c r="B53" s="11" t="str">
        <x:v>NATIVE-048</x:v>
      </x:c>
      <x:c r="C53" s="11" t="str">
        <x:v>lock_noncached_test</x:v>
      </x:c>
      <x:c r="D53" s="11" t="str">
        <x:v>winfsp-tests</x:v>
      </x:c>
      <x:c r="E53" s="11" t="str">
        <x:v>NTFS</x:v>
      </x:c>
      <x:c r="F53" s="11" t="str">
        <x:v>不适用</x:v>
      </x:c>
      <x:c r="G53" s="20" t="d">
        <x:v>2026-10-10T00:00:00.000Z</x:v>
      </x:c>
      <x:c r="H53" s="11" t="str">
        <x:v>已通过</x:v>
      </x:c>
      <x:c r="I53" s="22" t="n">
        <x:v>0.181</x:v>
      </x:c>
      <x:c r="J53" s="11" t="str">
        <x:v>JuiceFS 1.3.0 / WinFsp 2.1.25156 / rclone 1.75.0-onemount</x:v>
      </x:c>
      <x:c r="K53" s="11" t="str">
        <x:v>原版全外部；无 FUSE 筛选或名称比较放宽</x:v>
      </x:c>
      <x:c r="L53" s="11" t="str">
        <x:v>63151da049f846e65fb361d1f314df65c2d468a7</x:v>
      </x:c>
      <x:c r="M53" s="11" t="str">
        <x:v>E09 / targets.ntfs.results</x:v>
      </x:c>
      <x:c r="N53" s="11" t="str">
        <x:v>入口结果见原始 JSON；通过不表示任意规模均正确</x:v>
      </x:c>
    </x:row>
    <x:row r="54" ht="74" customHeight="1">
      <x:c r="A54" s="10" t="str">
        <x:v>STRICT-20261010-ntfs</x:v>
      </x:c>
      <x:c r="B54" s="10" t="str">
        <x:v>NATIVE-049</x:v>
      </x:c>
      <x:c r="C54" s="10" t="str">
        <x:v>lock_noncached_overlapped_test</x:v>
      </x:c>
      <x:c r="D54" s="10" t="str">
        <x:v>winfsp-tests</x:v>
      </x:c>
      <x:c r="E54" s="10" t="str">
        <x:v>NTFS</x:v>
      </x:c>
      <x:c r="F54" s="10" t="str">
        <x:v>不适用</x:v>
      </x:c>
      <x:c r="G54" s="19" t="d">
        <x:v>2026-10-10T00:00:00.000Z</x:v>
      </x:c>
      <x:c r="H54" s="10" t="str">
        <x:v>已通过</x:v>
      </x:c>
      <x:c r="I54" s="21" t="n">
        <x:v>0.148</x:v>
      </x:c>
      <x:c r="J54" s="10" t="str">
        <x:v>JuiceFS 1.3.0 / WinFsp 2.1.25156 / rclone 1.75.0-onemount</x:v>
      </x:c>
      <x:c r="K54" s="10" t="str">
        <x:v>原版全外部；无 FUSE 筛选或名称比较放宽</x:v>
      </x:c>
      <x:c r="L54" s="10" t="str">
        <x:v>63151da049f846e65fb361d1f314df65c2d468a7</x:v>
      </x:c>
      <x:c r="M54" s="10" t="str">
        <x:v>E09 / targets.ntfs.results</x:v>
      </x:c>
      <x:c r="N54" s="10" t="str">
        <x:v>入口结果见原始 JSON；通过不表示任意规模均正确</x:v>
      </x:c>
    </x:row>
    <x:row r="55" ht="74" customHeight="1">
      <x:c r="A55" s="11" t="str">
        <x:v>STRICT-20261010-ntfs</x:v>
      </x:c>
      <x:c r="B55" s="11" t="str">
        <x:v>NATIVE-050</x:v>
      </x:c>
      <x:c r="C55" s="11" t="str">
        <x:v>lock_cached_test</x:v>
      </x:c>
      <x:c r="D55" s="11" t="str">
        <x:v>winfsp-tests</x:v>
      </x:c>
      <x:c r="E55" s="11" t="str">
        <x:v>NTFS</x:v>
      </x:c>
      <x:c r="F55" s="11" t="str">
        <x:v>不适用</x:v>
      </x:c>
      <x:c r="G55" s="20" t="d">
        <x:v>2026-10-10T00:00:00.000Z</x:v>
      </x:c>
      <x:c r="H55" s="11" t="str">
        <x:v>已通过</x:v>
      </x:c>
      <x:c r="I55" s="22" t="n">
        <x:v>0.071</x:v>
      </x:c>
      <x:c r="J55" s="11" t="str">
        <x:v>JuiceFS 1.3.0 / WinFsp 2.1.25156 / rclone 1.75.0-onemount</x:v>
      </x:c>
      <x:c r="K55" s="11" t="str">
        <x:v>原版全外部；无 FUSE 筛选或名称比较放宽</x:v>
      </x:c>
      <x:c r="L55" s="11" t="str">
        <x:v>63151da049f846e65fb361d1f314df65c2d468a7</x:v>
      </x:c>
      <x:c r="M55" s="11" t="str">
        <x:v>E09 / targets.ntfs.results</x:v>
      </x:c>
      <x:c r="N55" s="11" t="str">
        <x:v>入口结果见原始 JSON；通过不表示任意规模均正确</x:v>
      </x:c>
    </x:row>
    <x:row r="56" ht="74" customHeight="1">
      <x:c r="A56" s="10" t="str">
        <x:v>STRICT-20261010-ntfs</x:v>
      </x:c>
      <x:c r="B56" s="10" t="str">
        <x:v>NATIVE-051</x:v>
      </x:c>
      <x:c r="C56" s="10" t="str">
        <x:v>lock_cached_overlapped_test</x:v>
      </x:c>
      <x:c r="D56" s="10" t="str">
        <x:v>winfsp-tests</x:v>
      </x:c>
      <x:c r="E56" s="10" t="str">
        <x:v>NTFS</x:v>
      </x:c>
      <x:c r="F56" s="10" t="str">
        <x:v>不适用</x:v>
      </x:c>
      <x:c r="G56" s="19" t="d">
        <x:v>2026-10-10T00:00:00.000Z</x:v>
      </x:c>
      <x:c r="H56" s="10" t="str">
        <x:v>已通过</x:v>
      </x:c>
      <x:c r="I56" s="21" t="n">
        <x:v>0.067</x:v>
      </x:c>
      <x:c r="J56" s="10" t="str">
        <x:v>JuiceFS 1.3.0 / WinFsp 2.1.25156 / rclone 1.75.0-onemount</x:v>
      </x:c>
      <x:c r="K56" s="10" t="str">
        <x:v>原版全外部；无 FUSE 筛选或名称比较放宽</x:v>
      </x:c>
      <x:c r="L56" s="10" t="str">
        <x:v>63151da049f846e65fb361d1f314df65c2d468a7</x:v>
      </x:c>
      <x:c r="M56" s="10" t="str">
        <x:v>E09 / targets.ntfs.results</x:v>
      </x:c>
      <x:c r="N56" s="10" t="str">
        <x:v>入口结果见原始 JSON；通过不表示任意规模均正确</x:v>
      </x:c>
    </x:row>
    <x:row r="57" ht="74" customHeight="1">
      <x:c r="A57" s="11" t="str">
        <x:v>STRICT-20261010-ntfs</x:v>
      </x:c>
      <x:c r="B57" s="11" t="str">
        <x:v>NATIVE-052</x:v>
      </x:c>
      <x:c r="C57" s="11" t="str">
        <x:v>querydir_test</x:v>
      </x:c>
      <x:c r="D57" s="11" t="str">
        <x:v>winfsp-tests</x:v>
      </x:c>
      <x:c r="E57" s="11" t="str">
        <x:v>NTFS</x:v>
      </x:c>
      <x:c r="F57" s="11" t="str">
        <x:v>不适用</x:v>
      </x:c>
      <x:c r="G57" s="20" t="d">
        <x:v>2026-10-10T00:00:00.000Z</x:v>
      </x:c>
      <x:c r="H57" s="11" t="str">
        <x:v>已通过</x:v>
      </x:c>
      <x:c r="I57" s="22" t="n">
        <x:v>0.33</x:v>
      </x:c>
      <x:c r="J57" s="11" t="str">
        <x:v>JuiceFS 1.3.0 / WinFsp 2.1.25156 / rclone 1.75.0-onemount</x:v>
      </x:c>
      <x:c r="K57" s="11" t="str">
        <x:v>原版全外部；无 FUSE 筛选或名称比较放宽</x:v>
      </x:c>
      <x:c r="L57" s="11" t="str">
        <x:v>63151da049f846e65fb361d1f314df65c2d468a7</x:v>
      </x:c>
      <x:c r="M57" s="11" t="str">
        <x:v>E09 / targets.ntfs.results</x:v>
      </x:c>
      <x:c r="N57" s="11" t="str">
        <x:v>入口结果见原始 JSON；通过不表示任意规模均正确</x:v>
      </x:c>
    </x:row>
    <x:row r="58" ht="74" customHeight="1">
      <x:c r="A58" s="10" t="str">
        <x:v>STRICT-20261010-ntfs</x:v>
      </x:c>
      <x:c r="B58" s="10" t="str">
        <x:v>NATIVE-053</x:v>
      </x:c>
      <x:c r="C58" s="10" t="str">
        <x:v>querydir_nodup_test</x:v>
      </x:c>
      <x:c r="D58" s="10" t="str">
        <x:v>winfsp-tests</x:v>
      </x:c>
      <x:c r="E58" s="10" t="str">
        <x:v>NTFS</x:v>
      </x:c>
      <x:c r="F58" s="10" t="str">
        <x:v>不适用</x:v>
      </x:c>
      <x:c r="G58" s="19" t="d">
        <x:v>2026-10-10T00:00:00.000Z</x:v>
      </x:c>
      <x:c r="H58" s="10" t="str">
        <x:v>已通过</x:v>
      </x:c>
      <x:c r="I58" s="21" t="n">
        <x:v>0.447</x:v>
      </x:c>
      <x:c r="J58" s="10" t="str">
        <x:v>JuiceFS 1.3.0 / WinFsp 2.1.25156 / rclone 1.75.0-onemount</x:v>
      </x:c>
      <x:c r="K58" s="10" t="str">
        <x:v>原版全外部；无 FUSE 筛选或名称比较放宽</x:v>
      </x:c>
      <x:c r="L58" s="10" t="str">
        <x:v>63151da049f846e65fb361d1f314df65c2d468a7</x:v>
      </x:c>
      <x:c r="M58" s="10" t="str">
        <x:v>E09 / targets.ntfs.results</x:v>
      </x:c>
      <x:c r="N58" s="10" t="str">
        <x:v>入口结果见原始 JSON；通过不表示任意规模均正确</x:v>
      </x:c>
    </x:row>
    <x:row r="59" ht="74" customHeight="1">
      <x:c r="A59" s="11" t="str">
        <x:v>STRICT-20261010-ntfs</x:v>
      </x:c>
      <x:c r="B59" s="11" t="str">
        <x:v>NATIVE-054</x:v>
      </x:c>
      <x:c r="C59" s="11" t="str">
        <x:v>querydir_single_test</x:v>
      </x:c>
      <x:c r="D59" s="11" t="str">
        <x:v>winfsp-tests</x:v>
      </x:c>
      <x:c r="E59" s="11" t="str">
        <x:v>NTFS</x:v>
      </x:c>
      <x:c r="F59" s="11" t="str">
        <x:v>不适用</x:v>
      </x:c>
      <x:c r="G59" s="20" t="d">
        <x:v>2026-10-10T00:00:00.000Z</x:v>
      </x:c>
      <x:c r="H59" s="11" t="str">
        <x:v>已通过</x:v>
      </x:c>
      <x:c r="I59" s="22" t="n">
        <x:v>0.803</x:v>
      </x:c>
      <x:c r="J59" s="11" t="str">
        <x:v>JuiceFS 1.3.0 / WinFsp 2.1.25156 / rclone 1.75.0-onemount</x:v>
      </x:c>
      <x:c r="K59" s="11" t="str">
        <x:v>原版全外部；无 FUSE 筛选或名称比较放宽</x:v>
      </x:c>
      <x:c r="L59" s="11" t="str">
        <x:v>63151da049f846e65fb361d1f314df65c2d468a7</x:v>
      </x:c>
      <x:c r="M59" s="11" t="str">
        <x:v>E09 / targets.ntfs.results</x:v>
      </x:c>
      <x:c r="N59" s="11" t="str">
        <x:v>入口结果见原始 JSON；通过不表示任意规模均正确</x:v>
      </x:c>
    </x:row>
    <x:row r="60" ht="74" customHeight="1">
      <x:c r="A60" s="10" t="str">
        <x:v>STRICT-20261010-ntfs</x:v>
      </x:c>
      <x:c r="B60" s="10" t="str">
        <x:v>NATIVE-055</x:v>
      </x:c>
      <x:c r="C60" s="10" t="str">
        <x:v>querydir_expire_cache_test</x:v>
      </x:c>
      <x:c r="D60" s="10" t="str">
        <x:v>winfsp-tests</x:v>
      </x:c>
      <x:c r="E60" s="10" t="str">
        <x:v>NTFS</x:v>
      </x:c>
      <x:c r="F60" s="10" t="str">
        <x:v>不适用</x:v>
      </x:c>
      <x:c r="G60" s="19" t="d">
        <x:v>2026-10-10T00:00:00.000Z</x:v>
      </x:c>
      <x:c r="H60" s="10" t="str">
        <x:v>已通过</x:v>
      </x:c>
      <x:c r="I60" s="21" t="n">
        <x:v>0.062</x:v>
      </x:c>
      <x:c r="J60" s="10" t="str">
        <x:v>JuiceFS 1.3.0 / WinFsp 2.1.25156 / rclone 1.75.0-onemount</x:v>
      </x:c>
      <x:c r="K60" s="10" t="str">
        <x:v>原版全外部；无 FUSE 筛选或名称比较放宽</x:v>
      </x:c>
      <x:c r="L60" s="10" t="str">
        <x:v>63151da049f846e65fb361d1f314df65c2d468a7</x:v>
      </x:c>
      <x:c r="M60" s="10" t="str">
        <x:v>E09 / targets.ntfs.results</x:v>
      </x:c>
      <x:c r="N60" s="10" t="str">
        <x:v>入口结果见原始 JSON；通过不表示任意规模均正确</x:v>
      </x:c>
    </x:row>
    <x:row r="61" ht="74" customHeight="1">
      <x:c r="A61" s="11" t="str">
        <x:v>STRICT-20261010-ntfs</x:v>
      </x:c>
      <x:c r="B61" s="11" t="str">
        <x:v>NATIVE-056</x:v>
      </x:c>
      <x:c r="C61" s="11" t="str">
        <x:v>querydir_buffer_overflow_test</x:v>
      </x:c>
      <x:c r="D61" s="11" t="str">
        <x:v>winfsp-tests</x:v>
      </x:c>
      <x:c r="E61" s="11" t="str">
        <x:v>NTFS</x:v>
      </x:c>
      <x:c r="F61" s="11" t="str">
        <x:v>不适用</x:v>
      </x:c>
      <x:c r="G61" s="20" t="d">
        <x:v>2026-10-10T00:00:00.000Z</x:v>
      </x:c>
      <x:c r="H61" s="11" t="str">
        <x:v>已通过</x:v>
      </x:c>
      <x:c r="I61" s="22" t="n">
        <x:v>0.063</x:v>
      </x:c>
      <x:c r="J61" s="11" t="str">
        <x:v>JuiceFS 1.3.0 / WinFsp 2.1.25156 / rclone 1.75.0-onemount</x:v>
      </x:c>
      <x:c r="K61" s="11" t="str">
        <x:v>原版全外部；无 FUSE 筛选或名称比较放宽</x:v>
      </x:c>
      <x:c r="L61" s="11" t="str">
        <x:v>63151da049f846e65fb361d1f314df65c2d468a7</x:v>
      </x:c>
      <x:c r="M61" s="11" t="str">
        <x:v>E09 / targets.ntfs.results</x:v>
      </x:c>
      <x:c r="N61" s="11" t="str">
        <x:v>入口结果见原始 JSON；通过不表示任意规模均正确</x:v>
      </x:c>
    </x:row>
    <x:row r="62" ht="74" customHeight="1">
      <x:c r="A62" s="10" t="str">
        <x:v>STRICT-20261010-ntfs</x:v>
      </x:c>
      <x:c r="B62" s="10" t="str">
        <x:v>NATIVE-057</x:v>
      </x:c>
      <x:c r="C62" s="10" t="str">
        <x:v>querydir_namelen_test</x:v>
      </x:c>
      <x:c r="D62" s="10" t="str">
        <x:v>winfsp-tests</x:v>
      </x:c>
      <x:c r="E62" s="10" t="str">
        <x:v>NTFS</x:v>
      </x:c>
      <x:c r="F62" s="10" t="str">
        <x:v>不适用</x:v>
      </x:c>
      <x:c r="G62" s="19" t="d">
        <x:v>2026-10-10T00:00:00.000Z</x:v>
      </x:c>
      <x:c r="H62" s="10" t="str">
        <x:v>已通过</x:v>
      </x:c>
      <x:c r="I62" s="21" t="n">
        <x:v>0.077</x:v>
      </x:c>
      <x:c r="J62" s="10" t="str">
        <x:v>JuiceFS 1.3.0 / WinFsp 2.1.25156 / rclone 1.75.0-onemount</x:v>
      </x:c>
      <x:c r="K62" s="10" t="str">
        <x:v>原版全外部；无 FUSE 筛选或名称比较放宽</x:v>
      </x:c>
      <x:c r="L62" s="10" t="str">
        <x:v>63151da049f846e65fb361d1f314df65c2d468a7</x:v>
      </x:c>
      <x:c r="M62" s="10" t="str">
        <x:v>E09 / targets.ntfs.results</x:v>
      </x:c>
      <x:c r="N62" s="10" t="str">
        <x:v>入口结果见原始 JSON；通过不表示任意规模均正确</x:v>
      </x:c>
    </x:row>
    <x:row r="63" ht="74" customHeight="1">
      <x:c r="A63" s="11" t="str">
        <x:v>STRICT-20261010-ntfs</x:v>
      </x:c>
      <x:c r="B63" s="11" t="str">
        <x:v>NATIVE-058</x:v>
      </x:c>
      <x:c r="C63" s="11" t="str">
        <x:v>dirnotify_test</x:v>
      </x:c>
      <x:c r="D63" s="11" t="str">
        <x:v>winfsp-tests</x:v>
      </x:c>
      <x:c r="E63" s="11" t="str">
        <x:v>NTFS</x:v>
      </x:c>
      <x:c r="F63" s="11" t="str">
        <x:v>不适用</x:v>
      </x:c>
      <x:c r="G63" s="20" t="d">
        <x:v>2026-10-10T00:00:00.000Z</x:v>
      </x:c>
      <x:c r="H63" s="11" t="str">
        <x:v>已通过</x:v>
      </x:c>
      <x:c r="I63" s="22" t="n">
        <x:v>1.074</x:v>
      </x:c>
      <x:c r="J63" s="11" t="str">
        <x:v>JuiceFS 1.3.0 / WinFsp 2.1.25156 / rclone 1.75.0-onemount</x:v>
      </x:c>
      <x:c r="K63" s="11" t="str">
        <x:v>原版全外部；无 FUSE 筛选或名称比较放宽</x:v>
      </x:c>
      <x:c r="L63" s="11" t="str">
        <x:v>63151da049f846e65fb361d1f314df65c2d468a7</x:v>
      </x:c>
      <x:c r="M63" s="11" t="str">
        <x:v>E09 / targets.ntfs.results</x:v>
      </x:c>
      <x:c r="N63" s="11" t="str">
        <x:v>入口结果见原始 JSON；通过不表示任意规模均正确</x:v>
      </x:c>
    </x:row>
    <x:row r="64" ht="74" customHeight="1">
      <x:c r="A64" s="10" t="str">
        <x:v>STRICT-20261010-ntfs</x:v>
      </x:c>
      <x:c r="B64" s="10" t="str">
        <x:v>NATIVE-059</x:v>
      </x:c>
      <x:c r="C64" s="10" t="str">
        <x:v>exec_test</x:v>
      </x:c>
      <x:c r="D64" s="10" t="str">
        <x:v>winfsp-tests</x:v>
      </x:c>
      <x:c r="E64" s="10" t="str">
        <x:v>NTFS</x:v>
      </x:c>
      <x:c r="F64" s="10" t="str">
        <x:v>不适用</x:v>
      </x:c>
      <x:c r="G64" s="19" t="d">
        <x:v>2026-10-10T00:00:00.000Z</x:v>
      </x:c>
      <x:c r="H64" s="10" t="str">
        <x:v>已通过</x:v>
      </x:c>
      <x:c r="I64" s="21" t="n">
        <x:v>0.128</x:v>
      </x:c>
      <x:c r="J64" s="10" t="str">
        <x:v>JuiceFS 1.3.0 / WinFsp 2.1.25156 / rclone 1.75.0-onemount</x:v>
      </x:c>
      <x:c r="K64" s="10" t="str">
        <x:v>原版全外部；无 FUSE 筛选或名称比较放宽</x:v>
      </x:c>
      <x:c r="L64" s="10" t="str">
        <x:v>63151da049f846e65fb361d1f314df65c2d468a7</x:v>
      </x:c>
      <x:c r="M64" s="10" t="str">
        <x:v>E09 / targets.ntfs.results</x:v>
      </x:c>
      <x:c r="N64" s="10" t="str">
        <x:v>入口结果见原始 JSON；通过不表示任意规模均正确</x:v>
      </x:c>
    </x:row>
    <x:row r="65" ht="74" customHeight="1">
      <x:c r="A65" s="11" t="str">
        <x:v>STRICT-20261010-ntfs</x:v>
      </x:c>
      <x:c r="B65" s="11" t="str">
        <x:v>NATIVE-060</x:v>
      </x:c>
      <x:c r="C65" s="11" t="str">
        <x:v>exec_delete_test</x:v>
      </x:c>
      <x:c r="D65" s="11" t="str">
        <x:v>winfsp-tests</x:v>
      </x:c>
      <x:c r="E65" s="11" t="str">
        <x:v>NTFS</x:v>
      </x:c>
      <x:c r="F65" s="11" t="str">
        <x:v>不适用</x:v>
      </x:c>
      <x:c r="G65" s="20" t="d">
        <x:v>2026-10-10T00:00:00.000Z</x:v>
      </x:c>
      <x:c r="H65" s="11" t="str">
        <x:v>已通过</x:v>
      </x:c>
      <x:c r="I65" s="22" t="n">
        <x:v>1.092</x:v>
      </x:c>
      <x:c r="J65" s="11" t="str">
        <x:v>JuiceFS 1.3.0 / WinFsp 2.1.25156 / rclone 1.75.0-onemount</x:v>
      </x:c>
      <x:c r="K65" s="11" t="str">
        <x:v>原版全外部；无 FUSE 筛选或名称比较放宽</x:v>
      </x:c>
      <x:c r="L65" s="11" t="str">
        <x:v>63151da049f846e65fb361d1f314df65c2d468a7</x:v>
      </x:c>
      <x:c r="M65" s="11" t="str">
        <x:v>E09 / targets.ntfs.results</x:v>
      </x:c>
      <x:c r="N65" s="11" t="str">
        <x:v>入口结果见原始 JSON；通过不表示任意规模均正确</x:v>
      </x:c>
    </x:row>
    <x:row r="66" ht="74" customHeight="1">
      <x:c r="A66" s="10" t="str">
        <x:v>STRICT-20261010-ntfs</x:v>
      </x:c>
      <x:c r="B66" s="10" t="str">
        <x:v>NATIVE-061</x:v>
      </x:c>
      <x:c r="C66" s="10" t="str">
        <x:v>exec_rename_test</x:v>
      </x:c>
      <x:c r="D66" s="10" t="str">
        <x:v>winfsp-tests</x:v>
      </x:c>
      <x:c r="E66" s="10" t="str">
        <x:v>NTFS</x:v>
      </x:c>
      <x:c r="F66" s="10" t="str">
        <x:v>不适用</x:v>
      </x:c>
      <x:c r="G66" s="19" t="d">
        <x:v>2026-10-10T00:00:00.000Z</x:v>
      </x:c>
      <x:c r="H66" s="10" t="str">
        <x:v>已通过</x:v>
      </x:c>
      <x:c r="I66" s="21" t="n">
        <x:v>1.098</x:v>
      </x:c>
      <x:c r="J66" s="10" t="str">
        <x:v>JuiceFS 1.3.0 / WinFsp 2.1.25156 / rclone 1.75.0-onemount</x:v>
      </x:c>
      <x:c r="K66" s="10" t="str">
        <x:v>原版全外部；无 FUSE 筛选或名称比较放宽</x:v>
      </x:c>
      <x:c r="L66" s="10" t="str">
        <x:v>63151da049f846e65fb361d1f314df65c2d468a7</x:v>
      </x:c>
      <x:c r="M66" s="10" t="str">
        <x:v>E09 / targets.ntfs.results</x:v>
      </x:c>
      <x:c r="N66" s="10" t="str">
        <x:v>入口结果见原始 JSON；通过不表示任意规模均正确</x:v>
      </x:c>
    </x:row>
    <x:row r="67" ht="74" customHeight="1">
      <x:c r="A67" s="11" t="str">
        <x:v>STRICT-20261010-ntfs</x:v>
      </x:c>
      <x:c r="B67" s="11" t="str">
        <x:v>NATIVE-062</x:v>
      </x:c>
      <x:c r="C67" s="11" t="str">
        <x:v>exec_rename_dir_test</x:v>
      </x:c>
      <x:c r="D67" s="11" t="str">
        <x:v>winfsp-tests</x:v>
      </x:c>
      <x:c r="E67" s="11" t="str">
        <x:v>NTFS</x:v>
      </x:c>
      <x:c r="F67" s="11" t="str">
        <x:v>不适用</x:v>
      </x:c>
      <x:c r="G67" s="20" t="d">
        <x:v>2026-10-10T00:00:00.000Z</x:v>
      </x:c>
      <x:c r="H67" s="11" t="str">
        <x:v>已通过</x:v>
      </x:c>
      <x:c r="I67" s="22" t="n">
        <x:v>2.115</x:v>
      </x:c>
      <x:c r="J67" s="11" t="str">
        <x:v>JuiceFS 1.3.0 / WinFsp 2.1.25156 / rclone 1.75.0-onemount</x:v>
      </x:c>
      <x:c r="K67" s="11" t="str">
        <x:v>原版全外部；无 FUSE 筛选或名称比较放宽</x:v>
      </x:c>
      <x:c r="L67" s="11" t="str">
        <x:v>63151da049f846e65fb361d1f314df65c2d468a7</x:v>
      </x:c>
      <x:c r="M67" s="11" t="str">
        <x:v>E09 / targets.ntfs.results</x:v>
      </x:c>
      <x:c r="N67" s="11" t="str">
        <x:v>入口结果见原始 JSON；通过不表示任意规模均正确</x:v>
      </x:c>
    </x:row>
    <x:row r="68" ht="74" customHeight="1">
      <x:c r="A68" s="10" t="str">
        <x:v>STRICT-20261010-ntfs</x:v>
      </x:c>
      <x:c r="B68" s="10" t="str">
        <x:v>NATIVE-063</x:v>
      </x:c>
      <x:c r="C68" s="10" t="str">
        <x:v>reparse_guid_test</x:v>
      </x:c>
      <x:c r="D68" s="10" t="str">
        <x:v>winfsp-tests</x:v>
      </x:c>
      <x:c r="E68" s="10" t="str">
        <x:v>NTFS</x:v>
      </x:c>
      <x:c r="F68" s="10" t="str">
        <x:v>不适用</x:v>
      </x:c>
      <x:c r="G68" s="19" t="d">
        <x:v>2026-10-10T00:00:00.000Z</x:v>
      </x:c>
      <x:c r="H68" s="10" t="str">
        <x:v>已通过</x:v>
      </x:c>
      <x:c r="I68" s="21" t="n">
        <x:v>0.064</x:v>
      </x:c>
      <x:c r="J68" s="10" t="str">
        <x:v>JuiceFS 1.3.0 / WinFsp 2.1.25156 / rclone 1.75.0-onemount</x:v>
      </x:c>
      <x:c r="K68" s="10" t="str">
        <x:v>原版全外部；无 FUSE 筛选或名称比较放宽</x:v>
      </x:c>
      <x:c r="L68" s="10" t="str">
        <x:v>63151da049f846e65fb361d1f314df65c2d468a7</x:v>
      </x:c>
      <x:c r="M68" s="10" t="str">
        <x:v>E09 / targets.ntfs.results</x:v>
      </x:c>
      <x:c r="N68" s="10" t="str">
        <x:v>入口结果见原始 JSON；通过不表示任意规模均正确</x:v>
      </x:c>
    </x:row>
    <x:row r="69" ht="74" customHeight="1">
      <x:c r="A69" s="11" t="str">
        <x:v>STRICT-20261010-ntfs</x:v>
      </x:c>
      <x:c r="B69" s="11" t="str">
        <x:v>NATIVE-064</x:v>
      </x:c>
      <x:c r="C69" s="11" t="str">
        <x:v>reparse_nfs_test</x:v>
      </x:c>
      <x:c r="D69" s="11" t="str">
        <x:v>winfsp-tests</x:v>
      </x:c>
      <x:c r="E69" s="11" t="str">
        <x:v>NTFS</x:v>
      </x:c>
      <x:c r="F69" s="11" t="str">
        <x:v>不适用</x:v>
      </x:c>
      <x:c r="G69" s="20" t="d">
        <x:v>2026-10-10T00:00:00.000Z</x:v>
      </x:c>
      <x:c r="H69" s="11" t="str">
        <x:v>已通过</x:v>
      </x:c>
      <x:c r="I69" s="22" t="n">
        <x:v>0.064</x:v>
      </x:c>
      <x:c r="J69" s="11" t="str">
        <x:v>JuiceFS 1.3.0 / WinFsp 2.1.25156 / rclone 1.75.0-onemount</x:v>
      </x:c>
      <x:c r="K69" s="11" t="str">
        <x:v>原版全外部；无 FUSE 筛选或名称比较放宽</x:v>
      </x:c>
      <x:c r="L69" s="11" t="str">
        <x:v>63151da049f846e65fb361d1f314df65c2d468a7</x:v>
      </x:c>
      <x:c r="M69" s="11" t="str">
        <x:v>E09 / targets.ntfs.results</x:v>
      </x:c>
      <x:c r="N69" s="11" t="str">
        <x:v>入口结果见原始 JSON；通过不表示任意规模均正确</x:v>
      </x:c>
    </x:row>
    <x:row r="70" ht="74" customHeight="1">
      <x:c r="A70" s="10" t="str">
        <x:v>STRICT-20261010-ntfs</x:v>
      </x:c>
      <x:c r="B70" s="10" t="str">
        <x:v>NATIVE-065</x:v>
      </x:c>
      <x:c r="C70" s="10" t="str">
        <x:v>reparse_symlink_test</x:v>
      </x:c>
      <x:c r="D70" s="10" t="str">
        <x:v>winfsp-tests</x:v>
      </x:c>
      <x:c r="E70" s="10" t="str">
        <x:v>NTFS</x:v>
      </x:c>
      <x:c r="F70" s="10" t="str">
        <x:v>不适用</x:v>
      </x:c>
      <x:c r="G70" s="19" t="d">
        <x:v>2026-10-10T00:00:00.000Z</x:v>
      </x:c>
      <x:c r="H70" s="10" t="str">
        <x:v>已通过</x:v>
      </x:c>
      <x:c r="I70" s="21" t="n">
        <x:v>0.065</x:v>
      </x:c>
      <x:c r="J70" s="10" t="str">
        <x:v>JuiceFS 1.3.0 / WinFsp 2.1.25156 / rclone 1.75.0-onemount</x:v>
      </x:c>
      <x:c r="K70" s="10" t="str">
        <x:v>原版全外部；无 FUSE 筛选或名称比较放宽</x:v>
      </x:c>
      <x:c r="L70" s="10" t="str">
        <x:v>63151da049f846e65fb361d1f314df65c2d468a7</x:v>
      </x:c>
      <x:c r="M70" s="10" t="str">
        <x:v>E09 / targets.ntfs.results</x:v>
      </x:c>
      <x:c r="N70" s="10" t="str">
        <x:v>入口结果见原始 JSON；通过不表示任意规模均正确</x:v>
      </x:c>
    </x:row>
    <x:row r="71" ht="74" customHeight="1">
      <x:c r="A71" s="11" t="str">
        <x:v>STRICT-20261010-ntfs</x:v>
      </x:c>
      <x:c r="B71" s="11" t="str">
        <x:v>NATIVE-066</x:v>
      </x:c>
      <x:c r="C71" s="11" t="str">
        <x:v>reparse_symlink_relative_test</x:v>
      </x:c>
      <x:c r="D71" s="11" t="str">
        <x:v>winfsp-tests</x:v>
      </x:c>
      <x:c r="E71" s="11" t="str">
        <x:v>NTFS</x:v>
      </x:c>
      <x:c r="F71" s="11" t="str">
        <x:v>不适用</x:v>
      </x:c>
      <x:c r="G71" s="20" t="d">
        <x:v>2026-10-10T00:00:00.000Z</x:v>
      </x:c>
      <x:c r="H71" s="11" t="str">
        <x:v>已通过</x:v>
      </x:c>
      <x:c r="I71" s="22" t="n">
        <x:v>0.08</x:v>
      </x:c>
      <x:c r="J71" s="11" t="str">
        <x:v>JuiceFS 1.3.0 / WinFsp 2.1.25156 / rclone 1.75.0-onemount</x:v>
      </x:c>
      <x:c r="K71" s="11" t="str">
        <x:v>原版全外部；无 FUSE 筛选或名称比较放宽</x:v>
      </x:c>
      <x:c r="L71" s="11" t="str">
        <x:v>63151da049f846e65fb361d1f314df65c2d468a7</x:v>
      </x:c>
      <x:c r="M71" s="11" t="str">
        <x:v>E09 / targets.ntfs.results</x:v>
      </x:c>
      <x:c r="N71" s="11" t="str">
        <x:v>入口结果见原始 JSON；通过不表示任意规模均正确</x:v>
      </x:c>
    </x:row>
    <x:row r="72" ht="74" customHeight="1">
      <x:c r="A72" s="10" t="str">
        <x:v>STRICT-20261010-ntfs</x:v>
      </x:c>
      <x:c r="B72" s="10" t="str">
        <x:v>NATIVE-067</x:v>
      </x:c>
      <x:c r="C72" s="10" t="str">
        <x:v>ea_create_test</x:v>
      </x:c>
      <x:c r="D72" s="10" t="str">
        <x:v>winfsp-tests</x:v>
      </x:c>
      <x:c r="E72" s="10" t="str">
        <x:v>NTFS</x:v>
      </x:c>
      <x:c r="F72" s="10" t="str">
        <x:v>不适用</x:v>
      </x:c>
      <x:c r="G72" s="19" t="d">
        <x:v>2026-10-10T00:00:00.000Z</x:v>
      </x:c>
      <x:c r="H72" s="10" t="str">
        <x:v>已通过</x:v>
      </x:c>
      <x:c r="I72" s="21" t="n">
        <x:v>0.064</x:v>
      </x:c>
      <x:c r="J72" s="10" t="str">
        <x:v>JuiceFS 1.3.0 / WinFsp 2.1.25156 / rclone 1.75.0-onemount</x:v>
      </x:c>
      <x:c r="K72" s="10" t="str">
        <x:v>原版全外部；无 FUSE 筛选或名称比较放宽</x:v>
      </x:c>
      <x:c r="L72" s="10" t="str">
        <x:v>63151da049f846e65fb361d1f314df65c2d468a7</x:v>
      </x:c>
      <x:c r="M72" s="10" t="str">
        <x:v>E09 / targets.ntfs.results</x:v>
      </x:c>
      <x:c r="N72" s="10" t="str">
        <x:v>入口结果见原始 JSON；通过不表示任意规模均正确</x:v>
      </x:c>
    </x:row>
    <x:row r="73" ht="74" customHeight="1">
      <x:c r="A73" s="11" t="str">
        <x:v>STRICT-20261010-ntfs</x:v>
      </x:c>
      <x:c r="B73" s="11" t="str">
        <x:v>NATIVE-068</x:v>
      </x:c>
      <x:c r="C73" s="11" t="str">
        <x:v>ea_overwrite_test</x:v>
      </x:c>
      <x:c r="D73" s="11" t="str">
        <x:v>winfsp-tests</x:v>
      </x:c>
      <x:c r="E73" s="11" t="str">
        <x:v>NTFS</x:v>
      </x:c>
      <x:c r="F73" s="11" t="str">
        <x:v>不适用</x:v>
      </x:c>
      <x:c r="G73" s="20" t="d">
        <x:v>2026-10-10T00:00:00.000Z</x:v>
      </x:c>
      <x:c r="H73" s="11" t="str">
        <x:v>已通过</x:v>
      </x:c>
      <x:c r="I73" s="22" t="n">
        <x:v>0.065</x:v>
      </x:c>
      <x:c r="J73" s="11" t="str">
        <x:v>JuiceFS 1.3.0 / WinFsp 2.1.25156 / rclone 1.75.0-onemount</x:v>
      </x:c>
      <x:c r="K73" s="11" t="str">
        <x:v>原版全外部；无 FUSE 筛选或名称比较放宽</x:v>
      </x:c>
      <x:c r="L73" s="11" t="str">
        <x:v>63151da049f846e65fb361d1f314df65c2d468a7</x:v>
      </x:c>
      <x:c r="M73" s="11" t="str">
        <x:v>E09 / targets.ntfs.results</x:v>
      </x:c>
      <x:c r="N73" s="11" t="str">
        <x:v>入口结果见原始 JSON；通过不表示任意规模均正确</x:v>
      </x:c>
    </x:row>
    <x:row r="74" ht="74" customHeight="1">
      <x:c r="A74" s="10" t="str">
        <x:v>STRICT-20261010-ntfs</x:v>
      </x:c>
      <x:c r="B74" s="10" t="str">
        <x:v>NATIVE-069</x:v>
      </x:c>
      <x:c r="C74" s="10" t="str">
        <x:v>ea_getset_test</x:v>
      </x:c>
      <x:c r="D74" s="10" t="str">
        <x:v>winfsp-tests</x:v>
      </x:c>
      <x:c r="E74" s="10" t="str">
        <x:v>NTFS</x:v>
      </x:c>
      <x:c r="F74" s="10" t="str">
        <x:v>不适用</x:v>
      </x:c>
      <x:c r="G74" s="19" t="d">
        <x:v>2026-10-10T00:00:00.000Z</x:v>
      </x:c>
      <x:c r="H74" s="10" t="str">
        <x:v>已通过</x:v>
      </x:c>
      <x:c r="I74" s="21" t="n">
        <x:v>0.065</x:v>
      </x:c>
      <x:c r="J74" s="10" t="str">
        <x:v>JuiceFS 1.3.0 / WinFsp 2.1.25156 / rclone 1.75.0-onemount</x:v>
      </x:c>
      <x:c r="K74" s="10" t="str">
        <x:v>原版全外部；无 FUSE 筛选或名称比较放宽</x:v>
      </x:c>
      <x:c r="L74" s="10" t="str">
        <x:v>63151da049f846e65fb361d1f314df65c2d468a7</x:v>
      </x:c>
      <x:c r="M74" s="10" t="str">
        <x:v>E09 / targets.ntfs.results</x:v>
      </x:c>
      <x:c r="N74" s="10" t="str">
        <x:v>入口结果见原始 JSON；通过不表示任意规模均正确</x:v>
      </x:c>
    </x:row>
    <x:row r="75" ht="74" customHeight="1">
      <x:c r="A75" s="11" t="str">
        <x:v>STRICT-20261010-ntfs</x:v>
      </x:c>
      <x:c r="B75" s="11" t="str">
        <x:v>NATIVE-070</x:v>
      </x:c>
      <x:c r="C75" s="11" t="str">
        <x:v>stream_create_test</x:v>
      </x:c>
      <x:c r="D75" s="11" t="str">
        <x:v>winfsp-tests</x:v>
      </x:c>
      <x:c r="E75" s="11" t="str">
        <x:v>NTFS</x:v>
      </x:c>
      <x:c r="F75" s="11" t="str">
        <x:v>不适用</x:v>
      </x:c>
      <x:c r="G75" s="20" t="d">
        <x:v>2026-10-10T00:00:00.000Z</x:v>
      </x:c>
      <x:c r="H75" s="11" t="str">
        <x:v>已通过</x:v>
      </x:c>
      <x:c r="I75" s="22" t="n">
        <x:v>0.067</x:v>
      </x:c>
      <x:c r="J75" s="11" t="str">
        <x:v>JuiceFS 1.3.0 / WinFsp 2.1.25156 / rclone 1.75.0-onemount</x:v>
      </x:c>
      <x:c r="K75" s="11" t="str">
        <x:v>原版全外部；无 FUSE 筛选或名称比较放宽</x:v>
      </x:c>
      <x:c r="L75" s="11" t="str">
        <x:v>63151da049f846e65fb361d1f314df65c2d468a7</x:v>
      </x:c>
      <x:c r="M75" s="11" t="str">
        <x:v>E09 / targets.ntfs.results</x:v>
      </x:c>
      <x:c r="N75" s="11" t="str">
        <x:v>入口结果见原始 JSON；通过不表示任意规模均正确</x:v>
      </x:c>
    </x:row>
    <x:row r="76" ht="74" customHeight="1">
      <x:c r="A76" s="10" t="str">
        <x:v>STRICT-20261010-ntfs</x:v>
      </x:c>
      <x:c r="B76" s="10" t="str">
        <x:v>NATIVE-071</x:v>
      </x:c>
      <x:c r="C76" s="10" t="str">
        <x:v>stream_create_overwrite_test</x:v>
      </x:c>
      <x:c r="D76" s="10" t="str">
        <x:v>winfsp-tests</x:v>
      </x:c>
      <x:c r="E76" s="10" t="str">
        <x:v>NTFS</x:v>
      </x:c>
      <x:c r="F76" s="10" t="str">
        <x:v>不适用</x:v>
      </x:c>
      <x:c r="G76" s="19" t="d">
        <x:v>2026-10-10T00:00:00.000Z</x:v>
      </x:c>
      <x:c r="H76" s="10" t="str">
        <x:v>已通过</x:v>
      </x:c>
      <x:c r="I76" s="21" t="n">
        <x:v>0.064</x:v>
      </x:c>
      <x:c r="J76" s="10" t="str">
        <x:v>JuiceFS 1.3.0 / WinFsp 2.1.25156 / rclone 1.75.0-onemount</x:v>
      </x:c>
      <x:c r="K76" s="10" t="str">
        <x:v>原版全外部；无 FUSE 筛选或名称比较放宽</x:v>
      </x:c>
      <x:c r="L76" s="10" t="str">
        <x:v>63151da049f846e65fb361d1f314df65c2d468a7</x:v>
      </x:c>
      <x:c r="M76" s="10" t="str">
        <x:v>E09 / targets.ntfs.results</x:v>
      </x:c>
      <x:c r="N76" s="10" t="str">
        <x:v>入口结果见原始 JSON；通过不表示任意规模均正确</x:v>
      </x:c>
    </x:row>
    <x:row r="77" ht="74" customHeight="1">
      <x:c r="A77" s="11" t="str">
        <x:v>STRICT-20261010-ntfs</x:v>
      </x:c>
      <x:c r="B77" s="11" t="str">
        <x:v>NATIVE-072</x:v>
      </x:c>
      <x:c r="C77" s="11" t="str">
        <x:v>stream_create_related_test</x:v>
      </x:c>
      <x:c r="D77" s="11" t="str">
        <x:v>winfsp-tests</x:v>
      </x:c>
      <x:c r="E77" s="11" t="str">
        <x:v>NTFS</x:v>
      </x:c>
      <x:c r="F77" s="11" t="str">
        <x:v>不适用</x:v>
      </x:c>
      <x:c r="G77" s="20" t="d">
        <x:v>2026-10-10T00:00:00.000Z</x:v>
      </x:c>
      <x:c r="H77" s="11" t="str">
        <x:v>已通过</x:v>
      </x:c>
      <x:c r="I77" s="22" t="n">
        <x:v>0.063</x:v>
      </x:c>
      <x:c r="J77" s="11" t="str">
        <x:v>JuiceFS 1.3.0 / WinFsp 2.1.25156 / rclone 1.75.0-onemount</x:v>
      </x:c>
      <x:c r="K77" s="11" t="str">
        <x:v>原版全外部；无 FUSE 筛选或名称比较放宽</x:v>
      </x:c>
      <x:c r="L77" s="11" t="str">
        <x:v>63151da049f846e65fb361d1f314df65c2d468a7</x:v>
      </x:c>
      <x:c r="M77" s="11" t="str">
        <x:v>E09 / targets.ntfs.results</x:v>
      </x:c>
      <x:c r="N77" s="11" t="str">
        <x:v>入口结果见原始 JSON；通过不表示任意规模均正确</x:v>
      </x:c>
    </x:row>
    <x:row r="78" ht="74" customHeight="1">
      <x:c r="A78" s="10" t="str">
        <x:v>STRICT-20261010-ntfs</x:v>
      </x:c>
      <x:c r="B78" s="10" t="str">
        <x:v>NATIVE-073</x:v>
      </x:c>
      <x:c r="C78" s="10" t="str">
        <x:v>stream_create_sd_test</x:v>
      </x:c>
      <x:c r="D78" s="10" t="str">
        <x:v>winfsp-tests</x:v>
      </x:c>
      <x:c r="E78" s="10" t="str">
        <x:v>NTFS</x:v>
      </x:c>
      <x:c r="F78" s="10" t="str">
        <x:v>不适用</x:v>
      </x:c>
      <x:c r="G78" s="19" t="d">
        <x:v>2026-10-10T00:00:00.000Z</x:v>
      </x:c>
      <x:c r="H78" s="10" t="str">
        <x:v>已通过</x:v>
      </x:c>
      <x:c r="I78" s="21" t="n">
        <x:v>0.063</x:v>
      </x:c>
      <x:c r="J78" s="10" t="str">
        <x:v>JuiceFS 1.3.0 / WinFsp 2.1.25156 / rclone 1.75.0-onemount</x:v>
      </x:c>
      <x:c r="K78" s="10" t="str">
        <x:v>原版全外部；无 FUSE 筛选或名称比较放宽</x:v>
      </x:c>
      <x:c r="L78" s="10" t="str">
        <x:v>63151da049f846e65fb361d1f314df65c2d468a7</x:v>
      </x:c>
      <x:c r="M78" s="10" t="str">
        <x:v>E09 / targets.ntfs.results</x:v>
      </x:c>
      <x:c r="N78" s="10" t="str">
        <x:v>入口结果见原始 JSON；通过不表示任意规模均正确</x:v>
      </x:c>
    </x:row>
    <x:row r="79" ht="74" customHeight="1">
      <x:c r="A79" s="11" t="str">
        <x:v>STRICT-20261010-ntfs</x:v>
      </x:c>
      <x:c r="B79" s="11" t="str">
        <x:v>NATIVE-074</x:v>
      </x:c>
      <x:c r="C79" s="11" t="str">
        <x:v>stream_create_share_test</x:v>
      </x:c>
      <x:c r="D79" s="11" t="str">
        <x:v>winfsp-tests</x:v>
      </x:c>
      <x:c r="E79" s="11" t="str">
        <x:v>NTFS</x:v>
      </x:c>
      <x:c r="F79" s="11" t="str">
        <x:v>不适用</x:v>
      </x:c>
      <x:c r="G79" s="20" t="d">
        <x:v>2026-10-10T00:00:00.000Z</x:v>
      </x:c>
      <x:c r="H79" s="11" t="str">
        <x:v>已通过</x:v>
      </x:c>
      <x:c r="I79" s="22" t="n">
        <x:v>0.067</x:v>
      </x:c>
      <x:c r="J79" s="11" t="str">
        <x:v>JuiceFS 1.3.0 / WinFsp 2.1.25156 / rclone 1.75.0-onemount</x:v>
      </x:c>
      <x:c r="K79" s="11" t="str">
        <x:v>原版全外部；无 FUSE 筛选或名称比较放宽</x:v>
      </x:c>
      <x:c r="L79" s="11" t="str">
        <x:v>63151da049f846e65fb361d1f314df65c2d468a7</x:v>
      </x:c>
      <x:c r="M79" s="11" t="str">
        <x:v>E09 / targets.ntfs.results</x:v>
      </x:c>
      <x:c r="N79" s="11" t="str">
        <x:v>入口结果见原始 JSON；通过不表示任意规模均正确</x:v>
      </x:c>
    </x:row>
    <x:row r="80" ht="74" customHeight="1">
      <x:c r="A80" s="10" t="str">
        <x:v>STRICT-20261010-ntfs</x:v>
      </x:c>
      <x:c r="B80" s="10" t="str">
        <x:v>NATIVE-075</x:v>
      </x:c>
      <x:c r="C80" s="10" t="str">
        <x:v>stream_getfileinfo_test</x:v>
      </x:c>
      <x:c r="D80" s="10" t="str">
        <x:v>winfsp-tests</x:v>
      </x:c>
      <x:c r="E80" s="10" t="str">
        <x:v>NTFS</x:v>
      </x:c>
      <x:c r="F80" s="10" t="str">
        <x:v>不适用</x:v>
      </x:c>
      <x:c r="G80" s="19" t="d">
        <x:v>2026-10-10T00:00:00.000Z</x:v>
      </x:c>
      <x:c r="H80" s="10" t="str">
        <x:v>已通过</x:v>
      </x:c>
      <x:c r="I80" s="21" t="n">
        <x:v>0.063</x:v>
      </x:c>
      <x:c r="J80" s="10" t="str">
        <x:v>JuiceFS 1.3.0 / WinFsp 2.1.25156 / rclone 1.75.0-onemount</x:v>
      </x:c>
      <x:c r="K80" s="10" t="str">
        <x:v>原版全外部；无 FUSE 筛选或名称比较放宽</x:v>
      </x:c>
      <x:c r="L80" s="10" t="str">
        <x:v>63151da049f846e65fb361d1f314df65c2d468a7</x:v>
      </x:c>
      <x:c r="M80" s="10" t="str">
        <x:v>E09 / targets.ntfs.results</x:v>
      </x:c>
      <x:c r="N80" s="10" t="str">
        <x:v>入口结果见原始 JSON；通过不表示任意规模均正确</x:v>
      </x:c>
    </x:row>
    <x:row r="81" ht="74" customHeight="1">
      <x:c r="A81" s="11" t="str">
        <x:v>STRICT-20261010-ntfs</x:v>
      </x:c>
      <x:c r="B81" s="11" t="str">
        <x:v>NATIVE-076</x:v>
      </x:c>
      <x:c r="C81" s="11" t="str">
        <x:v>stream_setfileinfo_test</x:v>
      </x:c>
      <x:c r="D81" s="11" t="str">
        <x:v>winfsp-tests</x:v>
      </x:c>
      <x:c r="E81" s="11" t="str">
        <x:v>NTFS</x:v>
      </x:c>
      <x:c r="F81" s="11" t="str">
        <x:v>不适用</x:v>
      </x:c>
      <x:c r="G81" s="20" t="d">
        <x:v>2026-10-10T00:00:00.000Z</x:v>
      </x:c>
      <x:c r="H81" s="11" t="str">
        <x:v>已通过</x:v>
      </x:c>
      <x:c r="I81" s="22" t="n">
        <x:v>0.065</x:v>
      </x:c>
      <x:c r="J81" s="11" t="str">
        <x:v>JuiceFS 1.3.0 / WinFsp 2.1.25156 / rclone 1.75.0-onemount</x:v>
      </x:c>
      <x:c r="K81" s="11" t="str">
        <x:v>原版全外部；无 FUSE 筛选或名称比较放宽</x:v>
      </x:c>
      <x:c r="L81" s="11" t="str">
        <x:v>63151da049f846e65fb361d1f314df65c2d468a7</x:v>
      </x:c>
      <x:c r="M81" s="11" t="str">
        <x:v>E09 / targets.ntfs.results</x:v>
      </x:c>
      <x:c r="N81" s="11" t="str">
        <x:v>入口结果见原始 JSON；通过不表示任意规模均正确</x:v>
      </x:c>
    </x:row>
    <x:row r="82" ht="74" customHeight="1">
      <x:c r="A82" s="10" t="str">
        <x:v>STRICT-20261010-ntfs</x:v>
      </x:c>
      <x:c r="B82" s="10" t="str">
        <x:v>NATIVE-077</x:v>
      </x:c>
      <x:c r="C82" s="10" t="str">
        <x:v>stream_delete_test</x:v>
      </x:c>
      <x:c r="D82" s="10" t="str">
        <x:v>winfsp-tests</x:v>
      </x:c>
      <x:c r="E82" s="10" t="str">
        <x:v>NTFS</x:v>
      </x:c>
      <x:c r="F82" s="10" t="str">
        <x:v>不适用</x:v>
      </x:c>
      <x:c r="G82" s="19" t="d">
        <x:v>2026-10-10T00:00:00.000Z</x:v>
      </x:c>
      <x:c r="H82" s="10" t="str">
        <x:v>已通过</x:v>
      </x:c>
      <x:c r="I82" s="21" t="n">
        <x:v>0.063</x:v>
      </x:c>
      <x:c r="J82" s="10" t="str">
        <x:v>JuiceFS 1.3.0 / WinFsp 2.1.25156 / rclone 1.75.0-onemount</x:v>
      </x:c>
      <x:c r="K82" s="10" t="str">
        <x:v>原版全外部；无 FUSE 筛选或名称比较放宽</x:v>
      </x:c>
      <x:c r="L82" s="10" t="str">
        <x:v>63151da049f846e65fb361d1f314df65c2d468a7</x:v>
      </x:c>
      <x:c r="M82" s="10" t="str">
        <x:v>E09 / targets.ntfs.results</x:v>
      </x:c>
      <x:c r="N82" s="10" t="str">
        <x:v>入口结果见原始 JSON；通过不表示任意规模均正确</x:v>
      </x:c>
    </x:row>
    <x:row r="83" ht="74" customHeight="1">
      <x:c r="A83" s="11" t="str">
        <x:v>STRICT-20261010-ntfs</x:v>
      </x:c>
      <x:c r="B83" s="11" t="str">
        <x:v>NATIVE-078</x:v>
      </x:c>
      <x:c r="C83" s="11" t="str">
        <x:v>stream_delete_pending_test</x:v>
      </x:c>
      <x:c r="D83" s="11" t="str">
        <x:v>winfsp-tests</x:v>
      </x:c>
      <x:c r="E83" s="11" t="str">
        <x:v>NTFS</x:v>
      </x:c>
      <x:c r="F83" s="11" t="str">
        <x:v>不适用</x:v>
      </x:c>
      <x:c r="G83" s="20" t="d">
        <x:v>2026-10-10T00:00:00.000Z</x:v>
      </x:c>
      <x:c r="H83" s="11" t="str">
        <x:v>已通过</x:v>
      </x:c>
      <x:c r="I83" s="22" t="n">
        <x:v>0.062</x:v>
      </x:c>
      <x:c r="J83" s="11" t="str">
        <x:v>JuiceFS 1.3.0 / WinFsp 2.1.25156 / rclone 1.75.0-onemount</x:v>
      </x:c>
      <x:c r="K83" s="11" t="str">
        <x:v>原版全外部；无 FUSE 筛选或名称比较放宽</x:v>
      </x:c>
      <x:c r="L83" s="11" t="str">
        <x:v>63151da049f846e65fb361d1f314df65c2d468a7</x:v>
      </x:c>
      <x:c r="M83" s="11" t="str">
        <x:v>E09 / targets.ntfs.results</x:v>
      </x:c>
      <x:c r="N83" s="11" t="str">
        <x:v>入口结果见原始 JSON；通过不表示任意规模均正确</x:v>
      </x:c>
    </x:row>
    <x:row r="84" ht="74" customHeight="1">
      <x:c r="A84" s="10" t="str">
        <x:v>STRICT-20261010-ntfs</x:v>
      </x:c>
      <x:c r="B84" s="10" t="str">
        <x:v>NATIVE-079</x:v>
      </x:c>
      <x:c r="C84" s="10" t="str">
        <x:v>stream_rename_flipflop_test</x:v>
      </x:c>
      <x:c r="D84" s="10" t="str">
        <x:v>winfsp-tests</x:v>
      </x:c>
      <x:c r="E84" s="10" t="str">
        <x:v>NTFS</x:v>
      </x:c>
      <x:c r="F84" s="10" t="str">
        <x:v>不适用</x:v>
      </x:c>
      <x:c r="G84" s="19" t="d">
        <x:v>2026-10-10T00:00:00.000Z</x:v>
      </x:c>
      <x:c r="H84" s="10" t="str">
        <x:v>已通过</x:v>
      </x:c>
      <x:c r="I84" s="21" t="n">
        <x:v>0.078</x:v>
      </x:c>
      <x:c r="J84" s="10" t="str">
        <x:v>JuiceFS 1.3.0 / WinFsp 2.1.25156 / rclone 1.75.0-onemount</x:v>
      </x:c>
      <x:c r="K84" s="10" t="str">
        <x:v>原版全外部；无 FUSE 筛选或名称比较放宽</x:v>
      </x:c>
      <x:c r="L84" s="10" t="str">
        <x:v>63151da049f846e65fb361d1f314df65c2d468a7</x:v>
      </x:c>
      <x:c r="M84" s="10" t="str">
        <x:v>E09 / targets.ntfs.results</x:v>
      </x:c>
      <x:c r="N84" s="10" t="str">
        <x:v>入口结果见原始 JSON；通过不表示任意规模均正确</x:v>
      </x:c>
    </x:row>
    <x:row r="85" ht="74" customHeight="1">
      <x:c r="A85" s="11" t="str">
        <x:v>STRICT-20261010-ntfs</x:v>
      </x:c>
      <x:c r="B85" s="11" t="str">
        <x:v>NATIVE-080</x:v>
      </x:c>
      <x:c r="C85" s="11" t="str">
        <x:v>stream_getsecurity_test</x:v>
      </x:c>
      <x:c r="D85" s="11" t="str">
        <x:v>winfsp-tests</x:v>
      </x:c>
      <x:c r="E85" s="11" t="str">
        <x:v>NTFS</x:v>
      </x:c>
      <x:c r="F85" s="11" t="str">
        <x:v>不适用</x:v>
      </x:c>
      <x:c r="G85" s="20" t="d">
        <x:v>2026-10-10T00:00:00.000Z</x:v>
      </x:c>
      <x:c r="H85" s="11" t="str">
        <x:v>已通过</x:v>
      </x:c>
      <x:c r="I85" s="22" t="n">
        <x:v>0.065</x:v>
      </x:c>
      <x:c r="J85" s="11" t="str">
        <x:v>JuiceFS 1.3.0 / WinFsp 2.1.25156 / rclone 1.75.0-onemount</x:v>
      </x:c>
      <x:c r="K85" s="11" t="str">
        <x:v>原版全外部；无 FUSE 筛选或名称比较放宽</x:v>
      </x:c>
      <x:c r="L85" s="11" t="str">
        <x:v>63151da049f846e65fb361d1f314df65c2d468a7</x:v>
      </x:c>
      <x:c r="M85" s="11" t="str">
        <x:v>E09 / targets.ntfs.results</x:v>
      </x:c>
      <x:c r="N85" s="11" t="str">
        <x:v>入口结果见原始 JSON；通过不表示任意规模均正确</x:v>
      </x:c>
    </x:row>
    <x:row r="86" ht="74" customHeight="1">
      <x:c r="A86" s="10" t="str">
        <x:v>STRICT-20261010-ntfs</x:v>
      </x:c>
      <x:c r="B86" s="10" t="str">
        <x:v>NATIVE-081</x:v>
      </x:c>
      <x:c r="C86" s="10" t="str">
        <x:v>stream_setsecurity_test</x:v>
      </x:c>
      <x:c r="D86" s="10" t="str">
        <x:v>winfsp-tests</x:v>
      </x:c>
      <x:c r="E86" s="10" t="str">
        <x:v>NTFS</x:v>
      </x:c>
      <x:c r="F86" s="10" t="str">
        <x:v>不适用</x:v>
      </x:c>
      <x:c r="G86" s="19" t="d">
        <x:v>2026-10-10T00:00:00.000Z</x:v>
      </x:c>
      <x:c r="H86" s="10" t="str">
        <x:v>已通过</x:v>
      </x:c>
      <x:c r="I86" s="21" t="n">
        <x:v>0.065</x:v>
      </x:c>
      <x:c r="J86" s="10" t="str">
        <x:v>JuiceFS 1.3.0 / WinFsp 2.1.25156 / rclone 1.75.0-onemount</x:v>
      </x:c>
      <x:c r="K86" s="10" t="str">
        <x:v>原版全外部；无 FUSE 筛选或名称比较放宽</x:v>
      </x:c>
      <x:c r="L86" s="10" t="str">
        <x:v>63151da049f846e65fb361d1f314df65c2d468a7</x:v>
      </x:c>
      <x:c r="M86" s="10" t="str">
        <x:v>E09 / targets.ntfs.results</x:v>
      </x:c>
      <x:c r="N86" s="10" t="str">
        <x:v>入口结果见原始 JSON；通过不表示任意规模均正确</x:v>
      </x:c>
    </x:row>
    <x:row r="87" ht="74" customHeight="1">
      <x:c r="A87" s="11" t="str">
        <x:v>STRICT-20261010-ntfs</x:v>
      </x:c>
      <x:c r="B87" s="11" t="str">
        <x:v>NATIVE-082</x:v>
      </x:c>
      <x:c r="C87" s="11" t="str">
        <x:v>stream_getstreaminfo_test</x:v>
      </x:c>
      <x:c r="D87" s="11" t="str">
        <x:v>winfsp-tests</x:v>
      </x:c>
      <x:c r="E87" s="11" t="str">
        <x:v>NTFS</x:v>
      </x:c>
      <x:c r="F87" s="11" t="str">
        <x:v>不适用</x:v>
      </x:c>
      <x:c r="G87" s="20" t="d">
        <x:v>2026-10-10T00:00:00.000Z</x:v>
      </x:c>
      <x:c r="H87" s="11" t="str">
        <x:v>已通过</x:v>
      </x:c>
      <x:c r="I87" s="22" t="n">
        <x:v>0.1</x:v>
      </x:c>
      <x:c r="J87" s="11" t="str">
        <x:v>JuiceFS 1.3.0 / WinFsp 2.1.25156 / rclone 1.75.0-onemount</x:v>
      </x:c>
      <x:c r="K87" s="11" t="str">
        <x:v>原版全外部；无 FUSE 筛选或名称比较放宽</x:v>
      </x:c>
      <x:c r="L87" s="11" t="str">
        <x:v>63151da049f846e65fb361d1f314df65c2d468a7</x:v>
      </x:c>
      <x:c r="M87" s="11" t="str">
        <x:v>E09 / targets.ntfs.results</x:v>
      </x:c>
      <x:c r="N87" s="11" t="str">
        <x:v>入口结果见原始 JSON；通过不表示任意规模均正确</x:v>
      </x:c>
    </x:row>
    <x:row r="88" ht="74" customHeight="1">
      <x:c r="A88" s="10" t="str">
        <x:v>STRICT-20261010-ntfs</x:v>
      </x:c>
      <x:c r="B88" s="10" t="str">
        <x:v>NATIVE-083</x:v>
      </x:c>
      <x:c r="C88" s="10" t="str">
        <x:v>stream_getstreaminfo_expire_cache_test</x:v>
      </x:c>
      <x:c r="D88" s="10" t="str">
        <x:v>winfsp-tests</x:v>
      </x:c>
      <x:c r="E88" s="10" t="str">
        <x:v>NTFS</x:v>
      </x:c>
      <x:c r="F88" s="10" t="str">
        <x:v>不适用</x:v>
      </x:c>
      <x:c r="G88" s="19" t="d">
        <x:v>2026-10-10T00:00:00.000Z</x:v>
      </x:c>
      <x:c r="H88" s="10" t="str">
        <x:v>已通过</x:v>
      </x:c>
      <x:c r="I88" s="21" t="n">
        <x:v>0.064</x:v>
      </x:c>
      <x:c r="J88" s="10" t="str">
        <x:v>JuiceFS 1.3.0 / WinFsp 2.1.25156 / rclone 1.75.0-onemount</x:v>
      </x:c>
      <x:c r="K88" s="10" t="str">
        <x:v>原版全外部；无 FUSE 筛选或名称比较放宽</x:v>
      </x:c>
      <x:c r="L88" s="10" t="str">
        <x:v>63151da049f846e65fb361d1f314df65c2d468a7</x:v>
      </x:c>
      <x:c r="M88" s="10" t="str">
        <x:v>E09 / targets.ntfs.results</x:v>
      </x:c>
      <x:c r="N88" s="10" t="str">
        <x:v>入口结果见原始 JSON；通过不表示任意规模均正确</x:v>
      </x:c>
    </x:row>
    <x:row r="89" ht="74" customHeight="1">
      <x:c r="A89" s="11" t="str">
        <x:v>STRICT-20261010-ntfs</x:v>
      </x:c>
      <x:c r="B89" s="11" t="str">
        <x:v>NATIVE-084</x:v>
      </x:c>
      <x:c r="C89" s="11" t="str">
        <x:v>stream_dirnotify_test</x:v>
      </x:c>
      <x:c r="D89" s="11" t="str">
        <x:v>winfsp-tests</x:v>
      </x:c>
      <x:c r="E89" s="11" t="str">
        <x:v>NTFS</x:v>
      </x:c>
      <x:c r="F89" s="11" t="str">
        <x:v>不适用</x:v>
      </x:c>
      <x:c r="G89" s="20" t="d">
        <x:v>2026-10-10T00:00:00.000Z</x:v>
      </x:c>
      <x:c r="H89" s="11" t="str">
        <x:v>已通过</x:v>
      </x:c>
      <x:c r="I89" s="22" t="n">
        <x:v>1.068</x:v>
      </x:c>
      <x:c r="J89" s="11" t="str">
        <x:v>JuiceFS 1.3.0 / WinFsp 2.1.25156 / rclone 1.75.0-onemount</x:v>
      </x:c>
      <x:c r="K89" s="11" t="str">
        <x:v>原版全外部；无 FUSE 筛选或名称比较放宽</x:v>
      </x:c>
      <x:c r="L89" s="11" t="str">
        <x:v>63151da049f846e65fb361d1f314df65c2d468a7</x:v>
      </x:c>
      <x:c r="M89" s="11" t="str">
        <x:v>E09 / targets.ntfs.results</x:v>
      </x:c>
      <x:c r="N89" s="11" t="str">
        <x:v>入口结果见原始 JSON；通过不表示任意规模均正确</x:v>
      </x:c>
    </x:row>
    <x:row r="90" ht="74" customHeight="1">
      <x:c r="A90" s="10" t="str">
        <x:v>STRICT-20261010-ntfs</x:v>
      </x:c>
      <x:c r="B90" s="10" t="str">
        <x:v>NATIVE-085</x:v>
      </x:c>
      <x:c r="C90" s="10" t="str">
        <x:v>oplock_level1_test</x:v>
      </x:c>
      <x:c r="D90" s="10" t="str">
        <x:v>winfsp-tests</x:v>
      </x:c>
      <x:c r="E90" s="10" t="str">
        <x:v>NTFS</x:v>
      </x:c>
      <x:c r="F90" s="10" t="str">
        <x:v>不适用</x:v>
      </x:c>
      <x:c r="G90" s="19" t="d">
        <x:v>2026-10-10T00:00:00.000Z</x:v>
      </x:c>
      <x:c r="H90" s="10" t="str">
        <x:v>已通过</x:v>
      </x:c>
      <x:c r="I90" s="21" t="n">
        <x:v>1.301</x:v>
      </x:c>
      <x:c r="J90" s="10" t="str">
        <x:v>JuiceFS 1.3.0 / WinFsp 2.1.25156 / rclone 1.75.0-onemount</x:v>
      </x:c>
      <x:c r="K90" s="10" t="str">
        <x:v>原版全外部；无 FUSE 筛选或名称比较放宽</x:v>
      </x:c>
      <x:c r="L90" s="10" t="str">
        <x:v>63151da049f846e65fb361d1f314df65c2d468a7</x:v>
      </x:c>
      <x:c r="M90" s="10" t="str">
        <x:v>E09 / targets.ntfs.results</x:v>
      </x:c>
      <x:c r="N90" s="10" t="str">
        <x:v>入口结果见原始 JSON；通过不表示任意规模均正确</x:v>
      </x:c>
    </x:row>
    <x:row r="91" ht="74" customHeight="1">
      <x:c r="A91" s="11" t="str">
        <x:v>STRICT-20261010-ntfs</x:v>
      </x:c>
      <x:c r="B91" s="11" t="str">
        <x:v>NATIVE-086</x:v>
      </x:c>
      <x:c r="C91" s="11" t="str">
        <x:v>oplock_level2_test</x:v>
      </x:c>
      <x:c r="D91" s="11" t="str">
        <x:v>winfsp-tests</x:v>
      </x:c>
      <x:c r="E91" s="11" t="str">
        <x:v>NTFS</x:v>
      </x:c>
      <x:c r="F91" s="11" t="str">
        <x:v>不适用</x:v>
      </x:c>
      <x:c r="G91" s="20" t="d">
        <x:v>2026-10-10T00:00:00.000Z</x:v>
      </x:c>
      <x:c r="H91" s="11" t="str">
        <x:v>已通过</x:v>
      </x:c>
      <x:c r="I91" s="22" t="n">
        <x:v>2.516</x:v>
      </x:c>
      <x:c r="J91" s="11" t="str">
        <x:v>JuiceFS 1.3.0 / WinFsp 2.1.25156 / rclone 1.75.0-onemount</x:v>
      </x:c>
      <x:c r="K91" s="11" t="str">
        <x:v>原版全外部；无 FUSE 筛选或名称比较放宽</x:v>
      </x:c>
      <x:c r="L91" s="11" t="str">
        <x:v>63151da049f846e65fb361d1f314df65c2d468a7</x:v>
      </x:c>
      <x:c r="M91" s="11" t="str">
        <x:v>E09 / targets.ntfs.results</x:v>
      </x:c>
      <x:c r="N91" s="11" t="str">
        <x:v>入口结果见原始 JSON；通过不表示任意规模均正确</x:v>
      </x:c>
    </x:row>
    <x:row r="92" ht="74" customHeight="1">
      <x:c r="A92" s="10" t="str">
        <x:v>STRICT-20261010-ntfs</x:v>
      </x:c>
      <x:c r="B92" s="10" t="str">
        <x:v>NATIVE-087</x:v>
      </x:c>
      <x:c r="C92" s="10" t="str">
        <x:v>oplock_batch_test</x:v>
      </x:c>
      <x:c r="D92" s="10" t="str">
        <x:v>winfsp-tests</x:v>
      </x:c>
      <x:c r="E92" s="10" t="str">
        <x:v>NTFS</x:v>
      </x:c>
      <x:c r="F92" s="10" t="str">
        <x:v>不适用</x:v>
      </x:c>
      <x:c r="G92" s="19" t="d">
        <x:v>2026-10-10T00:00:00.000Z</x:v>
      </x:c>
      <x:c r="H92" s="10" t="str">
        <x:v>已通过</x:v>
      </x:c>
      <x:c r="I92" s="21" t="n">
        <x:v>1.3</x:v>
      </x:c>
      <x:c r="J92" s="10" t="str">
        <x:v>JuiceFS 1.3.0 / WinFsp 2.1.25156 / rclone 1.75.0-onemount</x:v>
      </x:c>
      <x:c r="K92" s="10" t="str">
        <x:v>原版全外部；无 FUSE 筛选或名称比较放宽</x:v>
      </x:c>
      <x:c r="L92" s="10" t="str">
        <x:v>63151da049f846e65fb361d1f314df65c2d468a7</x:v>
      </x:c>
      <x:c r="M92" s="10" t="str">
        <x:v>E09 / targets.ntfs.results</x:v>
      </x:c>
      <x:c r="N92" s="10" t="str">
        <x:v>入口结果见原始 JSON；通过不表示任意规模均正确</x:v>
      </x:c>
    </x:row>
    <x:row r="93" ht="74" customHeight="1">
      <x:c r="A93" s="11" t="str">
        <x:v>STRICT-20261010-ntfs</x:v>
      </x:c>
      <x:c r="B93" s="11" t="str">
        <x:v>NATIVE-088</x:v>
      </x:c>
      <x:c r="C93" s="11" t="str">
        <x:v>oplock_filter_test</x:v>
      </x:c>
      <x:c r="D93" s="11" t="str">
        <x:v>winfsp-tests</x:v>
      </x:c>
      <x:c r="E93" s="11" t="str">
        <x:v>NTFS</x:v>
      </x:c>
      <x:c r="F93" s="11" t="str">
        <x:v>不适用</x:v>
      </x:c>
      <x:c r="G93" s="20" t="d">
        <x:v>2026-10-10T00:00:00.000Z</x:v>
      </x:c>
      <x:c r="H93" s="11" t="str">
        <x:v>已通过</x:v>
      </x:c>
      <x:c r="I93" s="22" t="n">
        <x:v>1.281</x:v>
      </x:c>
      <x:c r="J93" s="11" t="str">
        <x:v>JuiceFS 1.3.0 / WinFsp 2.1.25156 / rclone 1.75.0-onemount</x:v>
      </x:c>
      <x:c r="K93" s="11" t="str">
        <x:v>原版全外部；无 FUSE 筛选或名称比较放宽</x:v>
      </x:c>
      <x:c r="L93" s="11" t="str">
        <x:v>63151da049f846e65fb361d1f314df65c2d468a7</x:v>
      </x:c>
      <x:c r="M93" s="11" t="str">
        <x:v>E09 / targets.ntfs.results</x:v>
      </x:c>
      <x:c r="N93" s="11" t="str">
        <x:v>入口结果见原始 JSON；通过不表示任意规模均正确</x:v>
      </x:c>
    </x:row>
    <x:row r="94" ht="74" customHeight="1">
      <x:c r="A94" s="10" t="str">
        <x:v>STRICT-20261010-ntfs</x:v>
      </x:c>
      <x:c r="B94" s="10" t="str">
        <x:v>NATIVE-089</x:v>
      </x:c>
      <x:c r="C94" s="10" t="str">
        <x:v>oplock_rwh_test</x:v>
      </x:c>
      <x:c r="D94" s="10" t="str">
        <x:v>winfsp-tests</x:v>
      </x:c>
      <x:c r="E94" s="10" t="str">
        <x:v>NTFS</x:v>
      </x:c>
      <x:c r="F94" s="10" t="str">
        <x:v>不适用</x:v>
      </x:c>
      <x:c r="G94" s="19" t="d">
        <x:v>2026-10-10T00:00:00.000Z</x:v>
      </x:c>
      <x:c r="H94" s="10" t="str">
        <x:v>已通过</x:v>
      </x:c>
      <x:c r="I94" s="21" t="n">
        <x:v>1.302</x:v>
      </x:c>
      <x:c r="J94" s="10" t="str">
        <x:v>JuiceFS 1.3.0 / WinFsp 2.1.25156 / rclone 1.75.0-onemount</x:v>
      </x:c>
      <x:c r="K94" s="10" t="str">
        <x:v>原版全外部；无 FUSE 筛选或名称比较放宽</x:v>
      </x:c>
      <x:c r="L94" s="10" t="str">
        <x:v>63151da049f846e65fb361d1f314df65c2d468a7</x:v>
      </x:c>
      <x:c r="M94" s="10" t="str">
        <x:v>E09 / targets.ntfs.results</x:v>
      </x:c>
      <x:c r="N94" s="10" t="str">
        <x:v>入口结果见原始 JSON；通过不表示任意规模均正确</x:v>
      </x:c>
    </x:row>
    <x:row r="95" ht="74" customHeight="1">
      <x:c r="A95" s="11" t="str">
        <x:v>STRICT-20261010-ntfs</x:v>
      </x:c>
      <x:c r="B95" s="11" t="str">
        <x:v>NATIVE-090</x:v>
      </x:c>
      <x:c r="C95" s="11" t="str">
        <x:v>oplock_rw_test</x:v>
      </x:c>
      <x:c r="D95" s="11" t="str">
        <x:v>winfsp-tests</x:v>
      </x:c>
      <x:c r="E95" s="11" t="str">
        <x:v>NTFS</x:v>
      </x:c>
      <x:c r="F95" s="11" t="str">
        <x:v>不适用</x:v>
      </x:c>
      <x:c r="G95" s="20" t="d">
        <x:v>2026-10-10T00:00:00.000Z</x:v>
      </x:c>
      <x:c r="H95" s="11" t="str">
        <x:v>已通过</x:v>
      </x:c>
      <x:c r="I95" s="22" t="n">
        <x:v>1.277</x:v>
      </x:c>
      <x:c r="J95" s="11" t="str">
        <x:v>JuiceFS 1.3.0 / WinFsp 2.1.25156 / rclone 1.75.0-onemount</x:v>
      </x:c>
      <x:c r="K95" s="11" t="str">
        <x:v>原版全外部；无 FUSE 筛选或名称比较放宽</x:v>
      </x:c>
      <x:c r="L95" s="11" t="str">
        <x:v>63151da049f846e65fb361d1f314df65c2d468a7</x:v>
      </x:c>
      <x:c r="M95" s="11" t="str">
        <x:v>E09 / targets.ntfs.results</x:v>
      </x:c>
      <x:c r="N95" s="11" t="str">
        <x:v>入口结果见原始 JSON；通过不表示任意规模均正确</x:v>
      </x:c>
    </x:row>
    <x:row r="96" ht="74" customHeight="1">
      <x:c r="A96" s="10" t="str">
        <x:v>STRICT-20261010-ntfs</x:v>
      </x:c>
      <x:c r="B96" s="10" t="str">
        <x:v>NATIVE-091</x:v>
      </x:c>
      <x:c r="C96" s="10" t="str">
        <x:v>oplock_rh_test</x:v>
      </x:c>
      <x:c r="D96" s="10" t="str">
        <x:v>winfsp-tests</x:v>
      </x:c>
      <x:c r="E96" s="10" t="str">
        <x:v>NTFS</x:v>
      </x:c>
      <x:c r="F96" s="10" t="str">
        <x:v>不适用</x:v>
      </x:c>
      <x:c r="G96" s="19" t="d">
        <x:v>2026-10-10T00:00:00.000Z</x:v>
      </x:c>
      <x:c r="H96" s="10" t="str">
        <x:v>已通过</x:v>
      </x:c>
      <x:c r="I96" s="21" t="n">
        <x:v>2.492</x:v>
      </x:c>
      <x:c r="J96" s="10" t="str">
        <x:v>JuiceFS 1.3.0 / WinFsp 2.1.25156 / rclone 1.75.0-onemount</x:v>
      </x:c>
      <x:c r="K96" s="10" t="str">
        <x:v>原版全外部；无 FUSE 筛选或名称比较放宽</x:v>
      </x:c>
      <x:c r="L96" s="10" t="str">
        <x:v>63151da049f846e65fb361d1f314df65c2d468a7</x:v>
      </x:c>
      <x:c r="M96" s="10" t="str">
        <x:v>E09 / targets.ntfs.results</x:v>
      </x:c>
      <x:c r="N96" s="10" t="str">
        <x:v>入口结果见原始 JSON；通过不表示任意规模均正确</x:v>
      </x:c>
    </x:row>
    <x:row r="97" ht="74" customHeight="1">
      <x:c r="A97" s="11" t="str">
        <x:v>STRICT-20261010-ntfs</x:v>
      </x:c>
      <x:c r="B97" s="11" t="str">
        <x:v>NATIVE-092</x:v>
      </x:c>
      <x:c r="C97" s="11" t="str">
        <x:v>oplock_r_test</x:v>
      </x:c>
      <x:c r="D97" s="11" t="str">
        <x:v>winfsp-tests</x:v>
      </x:c>
      <x:c r="E97" s="11" t="str">
        <x:v>NTFS</x:v>
      </x:c>
      <x:c r="F97" s="11" t="str">
        <x:v>不适用</x:v>
      </x:c>
      <x:c r="G97" s="20" t="d">
        <x:v>2026-10-10T00:00:00.000Z</x:v>
      </x:c>
      <x:c r="H97" s="11" t="str">
        <x:v>已通过</x:v>
      </x:c>
      <x:c r="I97" s="22" t="n">
        <x:v>2.503</x:v>
      </x:c>
      <x:c r="J97" s="11" t="str">
        <x:v>JuiceFS 1.3.0 / WinFsp 2.1.25156 / rclone 1.75.0-onemount</x:v>
      </x:c>
      <x:c r="K97" s="11" t="str">
        <x:v>原版全外部；无 FUSE 筛选或名称比较放宽</x:v>
      </x:c>
      <x:c r="L97" s="11" t="str">
        <x:v>63151da049f846e65fb361d1f314df65c2d468a7</x:v>
      </x:c>
      <x:c r="M97" s="11" t="str">
        <x:v>E09 / targets.ntfs.results</x:v>
      </x:c>
      <x:c r="N97" s="11" t="str">
        <x:v>入口结果见原始 JSON；通过不表示任意规模均正确</x:v>
      </x:c>
    </x:row>
    <x:row r="98" ht="74" customHeight="1">
      <x:c r="A98" s="10" t="str">
        <x:v>STRICT-20261010-ntfs</x:v>
      </x:c>
      <x:c r="B98" s="10" t="str">
        <x:v>NATIVE-093</x:v>
      </x:c>
      <x:c r="C98" s="10" t="str">
        <x:v>oplock_not_granted_test</x:v>
      </x:c>
      <x:c r="D98" s="10" t="str">
        <x:v>winfsp-tests</x:v>
      </x:c>
      <x:c r="E98" s="10" t="str">
        <x:v>NTFS</x:v>
      </x:c>
      <x:c r="F98" s="10" t="str">
        <x:v>不适用</x:v>
      </x:c>
      <x:c r="G98" s="19" t="d">
        <x:v>2026-10-10T00:00:00.000Z</x:v>
      </x:c>
      <x:c r="H98" s="10" t="str">
        <x:v>已通过</x:v>
      </x:c>
      <x:c r="I98" s="21" t="n">
        <x:v>0.061</x:v>
      </x:c>
      <x:c r="J98" s="10" t="str">
        <x:v>JuiceFS 1.3.0 / WinFsp 2.1.25156 / rclone 1.75.0-onemount</x:v>
      </x:c>
      <x:c r="K98" s="10" t="str">
        <x:v>原版全外部；无 FUSE 筛选或名称比较放宽</x:v>
      </x:c>
      <x:c r="L98" s="10" t="str">
        <x:v>63151da049f846e65fb361d1f314df65c2d468a7</x:v>
      </x:c>
      <x:c r="M98" s="10" t="str">
        <x:v>E09 / targets.ntfs.results</x:v>
      </x:c>
      <x:c r="N98" s="10" t="str">
        <x:v>入口结果见原始 JSON；通过不表示任意规模均正确</x:v>
      </x:c>
    </x:row>
    <x:row r="99" ht="74" customHeight="1">
      <x:c r="A99" s="11" t="str">
        <x:v>STRICT-20261010-ntfs</x:v>
      </x:c>
      <x:c r="B99" s="11" t="str">
        <x:v>NATIVE-094</x:v>
      </x:c>
      <x:c r="C99" s="11" t="str">
        <x:v>wsl_stat_test</x:v>
      </x:c>
      <x:c r="D99" s="11" t="str">
        <x:v>winfsp-tests</x:v>
      </x:c>
      <x:c r="E99" s="11" t="str">
        <x:v>NTFS</x:v>
      </x:c>
      <x:c r="F99" s="11" t="str">
        <x:v>不适用</x:v>
      </x:c>
      <x:c r="G99" s="20" t="d">
        <x:v>2026-10-10T00:00:00.000Z</x:v>
      </x:c>
      <x:c r="H99" s="11" t="str">
        <x:v>已通过</x:v>
      </x:c>
      <x:c r="I99" s="22" t="n">
        <x:v>0.062</x:v>
      </x:c>
      <x:c r="J99" s="11" t="str">
        <x:v>JuiceFS 1.3.0 / WinFsp 2.1.25156 / rclone 1.75.0-onemount</x:v>
      </x:c>
      <x:c r="K99" s="11" t="str">
        <x:v>原版全外部；无 FUSE 筛选或名称比较放宽</x:v>
      </x:c>
      <x:c r="L99" s="11" t="str">
        <x:v>63151da049f846e65fb361d1f314df65c2d468a7</x:v>
      </x:c>
      <x:c r="M99" s="11" t="str">
        <x:v>E09 / targets.ntfs.results</x:v>
      </x:c>
      <x:c r="N99" s="11" t="str">
        <x:v>入口结果见原始 JSON；通过不表示任意规模均正确</x:v>
      </x:c>
    </x:row>
    <x:row r="100" ht="218" customHeight="1">
      <x:c r="A100" s="10" t="str">
        <x:v>STRICT-20261010-ntfs</x:v>
      </x:c>
      <x:c r="B100" s="10" t="str">
        <x:v>NATIVE-095</x:v>
      </x:c>
      <x:c r="C100" s="10" t="str">
        <x:v>winfstest-base/00.t</x:v>
      </x:c>
      <x:c r="D100" s="10" t="str">
        <x:v>winfstest</x:v>
      </x:c>
      <x:c r="E100" s="10" t="str">
        <x:v>NTFS</x:v>
      </x:c>
      <x:c r="F100" s="10" t="str">
        <x:v>不适用</x:v>
      </x:c>
      <x:c r="G100" s="19" t="d">
        <x:v>2026-10-10T00:00:00.000Z</x:v>
      </x:c>
      <x:c r="H100" s="10" t="str">
        <x:v>已通过</x:v>
      </x:c>
      <x:c r="I100" s="21" t="n">
        <x:v>0.224</x:v>
      </x:c>
      <x:c r="J100" s="10" t="str">
        <x:v>JuiceFS 1.3.0 / WinFsp 2.1.25156 / rclone 1.75.0-onemount</x:v>
      </x:c>
      <x:c r="K100" s="10" t="str">
        <x:v>原版全外部；无 FUSE 筛选或名称比较放宽</x:v>
      </x:c>
      <x:c r="L100" s="10" t="str">
        <x:v>63151da049f846e65fb361d1f314df65c2d468a7</x:v>
      </x:c>
      <x:c r="M100" s="10" t="str">
        <x:v>E09 / targets.ntfs.results</x:v>
      </x:c>
      <x:c r="N100" s="10" t="str">
        <x:v>ok 2 - expect "CreateFile ddaff42b GENERIC_WRITE 0 0 CREATE_NEW FILE_ATTRIBUTE_NORMAL 0" ERROR_FILE_EXISTS
ok 4 - expect "DeleteFile ddaff42b" ERROR_FILE_NOT_FOUND
ok 7 - expect "-e CreateFile ddaff42b GENERIC_WRITE 0 0 CREATE_ALWAYS FILE_ATTRIBUTE_NORMAL 0" ERROR_ALREADY_EXISTS
ok 11 - expect "-e CreateFile ddaff42b GENERIC_WRITE 0 0 OPEN_ALWAYS FILE_ATTRIBUTE_NORMAL 0" ERROR_ALREADY_EXISTS
ok 13 - expect "CreateFile ddaff42b GENERIC_WRITE 0 0 OPEN_EXISTING FILE_ATTRIBUTE_NORMAL 0" ERROR_FILE_NOT_FOUND
ok 17 - expect "CreateFile ddaff42b GENERIC_WRITE 0 0 TRUNCATE_EXISTING FILE_ATTRIBUTE_NORMAL 0" ERROR_FILE_NOT_FOUND
ok 21 - expect "CreateFile ddaff42b\bar GENERIC_WRITE 0 0 CREATE_NEW FILE_ATTRIBUTE_NORMAL 0" ERROR_PATH_NOT_FOUND</x:v>
      </x:c>
    </x:row>
    <x:row r="101" ht="74" customHeight="1">
      <x:c r="A101" s="11" t="str">
        <x:v>STRICT-20261010-ntfs</x:v>
      </x:c>
      <x:c r="B101" s="11" t="str">
        <x:v>NATIVE-096</x:v>
      </x:c>
      <x:c r="C101" s="11" t="str">
        <x:v>winfstest-base/01.t</x:v>
      </x:c>
      <x:c r="D101" s="11" t="str">
        <x:v>winfstest</x:v>
      </x:c>
      <x:c r="E101" s="11" t="str">
        <x:v>NTFS</x:v>
      </x:c>
      <x:c r="F101" s="11" t="str">
        <x:v>不适用</x:v>
      </x:c>
      <x:c r="G101" s="20" t="d">
        <x:v>2026-10-10T00:00:00.000Z</x:v>
      </x:c>
      <x:c r="H101" s="11" t="str">
        <x:v>已通过</x:v>
      </x:c>
      <x:c r="I101" s="22" t="n">
        <x:v>0.164</x:v>
      </x:c>
      <x:c r="J101" s="11" t="str">
        <x:v>JuiceFS 1.3.0 / WinFsp 2.1.25156 / rclone 1.75.0-onemount</x:v>
      </x:c>
      <x:c r="K101" s="11" t="str">
        <x:v>原版全外部；无 FUSE 筛选或名称比较放宽</x:v>
      </x:c>
      <x:c r="L101" s="11" t="str">
        <x:v>63151da049f846e65fb361d1f314df65c2d468a7</x:v>
      </x:c>
      <x:c r="M101" s="11" t="str">
        <x:v>E09 / targets.ntfs.results</x:v>
      </x:c>
      <x:c r="N101" s="11" t="str">
        <x:v>ok 13 - expect "DeleteFile 52a2a95c" ERROR_ACCESS_DENIED</x:v>
      </x:c>
    </x:row>
    <x:row r="102" ht="122" customHeight="1">
      <x:c r="A102" s="10" t="str">
        <x:v>STRICT-20261010-ntfs</x:v>
      </x:c>
      <x:c r="B102" s="10" t="str">
        <x:v>NATIVE-097</x:v>
      </x:c>
      <x:c r="C102" s="10" t="str">
        <x:v>winfstest-base/02.t</x:v>
      </x:c>
      <x:c r="D102" s="10" t="str">
        <x:v>winfstest</x:v>
      </x:c>
      <x:c r="E102" s="10" t="str">
        <x:v>NTFS</x:v>
      </x:c>
      <x:c r="F102" s="10" t="str">
        <x:v>不适用</x:v>
      </x:c>
      <x:c r="G102" s="19" t="d">
        <x:v>2026-10-10T00:00:00.000Z</x:v>
      </x:c>
      <x:c r="H102" s="10" t="str">
        <x:v>已通过</x:v>
      </x:c>
      <x:c r="I102" s="21" t="n">
        <x:v>0.151</x:v>
      </x:c>
      <x:c r="J102" s="10" t="str">
        <x:v>JuiceFS 1.3.0 / WinFsp 2.1.25156 / rclone 1.75.0-onemount</x:v>
      </x:c>
      <x:c r="K102" s="10" t="str">
        <x:v>原版全外部；无 FUSE 筛选或名称比较放宽</x:v>
      </x:c>
      <x:c r="L102" s="10" t="str">
        <x:v>63151da049f846e65fb361d1f314df65c2d468a7</x:v>
      </x:c>
      <x:c r="M102" s="10" t="str">
        <x:v>E09 / targets.ntfs.results</x:v>
      </x:c>
      <x:c r="N102" s="10" t="str">
        <x:v>ok 2 - expect "CreateDirectory 28855662 0" ERROR_ALREADY_EXISTS
ok 3 - expect "RemoveDirectory 28855662" ERROR_DIRECTORY
ok 6 - expect "CreateDirectory 28855662 0" ERROR_ALREADY_EXISTS
ok 8 - expect "DeleteFile 28855662" ERROR_ACCESS_DENIED
ok 10 - expect "RemoveDirectory 28855662" ERROR_FILE_NOT_FOUND
ok 12 - expect "CreateFile 28855662 GENERIC_WRITE 0 0 CREATE_NEW FILE_ATTRIBUTE_NORMAL 0" ERROR_ACCESS_DENIED</x:v>
      </x:c>
    </x:row>
    <x:row r="103" ht="74" customHeight="1">
      <x:c r="A103" s="11" t="str">
        <x:v>STRICT-20261010-ntfs</x:v>
      </x:c>
      <x:c r="B103" s="11" t="str">
        <x:v>NATIVE-098</x:v>
      </x:c>
      <x:c r="C103" s="11" t="str">
        <x:v>winfstest-base/03.t</x:v>
      </x:c>
      <x:c r="D103" s="11" t="str">
        <x:v>winfstest</x:v>
      </x:c>
      <x:c r="E103" s="11" t="str">
        <x:v>NTFS</x:v>
      </x:c>
      <x:c r="F103" s="11" t="str">
        <x:v>不适用</x:v>
      </x:c>
      <x:c r="G103" s="20" t="d">
        <x:v>2026-10-10T00:00:00.000Z</x:v>
      </x:c>
      <x:c r="H103" s="11" t="str">
        <x:v>已通过</x:v>
      </x:c>
      <x:c r="I103" s="22" t="n">
        <x:v>0.158</x:v>
      </x:c>
      <x:c r="J103" s="11" t="str">
        <x:v>JuiceFS 1.3.0 / WinFsp 2.1.25156 / rclone 1.75.0-onemount</x:v>
      </x:c>
      <x:c r="K103" s="11" t="str">
        <x:v>原版全外部；无 FUSE 筛选或名称比较放宽</x:v>
      </x:c>
      <x:c r="L103" s="11" t="str">
        <x:v>63151da049f846e65fb361d1f314df65c2d468a7</x:v>
      </x:c>
      <x:c r="M103" s="11" t="str">
        <x:v>E09 / targets.ntfs.results</x:v>
      </x:c>
      <x:c r="N103" s="11" t="str">
        <x:v>ok 3 - expect "RemoveDirectory 39dfd4e9" ERROR_DIR_NOT_EMPTY
ok 4 - expect "RemoveDirectory 39dfd4e9\foo" ERROR_DIRECTORY</x:v>
      </x:c>
    </x:row>
    <x:row r="104" ht="170" customHeight="1">
      <x:c r="A104" s="10" t="str">
        <x:v>STRICT-20261010-ntfs</x:v>
      </x:c>
      <x:c r="B104" s="10" t="str">
        <x:v>NATIVE-099</x:v>
      </x:c>
      <x:c r="C104" s="10" t="str">
        <x:v>winfstest-base/04.t</x:v>
      </x:c>
      <x:c r="D104" s="10" t="str">
        <x:v>winfstest</x:v>
      </x:c>
      <x:c r="E104" s="10" t="str">
        <x:v>NTFS</x:v>
      </x:c>
      <x:c r="F104" s="10" t="str">
        <x:v>不适用</x:v>
      </x:c>
      <x:c r="G104" s="19" t="d">
        <x:v>2026-10-10T00:00:00.000Z</x:v>
      </x:c>
      <x:c r="H104" s="10" t="str">
        <x:v>已通过</x:v>
      </x:c>
      <x:c r="I104" s="21" t="n">
        <x:v>0.377</x:v>
      </x:c>
      <x:c r="J104" s="10" t="str">
        <x:v>JuiceFS 1.3.0 / WinFsp 2.1.25156 / rclone 1.75.0-onemount</x:v>
      </x:c>
      <x:c r="K104" s="10" t="str">
        <x:v>原版全外部；无 FUSE 筛选或名称比较放宽</x:v>
      </x:c>
      <x:c r="L104" s="10" t="str">
        <x:v>63151da049f846e65fb361d1f314df65c2d468a7</x:v>
      </x:c>
      <x:c r="M104" s="10" t="str">
        <x:v>E09 / targets.ntfs.results</x:v>
      </x:c>
      <x:c r="N104" s="10" t="str">
        <x:v>ok 5 - expect "GetFileInformation ec0b8dab\foo" ERROR_FILE_NOT_FOUND
ok 7 - expect "MoveFileEx ec0b8dab\bar ec0b8dab\baz 0" ERROR_ALREADY_EXISTS
ok 10 - expect "MoveFileEx ec0b8dab\bar ec0b8dab\baz MOVEFILE_REPLACE_EXISTING" ERROR_ACCESS_DENIED
ok 13 - expect "GetFileInformation ec0b8dab\bar" ERROR_FILE_NOT_FOUND
ok 21 - expect "GetFileInformation ec0b8dab\foo" ERROR_FILE_NOT_FOUND
ok 23 - expect "MoveFileEx ec0b8dab\bar ec0b8dab\baz 0" ERROR_ALREADY_EXISTS
ok 26 - expect "MoveFileEx ec0b8dab\bar ec0b8dab\baz MOVEFILE_REPLACE_EXISTING" ERROR_ACCESS_DENIED
ok 31 - expect "GetFileInformation ec0b8dab\bar" ERROR_FILE_NOT_FOUND</x:v>
      </x:c>
    </x:row>
    <x:row r="105" ht="74" customHeight="1">
      <x:c r="A105" s="11" t="str">
        <x:v>STRICT-20261010-ntfs</x:v>
      </x:c>
      <x:c r="B105" s="11" t="str">
        <x:v>NATIVE-100</x:v>
      </x:c>
      <x:c r="C105" s="11" t="str">
        <x:v>winfstest-base/05.t</x:v>
      </x:c>
      <x:c r="D105" s="11" t="str">
        <x:v>winfstest</x:v>
      </x:c>
      <x:c r="E105" s="11" t="str">
        <x:v>NTFS</x:v>
      </x:c>
      <x:c r="F105" s="11" t="str">
        <x:v>不适用</x:v>
      </x:c>
      <x:c r="G105" s="20" t="d">
        <x:v>2026-10-10T00:00:00.000Z</x:v>
      </x:c>
      <x:c r="H105" s="11" t="str">
        <x:v>已通过</x:v>
      </x:c>
      <x:c r="I105" s="22" t="n">
        <x:v>0.154</x:v>
      </x:c>
      <x:c r="J105" s="11" t="str">
        <x:v>JuiceFS 1.3.0 / WinFsp 2.1.25156 / rclone 1.75.0-onemount</x:v>
      </x:c>
      <x:c r="K105" s="11" t="str">
        <x:v>原版全外部；无 FUSE 筛选或名称比较放宽</x:v>
      </x:c>
      <x:c r="L105" s="11" t="str">
        <x:v>63151da049f846e65fb361d1f314df65c2d468a7</x:v>
      </x:c>
      <x:c r="M105" s="11" t="str">
        <x:v>E09 / targets.ntfs.results</x:v>
      </x:c>
      <x:c r="N105" s="11" t="str">
        <x:v>入口结果见原始 JSON；通过不表示任意规模均正确</x:v>
      </x:c>
    </x:row>
    <x:row r="106" ht="74" customHeight="1">
      <x:c r="A106" s="10" t="str">
        <x:v>STRICT-20261010-ntfs</x:v>
      </x:c>
      <x:c r="B106" s="10" t="str">
        <x:v>NATIVE-101</x:v>
      </x:c>
      <x:c r="C106" s="10" t="str">
        <x:v>winfstest-base/06.t</x:v>
      </x:c>
      <x:c r="D106" s="10" t="str">
        <x:v>winfstest</x:v>
      </x:c>
      <x:c r="E106" s="10" t="str">
        <x:v>NTFS</x:v>
      </x:c>
      <x:c r="F106" s="10" t="str">
        <x:v>不适用</x:v>
      </x:c>
      <x:c r="G106" s="19" t="d">
        <x:v>2026-10-10T00:00:00.000Z</x:v>
      </x:c>
      <x:c r="H106" s="10" t="str">
        <x:v>已通过</x:v>
      </x:c>
      <x:c r="I106" s="21" t="n">
        <x:v>0.094</x:v>
      </x:c>
      <x:c r="J106" s="10" t="str">
        <x:v>JuiceFS 1.3.0 / WinFsp 2.1.25156 / rclone 1.75.0-onemount</x:v>
      </x:c>
      <x:c r="K106" s="10" t="str">
        <x:v>原版全外部；无 FUSE 筛选或名称比较放宽</x:v>
      </x:c>
      <x:c r="L106" s="10" t="str">
        <x:v>63151da049f846e65fb361d1f314df65c2d468a7</x:v>
      </x:c>
      <x:c r="M106" s="10" t="str">
        <x:v>E09 / targets.ntfs.results</x:v>
      </x:c>
      <x:c r="N106" s="10" t="str">
        <x:v>入口结果见原始 JSON；通过不表示任意规模均正确</x:v>
      </x:c>
    </x:row>
    <x:row r="107" ht="74" customHeight="1">
      <x:c r="A107" s="11" t="str">
        <x:v>STRICT-20261010-ntfs</x:v>
      </x:c>
      <x:c r="B107" s="11" t="str">
        <x:v>NATIVE-102</x:v>
      </x:c>
      <x:c r="C107" s="11" t="str">
        <x:v>winfstest-base/07.t</x:v>
      </x:c>
      <x:c r="D107" s="11" t="str">
        <x:v>winfstest</x:v>
      </x:c>
      <x:c r="E107" s="11" t="str">
        <x:v>NTFS</x:v>
      </x:c>
      <x:c r="F107" s="11" t="str">
        <x:v>不适用</x:v>
      </x:c>
      <x:c r="G107" s="20" t="d">
        <x:v>2026-10-10T00:00:00.000Z</x:v>
      </x:c>
      <x:c r="H107" s="11" t="str">
        <x:v>已通过</x:v>
      </x:c>
      <x:c r="I107" s="22" t="n">
        <x:v>0.134</x:v>
      </x:c>
      <x:c r="J107" s="11" t="str">
        <x:v>JuiceFS 1.3.0 / WinFsp 2.1.25156 / rclone 1.75.0-onemount</x:v>
      </x:c>
      <x:c r="K107" s="11" t="str">
        <x:v>原版全外部；无 FUSE 筛选或名称比较放宽</x:v>
      </x:c>
      <x:c r="L107" s="11" t="str">
        <x:v>63151da049f846e65fb361d1f314df65c2d468a7</x:v>
      </x:c>
      <x:c r="M107" s="11" t="str">
        <x:v>E09 / targets.ntfs.results</x:v>
      </x:c>
      <x:c r="N107" s="11" t="str">
        <x:v>入口结果见原始 JSON；通过不表示任意规模均正确</x:v>
      </x:c>
    </x:row>
    <x:row r="108" ht="74" customHeight="1">
      <x:c r="A108" s="10" t="str">
        <x:v>STRICT-20261010-ntfs</x:v>
      </x:c>
      <x:c r="B108" s="10" t="str">
        <x:v>NATIVE-103</x:v>
      </x:c>
      <x:c r="C108" s="10" t="str">
        <x:v>winfstest-base/08.t</x:v>
      </x:c>
      <x:c r="D108" s="10" t="str">
        <x:v>winfstest</x:v>
      </x:c>
      <x:c r="E108" s="10" t="str">
        <x:v>NTFS</x:v>
      </x:c>
      <x:c r="F108" s="10" t="str">
        <x:v>不适用</x:v>
      </x:c>
      <x:c r="G108" s="19" t="d">
        <x:v>2026-10-10T00:00:00.000Z</x:v>
      </x:c>
      <x:c r="H108" s="10" t="str">
        <x:v>已失败</x:v>
      </x:c>
      <x:c r="I108" s="21" t="n">
        <x:v>0.133</x:v>
      </x:c>
      <x:c r="J108" s="10" t="str">
        <x:v>JuiceFS 1.3.0 / WinFsp 2.1.25156 / rclone 1.75.0-onemount</x:v>
      </x:c>
      <x:c r="K108" s="10" t="str">
        <x:v>原版全外部；无 FUSE 筛选或名称比较放宽</x:v>
      </x:c>
      <x:c r="L108" s="10" t="str">
        <x:v>63151da049f846e65fb361d1f314df65c2d468a7</x:v>
      </x:c>
      <x:c r="M108" s="10" t="str">
        <x:v>E09 / targets.ntfs.results</x:v>
      </x:c>
      <x:c r="N108" s="10" t="str">
        <x:v>not ok 4 - expect "CreateFile 6c3023fa GENERIC_READ FILE_SHARE_READ+FILE_SHARE_WRITE+FILE_SHARE_DELETE 0 OPEN_EXISTING 0 0" ERROR_ACCESS_DENIED - got ERROR_FILE_NOT_FOUND
not ok 9 - testeval(len(s) == 3)
not ok 12 - testeval("foo" in s)</x:v>
      </x:c>
    </x:row>
    <x:row r="109" ht="266" customHeight="1">
      <x:c r="A109" s="11" t="str">
        <x:v>STRICT-20261010-ntfs</x:v>
      </x:c>
      <x:c r="B109" s="11" t="str">
        <x:v>NATIVE-104</x:v>
      </x:c>
      <x:c r="C109" s="11" t="str">
        <x:v>winfstest-base/09.t</x:v>
      </x:c>
      <x:c r="D109" s="11" t="str">
        <x:v>winfstest</x:v>
      </x:c>
      <x:c r="E109" s="11" t="str">
        <x:v>NTFS</x:v>
      </x:c>
      <x:c r="F109" s="11" t="str">
        <x:v>不适用</x:v>
      </x:c>
      <x:c r="G109" s="20" t="d">
        <x:v>2026-10-10T00:00:00.000Z</x:v>
      </x:c>
      <x:c r="H109" s="11" t="str">
        <x:v>已通过</x:v>
      </x:c>
      <x:c r="I109" s="22" t="n">
        <x:v>0.195</x:v>
      </x:c>
      <x:c r="J109" s="11" t="str">
        <x:v>JuiceFS 1.3.0 / WinFsp 2.1.25156 / rclone 1.75.0-onemount</x:v>
      </x:c>
      <x:c r="K109" s="11" t="str">
        <x:v>原版全外部；无 FUSE 筛选或名称比较放宽</x:v>
      </x:c>
      <x:c r="L109" s="11" t="str">
        <x:v>63151da049f846e65fb361d1f314df65c2d468a7</x:v>
      </x:c>
      <x:c r="M109" s="11" t="str">
        <x:v>E09 / targets.ntfs.results</x:v>
      </x:c>
      <x:c r="N109" s="11" t="str">
        <x:v>ok 2 - expect "CreateFile 11b902f1 GENERIC_READ FILE_SHARE_READ 0 OPEN_EXISTING 0 0" ERROR_SHARING_VIOLATION
ok 4 - expect "CreateFile 11b902f1 DELETE FILE_SHARE_DELETE 0 OPEN_EXISTING 0 0" ERROR_SHARING_VIOLATION
ok 5 - expect "CreateFile 11b902f1 DELETE FILE_SHARE_WRITE 0 OPEN_EXISTING 0 0" ERROR_SHARING_VIOLATION
ok 7 - expect "CreateFile 11b902f1 GENERIC_WRITE FILE_SHARE_WRITE 0 OPEN_EXISTING 0 0" ERROR_SHARING_VIOLATION
ok 9 - expect "CreateFile 11b902f1 DELETE FILE_SHARE_DELETE 0 OPEN_EXISTING 0 0" ERROR_SHARING_VIOLATION
ok 10 - expect "CreateFile 11b902f1 DELETE FILE_SHARE_WRITE 0 OPEN_EXISTING 0 0" ERROR_SHARING_VIOLATION
ok 12 - expect "CreateFile 11b902f1 GENERIC_WRITE FILE_SHARE_DELETE 0 OPEN_EXISTING 0 0" ERROR_SHARING_VIOLATION
ok 13 - expect "CreateFile 11b902f1 DELETE FILE_SHARE_WRITE 0 OPEN_EXISTING 0 0" ERROR_SHARING_VIOLATION</x:v>
      </x:c>
    </x:row>
    <x:row r="110" ht="90" customHeight="1">
      <x:c r="A110" s="10" t="str">
        <x:v>STRICT-20261010-ntfs</x:v>
      </x:c>
      <x:c r="B110" s="10" t="str">
        <x:v>NATIVE-105</x:v>
      </x:c>
      <x:c r="C110" s="10" t="str">
        <x:v>winfstest-base/10.t</x:v>
      </x:c>
      <x:c r="D110" s="10" t="str">
        <x:v>winfstest</x:v>
      </x:c>
      <x:c r="E110" s="10" t="str">
        <x:v>NTFS</x:v>
      </x:c>
      <x:c r="F110" s="10" t="str">
        <x:v>不适用</x:v>
      </x:c>
      <x:c r="G110" s="19" t="d">
        <x:v>2026-10-10T00:00:00.000Z</x:v>
      </x:c>
      <x:c r="H110" s="10" t="str">
        <x:v>已通过</x:v>
      </x:c>
      <x:c r="I110" s="21" t="n">
        <x:v>0.23</x:v>
      </x:c>
      <x:c r="J110" s="10" t="str">
        <x:v>JuiceFS 1.3.0 / WinFsp 2.1.25156 / rclone 1.75.0-onemount</x:v>
      </x:c>
      <x:c r="K110" s="10" t="str">
        <x:v>原版全外部；无 FUSE 筛选或名称比较放宽</x:v>
      </x:c>
      <x:c r="L110" s="10" t="str">
        <x:v>63151da049f846e65fb361d1f314df65c2d468a7</x:v>
      </x:c>
      <x:c r="M110" s="10" t="str">
        <x:v>E09 / targets.ntfs.results</x:v>
      </x:c>
      <x:c r="N110" s="10" t="str">
        <x:v>ok 9 - expect "CreateFile fb5f60b1 GENERIC_READ 0 0 OPEN_EXISTING 0 0" ERROR_ACCESS_DENIED
ok 17 - expect "CreateFile fb5f60b1\foobar GENERIC_READ 0 D:P(A;;FR;;;WD) CREATE_NEW 0 0" ERROR_ACCESS_DENIED
ok 21 - expect "DeleteFile fb5f60b1\foobar" ERROR_ACCESS_DENIED</x:v>
      </x:c>
    </x:row>
    <x:row r="111" ht="202" customHeight="1">
      <x:c r="A111" s="11" t="str">
        <x:v>STRICT-20261010-ntfs</x:v>
      </x:c>
      <x:c r="B111" s="11" t="str">
        <x:v>NATIVE-106</x:v>
      </x:c>
      <x:c r="C111" s="11" t="str">
        <x:v>winfstest-reparse/00.t</x:v>
      </x:c>
      <x:c r="D111" s="11" t="str">
        <x:v>winfstest</x:v>
      </x:c>
      <x:c r="E111" s="11" t="str">
        <x:v>NTFS</x:v>
      </x:c>
      <x:c r="F111" s="11" t="str">
        <x:v>不适用</x:v>
      </x:c>
      <x:c r="G111" s="20" t="d">
        <x:v>2026-10-10T00:00:00.000Z</x:v>
      </x:c>
      <x:c r="H111" s="11" t="str">
        <x:v>已通过</x:v>
      </x:c>
      <x:c r="I111" s="22" t="n">
        <x:v>0.338</x:v>
      </x:c>
      <x:c r="J111" s="11" t="str">
        <x:v>JuiceFS 1.3.0 / WinFsp 2.1.25156 / rclone 1.75.0-onemount</x:v>
      </x:c>
      <x:c r="K111" s="11" t="str">
        <x:v>原版全外部；无 FUSE 筛选或名称比较放宽</x:v>
      </x:c>
      <x:c r="L111" s="11" t="str">
        <x:v>63151da049f846e65fb361d1f314df65c2d468a7</x:v>
      </x:c>
      <x:c r="M111" s="11" t="str">
        <x:v>E09 / targets.ntfs.results</x:v>
      </x:c>
      <x:c r="N111" s="11" t="str">
        <x:v>ok 8 - expect "SetReparsePoint 39581706 43 {92A23BD8-99F5-4FD6-807C-C56F3A063C52} A1 B2 C3 D4 F5 1A 2B 3C 4D 5F" ERROR(4394)
ok 9 - expect "SetReparsePoint 39581706 42 {02A23BD8-99F5-4FD6-807C-C56F3A063C52} A1 B2 C3 D4 F5 1A 2B 3C 4D 5F" ERROR(4391)
ok 15 - expect "DeleteReparsePoint 39581706 43 {92A23BD8-99F5-4FD6-807C-C56F3A063C52}" ERROR(4394)
ok 16 - expect "DeleteReparsePoint 39581706 42 {02A23BD8-99F5-4FD6-807C-C56F3A063C52}" ERROR(4391)
ok 37 - expect "CreateFile 39581706 GENERIC_WRITE 0 0 CREATE_NEW FILE_ATTRIBUTE_NORMAL 0" ERROR_CANT_ACCESS_FILE
ok 38 - expect "CreateFile 39581706 GENERIC_WRITE 0 0 CREATE_NEW FILE_ATTRIBUTE_NORMAL+FILE_FLAG_OPEN_REPARSE_POINT 0" ERROR_FILE_EXISTS</x:v>
      </x:c>
    </x:row>
    <x:row r="112" ht="250" customHeight="1">
      <x:c r="A112" s="10" t="str">
        <x:v>STRICT-20261010-ntfs</x:v>
      </x:c>
      <x:c r="B112" s="10" t="str">
        <x:v>NATIVE-107</x:v>
      </x:c>
      <x:c r="C112" s="10" t="str">
        <x:v>winfstest-reparse/01.t</x:v>
      </x:c>
      <x:c r="D112" s="10" t="str">
        <x:v>winfstest</x:v>
      </x:c>
      <x:c r="E112" s="10" t="str">
        <x:v>NTFS</x:v>
      </x:c>
      <x:c r="F112" s="10" t="str">
        <x:v>不适用</x:v>
      </x:c>
      <x:c r="G112" s="19" t="d">
        <x:v>2026-10-10T00:00:00.000Z</x:v>
      </x:c>
      <x:c r="H112" s="10" t="str">
        <x:v>已通过</x:v>
      </x:c>
      <x:c r="I112" s="21" t="n">
        <x:v>0.31</x:v>
      </x:c>
      <x:c r="J112" s="10" t="str">
        <x:v>JuiceFS 1.3.0 / WinFsp 2.1.25156 / rclone 1.75.0-onemount</x:v>
      </x:c>
      <x:c r="K112" s="10" t="str">
        <x:v>原版全外部；无 FUSE 筛选或名称比较放宽</x:v>
      </x:c>
      <x:c r="L112" s="10" t="str">
        <x:v>63151da049f846e65fb361d1f314df65c2d468a7</x:v>
      </x:c>
      <x:c r="M112" s="10" t="str">
        <x:v>E09 / targets.ntfs.results</x:v>
      </x:c>
      <x:c r="N112" s="10" t="str">
        <x:v>ok 8 - expect "SetReparsePoint 9dc0475a 43 {92A23BD8-99F5-4FD6-807C-C56F3A063C52} A1 B2 C3 D4 F5 1A 2B 3C 4D 5F" ERROR(4394)
ok 9 - expect "SetReparsePoint 9dc0475a 42 {02A23BD8-99F5-4FD6-807C-C56F3A063C52} A1 B2 C3 D4 F5 1A 2B 3C 4D 5F" ERROR(4391)
ok 15 - expect "DeleteReparsePoint 9dc0475a 43 {92A23BD8-99F5-4FD6-807C-C56F3A063C52}" ERROR(4394)
ok 16 - expect "DeleteReparsePoint 9dc0475a 42 {02A23BD8-99F5-4FD6-807C-C56F3A063C52}" ERROR(4391)
ok 23 - expect "SetReparsePoint 9dc0475a 42 {92A23BD8-99F5-4FD6-807C-C56F3A063C52} 1A 2B 3C 4D 5F" ERROR_DIR_NOT_EMPTY
ok 28 - expect "CreateFile 9dc0475a\2 GENERIC_WRITE 0 0 CREATE_NEW FILE_ATTRIBUTE_NORMAL 0" ERROR_CANT_ACCESS_FILE
ok 32 - expect "CreateDirectory 9dc0475a 0" ERROR_ALREADY_EXISTS
ok 33 - expect "CreateFile 9dc0475a GENERIC_WRITE 0 0 CREATE_NEW FILE_ATTRIBUTE_NORMAL 0" ERROR_ACCESS_DENIED</x:v>
      </x:c>
    </x:row>
    <x:row r="113" ht="74" customHeight="1">
      <x:c r="A113" s="11" t="str">
        <x:v>STRICT-20261010-ntfs</x:v>
      </x:c>
      <x:c r="B113" s="11" t="str">
        <x:v>NATIVE-108</x:v>
      </x:c>
      <x:c r="C113" s="11" t="str">
        <x:v>winfstest-reparse/02.t</x:v>
      </x:c>
      <x:c r="D113" s="11" t="str">
        <x:v>winfstest</x:v>
      </x:c>
      <x:c r="E113" s="11" t="str">
        <x:v>NTFS</x:v>
      </x:c>
      <x:c r="F113" s="11" t="str">
        <x:v>不适用</x:v>
      </x:c>
      <x:c r="G113" s="20" t="d">
        <x:v>2026-10-10T00:00:00.000Z</x:v>
      </x:c>
      <x:c r="H113" s="11" t="str">
        <x:v>已通过</x:v>
      </x:c>
      <x:c r="I113" s="22" t="n">
        <x:v>0.254</x:v>
      </x:c>
      <x:c r="J113" s="11" t="str">
        <x:v>JuiceFS 1.3.0 / WinFsp 2.1.25156 / rclone 1.75.0-onemount</x:v>
      </x:c>
      <x:c r="K113" s="11" t="str">
        <x:v>原版全外部；无 FUSE 筛选或名称比较放宽</x:v>
      </x:c>
      <x:c r="L113" s="11" t="str">
        <x:v>63151da049f846e65fb361d1f314df65c2d468a7</x:v>
      </x:c>
      <x:c r="M113" s="11" t="str">
        <x:v>E09 / targets.ntfs.results</x:v>
      </x:c>
      <x:c r="N113" s="11" t="str">
        <x:v>入口结果见原始 JSON；通过不表示任意规模均正确</x:v>
      </x:c>
    </x:row>
    <x:row r="114" ht="106" customHeight="1">
      <x:c r="A114" s="10" t="str">
        <x:v>STRICT-20261010-ntfs</x:v>
      </x:c>
      <x:c r="B114" s="10" t="str">
        <x:v>NATIVE-109</x:v>
      </x:c>
      <x:c r="C114" s="10" t="str">
        <x:v>winfstest-reparse/03.t</x:v>
      </x:c>
      <x:c r="D114" s="10" t="str">
        <x:v>winfstest</x:v>
      </x:c>
      <x:c r="E114" s="10" t="str">
        <x:v>NTFS</x:v>
      </x:c>
      <x:c r="F114" s="10" t="str">
        <x:v>不适用</x:v>
      </x:c>
      <x:c r="G114" s="19" t="d">
        <x:v>2026-10-10T00:00:00.000Z</x:v>
      </x:c>
      <x:c r="H114" s="10" t="str">
        <x:v>已通过</x:v>
      </x:c>
      <x:c r="I114" s="21" t="n">
        <x:v>0.203</x:v>
      </x:c>
      <x:c r="J114" s="10" t="str">
        <x:v>JuiceFS 1.3.0 / WinFsp 2.1.25156 / rclone 1.75.0-onemount</x:v>
      </x:c>
      <x:c r="K114" s="10" t="str">
        <x:v>原版全外部；无 FUSE 筛选或名称比较放宽</x:v>
      </x:c>
      <x:c r="L114" s="10" t="str">
        <x:v>63151da049f846e65fb361d1f314df65c2d468a7</x:v>
      </x:c>
      <x:c r="M114" s="10" t="str">
        <x:v>E09 / targets.ntfs.results</x:v>
      </x:c>
      <x:c r="N114" s="10" t="str">
        <x:v>ok 11 - expect "CreateDirectory afe49f70 0" ERROR_ALREADY_EXISTS
ok 12 - expect "CreateFile afe49f70 GENERIC_WRITE 0 0 CREATE_NEW FILE_ATTRIBUTE_NORMAL 0" ERROR_ACCESS_DENIED
ok 24 - expect "CreateDirectory afe49f70 0" ERROR_ALREADY_EXISTS
ok 25 - expect "CreateFile afe49f70 GENERIC_WRITE 0 0 CREATE_NEW FILE_ATTRIBUTE_NORMAL 0" ERROR_ACCESS_DENIED</x:v>
      </x:c>
    </x:row>
    <x:row r="115" ht="202" customHeight="1">
      <x:c r="A115" s="11" t="str">
        <x:v>STRICT-20261010-ntfs</x:v>
      </x:c>
      <x:c r="B115" s="11" t="str">
        <x:v>NATIVE-110</x:v>
      </x:c>
      <x:c r="C115" s="11" t="str">
        <x:v>winfstest-streams/00.t</x:v>
      </x:c>
      <x:c r="D115" s="11" t="str">
        <x:v>winfstest</x:v>
      </x:c>
      <x:c r="E115" s="11" t="str">
        <x:v>NTFS</x:v>
      </x:c>
      <x:c r="F115" s="11" t="str">
        <x:v>不适用</x:v>
      </x:c>
      <x:c r="G115" s="20" t="d">
        <x:v>2026-10-10T00:00:00.000Z</x:v>
      </x:c>
      <x:c r="H115" s="11" t="str">
        <x:v>已通过</x:v>
      </x:c>
      <x:c r="I115" s="22" t="n">
        <x:v>0.252</x:v>
      </x:c>
      <x:c r="J115" s="11" t="str">
        <x:v>JuiceFS 1.3.0 / WinFsp 2.1.25156 / rclone 1.75.0-onemount</x:v>
      </x:c>
      <x:c r="K115" s="11" t="str">
        <x:v>原版全外部；无 FUSE 筛选或名称比较放宽</x:v>
      </x:c>
      <x:c r="L115" s="11" t="str">
        <x:v>63151da049f846e65fb361d1f314df65c2d468a7</x:v>
      </x:c>
      <x:c r="M115" s="11" t="str">
        <x:v>E09 / targets.ntfs.results</x:v>
      </x:c>
      <x:c r="N115" s="11" t="str">
        <x:v>ok 2 - expect "CreateFile 6ea40d93 GENERIC_WRITE 0 0 CREATE_NEW FILE_ATTRIBUTE_NORMAL 0" ERROR_FILE_EXISTS
ok 3 - expect "CreateFile 6ea40d93:foo GENERIC_WRITE 0 0 CREATE_NEW FILE_ATTRIBUTE_NORMAL 0" ERROR_FILE_EXISTS
ok 8 - expect "DeleteFile 6ea40d93:foo" ERROR_FILE_NOT_FOUND
ok 9 - expect "DeleteFile 6ea40d93" ERROR_FILE_NOT_FOUND
ok 11 - expect "CreateFile 6ea40d93 GENERIC_WRITE 0 0 CREATE_NEW FILE_ATTRIBUTE_NORMAL 0" ERROR_FILE_EXISTS
ok 13 - expect "CreateFile 6ea40d93:foo GENERIC_WRITE 0 0 CREATE_NEW FILE_ATTRIBUTE_NORMAL 0" ERROR_FILE_EXISTS
ok 18 - expect "DeleteFile 6ea40d93:foo" ERROR_FILE_NOT_FOUND
ok 20 - expect "DeleteFile 6ea40d93" ERROR_FILE_NOT_FOUND</x:v>
      </x:c>
    </x:row>
    <x:row r="116" ht="122" customHeight="1">
      <x:c r="A116" s="10" t="str">
        <x:v>STRICT-20261010-ntfs</x:v>
      </x:c>
      <x:c r="B116" s="10" t="str">
        <x:v>NATIVE-111</x:v>
      </x:c>
      <x:c r="C116" s="10" t="str">
        <x:v>winfstest-streams/01.t</x:v>
      </x:c>
      <x:c r="D116" s="10" t="str">
        <x:v>winfstest</x:v>
      </x:c>
      <x:c r="E116" s="10" t="str">
        <x:v>NTFS</x:v>
      </x:c>
      <x:c r="F116" s="10" t="str">
        <x:v>不适用</x:v>
      </x:c>
      <x:c r="G116" s="19" t="d">
        <x:v>2026-10-10T00:00:00.000Z</x:v>
      </x:c>
      <x:c r="H116" s="10" t="str">
        <x:v>已通过</x:v>
      </x:c>
      <x:c r="I116" s="21" t="n">
        <x:v>0.179</x:v>
      </x:c>
      <x:c r="J116" s="10" t="str">
        <x:v>JuiceFS 1.3.0 / WinFsp 2.1.25156 / rclone 1.75.0-onemount</x:v>
      </x:c>
      <x:c r="K116" s="10" t="str">
        <x:v>原版全外部；无 FUSE 筛选或名称比较放宽</x:v>
      </x:c>
      <x:c r="L116" s="10" t="str">
        <x:v>63151da049f846e65fb361d1f314df65c2d468a7</x:v>
      </x:c>
      <x:c r="M116" s="10" t="str">
        <x:v>E09 / targets.ntfs.results</x:v>
      </x:c>
      <x:c r="N116" s="10" t="str">
        <x:v>ok 1 - expect "CreateDirectory ad666277:foo 0" ERROR_DIRECTORY
ok 3 - expect "CreateDirectory ad666277 0" ERROR_ALREADY_EXISTS
ok 5 - expect "CreateFile ad666277:foo GENERIC_WRITE 0 0 CREATE_NEW FILE_ATTRIBUTE_NORMAL 0" ERROR_FILE_EXISTS
ok 9 - expect "RemoveDirectory ad666277:foo" ERROR_DIRECTORY
ok 11 - expect "DeleteFile ad666277:foo" ERROR_FILE_NOT_FOUND
ok 13 - expect "RemoveDirectory ad666277" ERROR_FILE_NOT_FOUND</x:v>
      </x:c>
    </x:row>
    <x:row r="117" ht="138" customHeight="1">
      <x:c r="A117" s="11" t="str">
        <x:v>STRICT-20261010-ntfs</x:v>
      </x:c>
      <x:c r="B117" s="11" t="str">
        <x:v>NATIVE-112</x:v>
      </x:c>
      <x:c r="C117" s="11" t="str">
        <x:v>winfstest-streams/02.t</x:v>
      </x:c>
      <x:c r="D117" s="11" t="str">
        <x:v>winfstest</x:v>
      </x:c>
      <x:c r="E117" s="11" t="str">
        <x:v>NTFS</x:v>
      </x:c>
      <x:c r="F117" s="11" t="str">
        <x:v>不适用</x:v>
      </x:c>
      <x:c r="G117" s="20" t="d">
        <x:v>2026-10-10T00:00:00.000Z</x:v>
      </x:c>
      <x:c r="H117" s="11" t="str">
        <x:v>已通过</x:v>
      </x:c>
      <x:c r="I117" s="22" t="n">
        <x:v>1.027</x:v>
      </x:c>
      <x:c r="J117" s="11" t="str">
        <x:v>JuiceFS 1.3.0 / WinFsp 2.1.25156 / rclone 1.75.0-onemount</x:v>
      </x:c>
      <x:c r="K117" s="11" t="str">
        <x:v>原版全外部；无 FUSE 筛选或名称比较放宽</x:v>
      </x:c>
      <x:c r="L117" s="11" t="str">
        <x:v>63151da049f846e65fb361d1f314df65c2d468a7</x:v>
      </x:c>
      <x:c r="M117" s="11" t="str">
        <x:v>E09 / targets.ntfs.results</x:v>
      </x:c>
      <x:c r="N117" s="11" t="str">
        <x:v>ok 6 - expect "FindStreams c0ce015a" ERROR_FILE_NOT_FOUND
ok 15 - expect "FindStreams c0ce015a" ERROR_FILE_NOT_FOUND
ok 24 - expect "FindStreams c0ce015a" ERROR_FILE_NOT_FOUND
ok 26 - expect "FindStreams c0ce015a" ERROR_HANDLE_EOF
ok 28 - expect "FindStreams c0ce015a" ERROR_FILE_NOT_FOUND
ok 37 - expect "FindStreams c0ce015a" ERROR_FILE_NOT_FOUND
ok 46 - expect "FindStreams c0ce015a" ERROR_FILE_NOT_FOUND
ok 250 - expect "FindStreams c0ce015a" ERROR_FILE_NOT_FOUND</x:v>
      </x:c>
    </x:row>
    <x:row r="118" ht="138" customHeight="1">
      <x:c r="A118" s="10" t="str">
        <x:v>STRICT-20261010-ntfs</x:v>
      </x:c>
      <x:c r="B118" s="10" t="str">
        <x:v>NATIVE-113</x:v>
      </x:c>
      <x:c r="C118" s="10" t="str">
        <x:v>winfstest-streams/03.t</x:v>
      </x:c>
      <x:c r="D118" s="10" t="str">
        <x:v>winfstest</x:v>
      </x:c>
      <x:c r="E118" s="10" t="str">
        <x:v>NTFS</x:v>
      </x:c>
      <x:c r="F118" s="10" t="str">
        <x:v>不适用</x:v>
      </x:c>
      <x:c r="G118" s="19" t="d">
        <x:v>2026-10-10T00:00:00.000Z</x:v>
      </x:c>
      <x:c r="H118" s="10" t="str">
        <x:v>已通过</x:v>
      </x:c>
      <x:c r="I118" s="21" t="n">
        <x:v>0.338</x:v>
      </x:c>
      <x:c r="J118" s="10" t="str">
        <x:v>JuiceFS 1.3.0 / WinFsp 2.1.25156 / rclone 1.75.0-onemount</x:v>
      </x:c>
      <x:c r="K118" s="10" t="str">
        <x:v>原版全外部；无 FUSE 筛选或名称比较放宽</x:v>
      </x:c>
      <x:c r="L118" s="10" t="str">
        <x:v>63151da049f846e65fb361d1f314df65c2d468a7</x:v>
      </x:c>
      <x:c r="M118" s="10" t="str">
        <x:v>E09 / targets.ntfs.results</x:v>
      </x:c>
      <x:c r="N118" s="10" t="str">
        <x:v>ok 12 - expect "CreateFile d845eae7 GENERIC_READ 0 0 OPEN_EXISTING 0 0" ERROR_ACCESS_DENIED
ok 13 - expect "CreateFile d845eae7:strm GENERIC_READ 0 0 OPEN_EXISTING 0 0" ERROR_ACCESS_DENIED
ok 25 - expect "CreateFile d845eae7\foobar:strm GENERIC_READ 0 0 CREATE_NEW 0 0" ERROR_ACCESS_DENIED
ok 30 - expect "DeleteFile d845eae7\foobar:strm" ERROR_ACCESS_DENIED
ok 35 - expect "DeleteFile d845eae7\foobar:strm" ERROR_ACCESS_DENIED</x:v>
      </x:c>
    </x:row>
    <x:row r="119" ht="154" customHeight="1">
      <x:c r="A119" s="11" t="str">
        <x:v>STRICT-20261010-ntfs</x:v>
      </x:c>
      <x:c r="B119" s="11" t="str">
        <x:v>NATIVE-114</x:v>
      </x:c>
      <x:c r="C119" s="11" t="str">
        <x:v>winfstest-streams/04.t</x:v>
      </x:c>
      <x:c r="D119" s="11" t="str">
        <x:v>winfstest</x:v>
      </x:c>
      <x:c r="E119" s="11" t="str">
        <x:v>NTFS</x:v>
      </x:c>
      <x:c r="F119" s="11" t="str">
        <x:v>不适用</x:v>
      </x:c>
      <x:c r="G119" s="20" t="d">
        <x:v>2026-10-10T00:00:00.000Z</x:v>
      </x:c>
      <x:c r="H119" s="11" t="str">
        <x:v>已通过</x:v>
      </x:c>
      <x:c r="I119" s="22" t="n">
        <x:v>0.393</x:v>
      </x:c>
      <x:c r="J119" s="11" t="str">
        <x:v>JuiceFS 1.3.0 / WinFsp 2.1.25156 / rclone 1.75.0-onemount</x:v>
      </x:c>
      <x:c r="K119" s="11" t="str">
        <x:v>原版全外部；无 FUSE 筛选或名称比较放宽</x:v>
      </x:c>
      <x:c r="L119" s="11" t="str">
        <x:v>63151da049f846e65fb361d1f314df65c2d468a7</x:v>
      </x:c>
      <x:c r="M119" s="11" t="str">
        <x:v>E09 / targets.ntfs.results</x:v>
      </x:c>
      <x:c r="N119" s="11" t="str">
        <x:v>ok 15 - expect "CreateFile 9413a491:symstrm GENERIC_WRITE 0 0 OPEN_EXISTING FILE_ATTRIBUTE_NORMAL 0" ERROR_FILE_NOT_FOUND
ok 16 - expect "CreateFile 00443d6a:symstrm GENERIC_WRITE 0 0 OPEN_EXISTING FILE_ATTRIBUTE_NORMAL 0" ERROR_FILE_NOT_FOUND
ok 28 - expect "CreateFile 9413a491:strm GENERIC_WRITE 0 0 CREATE_NEW FILE_ATTRIBUTE_NORMAL 0" ERROR_INVALID_NAME
ok 36 - expect "CreateDirectory 9413a491 0" ERROR_ALREADY_EXISTS
ok 37 - expect "CreateFile 9413a491 GENERIC_WRITE 0 0 CREATE_NEW FILE_ATTRIBUTE_NORMAL 0" ERROR_ACCESS_DENIED</x:v>
      </x:c>
    </x:row>
    <x:row r="120" ht="74" customHeight="1">
      <x:c r="A120" s="10" t="str">
        <x:v>STRICT-20261010-ntfs</x:v>
      </x:c>
      <x:c r="B120" s="10" t="str">
        <x:v>NATIVE-115</x:v>
      </x:c>
      <x:c r="C120" s="10" t="str">
        <x:v>fsx-normal</x:v>
      </x:c>
      <x:c r="D120" s="10" t="str">
        <x:v>fsx</x:v>
      </x:c>
      <x:c r="E120" s="10" t="str">
        <x:v>NTFS</x:v>
      </x:c>
      <x:c r="F120" s="10" t="str">
        <x:v>不适用</x:v>
      </x:c>
      <x:c r="G120" s="19" t="d">
        <x:v>2026-10-10T00:00:00.000Z</x:v>
      </x:c>
      <x:c r="H120" s="10" t="str">
        <x:v>已通过</x:v>
      </x:c>
      <x:c r="I120" s="21" t="n">
        <x:v>3.916</x:v>
      </x:c>
      <x:c r="J120" s="10" t="str">
        <x:v>JuiceFS 1.3.0 / WinFsp 2.1.25156 / rclone 1.75.0-onemount</x:v>
      </x:c>
      <x:c r="K120" s="10" t="str">
        <x:v>原版全外部；无 FUSE 筛选或名称比较放宽</x:v>
      </x:c>
      <x:c r="L120" s="10" t="str">
        <x:v>63151da049f846e65fb361d1f314df65c2d468a7</x:v>
      </x:c>
      <x:c r="M120" s="10" t="str">
        <x:v>E09 / targets.ntfs.results</x:v>
      </x:c>
      <x:c r="N120" s="10" t="str">
        <x:v>入口结果见原始 JSON；通过不表示任意规模均正确</x:v>
      </x:c>
    </x:row>
    <x:row r="121" ht="74" customHeight="1">
      <x:c r="A121" s="11" t="str">
        <x:v>STRICT-20261010-ntfs</x:v>
      </x:c>
      <x:c r="B121" s="11" t="str">
        <x:v>NATIVE-116</x:v>
      </x:c>
      <x:c r="C121" s="11" t="str">
        <x:v>fsx-mixed</x:v>
      </x:c>
      <x:c r="D121" s="11" t="str">
        <x:v>fsx</x:v>
      </x:c>
      <x:c r="E121" s="11" t="str">
        <x:v>NTFS</x:v>
      </x:c>
      <x:c r="F121" s="11" t="str">
        <x:v>不适用</x:v>
      </x:c>
      <x:c r="G121" s="20" t="d">
        <x:v>2026-10-10T00:00:00.000Z</x:v>
      </x:c>
      <x:c r="H121" s="11" t="str">
        <x:v>已通过</x:v>
      </x:c>
      <x:c r="I121" s="22" t="n">
        <x:v>3.701</x:v>
      </x:c>
      <x:c r="J121" s="11" t="str">
        <x:v>JuiceFS 1.3.0 / WinFsp 2.1.25156 / rclone 1.75.0-onemount</x:v>
      </x:c>
      <x:c r="K121" s="11" t="str">
        <x:v>原版全外部；无 FUSE 筛选或名称比较放宽</x:v>
      </x:c>
      <x:c r="L121" s="11" t="str">
        <x:v>63151da049f846e65fb361d1f314df65c2d468a7</x:v>
      </x:c>
      <x:c r="M121" s="11" t="str">
        <x:v>E09 / targets.ntfs.results</x:v>
      </x:c>
      <x:c r="N121" s="11" t="str">
        <x:v>入口结果见原始 JSON；通过不表示任意规模均正确</x:v>
      </x:c>
    </x:row>
    <x:row r="122" ht="74" customHeight="1">
      <x:c r="A122" s="10" t="str">
        <x:v>STRICT-20261010-ntfs</x:v>
      </x:c>
      <x:c r="B122" s="10" t="str">
        <x:v>NATIVE-117</x:v>
      </x:c>
      <x:c r="C122" s="10" t="str">
        <x:v>fsx-stream</x:v>
      </x:c>
      <x:c r="D122" s="10" t="str">
        <x:v>fsx</x:v>
      </x:c>
      <x:c r="E122" s="10" t="str">
        <x:v>NTFS</x:v>
      </x:c>
      <x:c r="F122" s="10" t="str">
        <x:v>不适用</x:v>
      </x:c>
      <x:c r="G122" s="19" t="d">
        <x:v>2026-10-10T00:00:00.000Z</x:v>
      </x:c>
      <x:c r="H122" s="10" t="str">
        <x:v>已通过</x:v>
      </x:c>
      <x:c r="I122" s="21" t="n">
        <x:v>3.955</x:v>
      </x:c>
      <x:c r="J122" s="10" t="str">
        <x:v>JuiceFS 1.3.0 / WinFsp 2.1.25156 / rclone 1.75.0-onemount</x:v>
      </x:c>
      <x:c r="K122" s="10" t="str">
        <x:v>原版全外部；无 FUSE 筛选或名称比较放宽</x:v>
      </x:c>
      <x:c r="L122" s="10" t="str">
        <x:v>63151da049f846e65fb361d1f314df65c2d468a7</x:v>
      </x:c>
      <x:c r="M122" s="10" t="str">
        <x:v>E09 / targets.ntfs.results</x:v>
      </x:c>
      <x:c r="N122" s="10" t="str">
        <x:v>入口结果见原始 JSON；通过不表示任意规模均正确</x:v>
      </x:c>
    </x:row>
    <x:row r="123" ht="74" customHeight="1">
      <x:c r="A123" s="11" t="str">
        <x:v>STRICT-20261010-direct</x:v>
      </x:c>
      <x:c r="B123" s="11" t="str">
        <x:v>NATIVE-001</x:v>
      </x:c>
      <x:c r="C123" s="11" t="str">
        <x:v>create_test</x:v>
      </x:c>
      <x:c r="D123" s="11" t="str">
        <x:v>winfsp-tests</x:v>
      </x:c>
      <x:c r="E123" s="11" t="str">
        <x:v>本地</x:v>
      </x:c>
      <x:c r="F123" s="11" t="str">
        <x:v>不适用</x:v>
      </x:c>
      <x:c r="G123" s="20" t="d">
        <x:v>2026-10-10T00:00:00.000Z</x:v>
      </x:c>
      <x:c r="H123" s="11" t="str">
        <x:v>已失败</x:v>
      </x:c>
      <x:c r="I123" s="22" t="n">
        <x:v>0.346</x:v>
      </x:c>
      <x:c r="J123" s="11" t="str">
        <x:v>JuiceFS 1.3.0 / WinFsp 2.1.25156 / rclone 1.75.0-onemount</x:v>
      </x:c>
      <x:c r="K123" s="11" t="str">
        <x:v>原版全外部；无 FUSE 筛选或名称比较放宽</x:v>
      </x:c>
      <x:c r="L123" s="11" t="str">
        <x:v>63151da049f846e65fb361d1f314df65c2d468a7</x:v>
      </x:c>
      <x:c r="M123" s="11" t="str">
        <x:v>E09 / targets.direct.results</x:v>
      </x:c>
      <x:c r="N123" s="11" t="str">
        <x:v>    ASSERT(!Success) failed at create-test.c:125:create_dotest (err=c0000033:123)</x:v>
      </x:c>
    </x:row>
    <x:row r="124" ht="74" customHeight="1">
      <x:c r="A124" s="10" t="str">
        <x:v>STRICT-20261010-direct</x:v>
      </x:c>
      <x:c r="B124" s="10" t="str">
        <x:v>NATIVE-002</x:v>
      </x:c>
      <x:c r="C124" s="10" t="str">
        <x:v>create_fileattr_test</x:v>
      </x:c>
      <x:c r="D124" s="10" t="str">
        <x:v>winfsp-tests</x:v>
      </x:c>
      <x:c r="E124" s="10" t="str">
        <x:v>本地</x:v>
      </x:c>
      <x:c r="F124" s="10" t="str">
        <x:v>不适用</x:v>
      </x:c>
      <x:c r="G124" s="19" t="d">
        <x:v>2026-10-10T00:00:00.000Z</x:v>
      </x:c>
      <x:c r="H124" s="10" t="str">
        <x:v>已失败</x:v>
      </x:c>
      <x:c r="I124" s="21" t="n">
        <x:v>0.16</x:v>
      </x:c>
      <x:c r="J124" s="10" t="str">
        <x:v>JuiceFS 1.3.0 / WinFsp 2.1.25156 / rclone 1.75.0-onemount</x:v>
      </x:c>
      <x:c r="K124" s="10" t="str">
        <x:v>原版全外部；无 FUSE 筛选或名称比较放宽</x:v>
      </x:c>
      <x:c r="L124" s="10" t="str">
        <x:v>63151da049f846e65fb361d1f314df65c2d468a7</x:v>
      </x:c>
      <x:c r="M124" s="10" t="str">
        <x:v>E09 / targets.direct.results</x:v>
      </x:c>
      <x:c r="N124" s="10" t="str">
        <x:v>    ASSERT(FILE_ATTRIBUTE_ARCHIVE == FileAttributes) failed at create-test.c:257:create_fileattr_dotest (err=0:0)</x:v>
      </x:c>
    </x:row>
    <x:row r="125" ht="74" customHeight="1">
      <x:c r="A125" s="11" t="str">
        <x:v>STRICT-20261010-direct</x:v>
      </x:c>
      <x:c r="B125" s="11" t="str">
        <x:v>NATIVE-003</x:v>
      </x:c>
      <x:c r="C125" s="11" t="str">
        <x:v>create_readonlydir_test</x:v>
      </x:c>
      <x:c r="D125" s="11" t="str">
        <x:v>winfsp-tests</x:v>
      </x:c>
      <x:c r="E125" s="11" t="str">
        <x:v>本地</x:v>
      </x:c>
      <x:c r="F125" s="11" t="str">
        <x:v>不适用</x:v>
      </x:c>
      <x:c r="G125" s="20" t="d">
        <x:v>2026-10-10T00:00:00.000Z</x:v>
      </x:c>
      <x:c r="H125" s="11" t="str">
        <x:v>已失败</x:v>
      </x:c>
      <x:c r="I125" s="22" t="n">
        <x:v>0.157</x:v>
      </x:c>
      <x:c r="J125" s="11" t="str">
        <x:v>JuiceFS 1.3.0 / WinFsp 2.1.25156 / rclone 1.75.0-onemount</x:v>
      </x:c>
      <x:c r="K125" s="11" t="str">
        <x:v>原版全外部；无 FUSE 筛选或名称比较放宽</x:v>
      </x:c>
      <x:c r="L125" s="11" t="str">
        <x:v>63151da049f846e65fb361d1f314df65c2d468a7</x:v>
      </x:c>
      <x:c r="M125" s="11" t="str">
        <x:v>E09 / targets.direct.results</x:v>
      </x:c>
      <x:c r="N125" s="11" t="str">
        <x:v>    ASSERT((FILE_ATTRIBUTE_DIRECTORY | FILE_ATTRIBUTE_READONLY) == FileAttributes) failed at create-test.c:377:create_readonlydir_dotest (err=0:0)</x:v>
      </x:c>
    </x:row>
    <x:row r="126" ht="74" customHeight="1">
      <x:c r="A126" s="10" t="str">
        <x:v>STRICT-20261010-direct</x:v>
      </x:c>
      <x:c r="B126" s="10" t="str">
        <x:v>NATIVE-004</x:v>
      </x:c>
      <x:c r="C126" s="10" t="str">
        <x:v>create_related_test</x:v>
      </x:c>
      <x:c r="D126" s="10" t="str">
        <x:v>winfsp-tests</x:v>
      </x:c>
      <x:c r="E126" s="10" t="str">
        <x:v>本地</x:v>
      </x:c>
      <x:c r="F126" s="10" t="str">
        <x:v>不适用</x:v>
      </x:c>
      <x:c r="G126" s="19" t="d">
        <x:v>2026-10-10T00:00:00.000Z</x:v>
      </x:c>
      <x:c r="H126" s="10" t="str">
        <x:v>已通过</x:v>
      </x:c>
      <x:c r="I126" s="21" t="n">
        <x:v>0.108</x:v>
      </x:c>
      <x:c r="J126" s="10" t="str">
        <x:v>JuiceFS 1.3.0 / WinFsp 2.1.25156 / rclone 1.75.0-onemount</x:v>
      </x:c>
      <x:c r="K126" s="10" t="str">
        <x:v>原版全外部；无 FUSE 筛选或名称比较放宽</x:v>
      </x:c>
      <x:c r="L126" s="10" t="str">
        <x:v>63151da049f846e65fb361d1f314df65c2d468a7</x:v>
      </x:c>
      <x:c r="M126" s="10" t="str">
        <x:v>E09 / targets.direct.results</x:v>
      </x:c>
      <x:c r="N126" s="10" t="str">
        <x:v>入口结果见原始 JSON；通过不表示任意规模均正确</x:v>
      </x:c>
    </x:row>
    <x:row r="127" ht="74" customHeight="1">
      <x:c r="A127" s="11" t="str">
        <x:v>STRICT-20261010-direct</x:v>
      </x:c>
      <x:c r="B127" s="11" t="str">
        <x:v>NATIVE-005</x:v>
      </x:c>
      <x:c r="C127" s="11" t="str">
        <x:v>create_allocation_test</x:v>
      </x:c>
      <x:c r="D127" s="11" t="str">
        <x:v>winfsp-tests</x:v>
      </x:c>
      <x:c r="E127" s="11" t="str">
        <x:v>本地</x:v>
      </x:c>
      <x:c r="F127" s="11" t="str">
        <x:v>不适用</x:v>
      </x:c>
      <x:c r="G127" s="20" t="d">
        <x:v>2026-10-10T00:00:00.000Z</x:v>
      </x:c>
      <x:c r="H127" s="11" t="str">
        <x:v>已失败</x:v>
      </x:c>
      <x:c r="I127" s="22" t="n">
        <x:v>0.152</x:v>
      </x:c>
      <x:c r="J127" s="11" t="str">
        <x:v>JuiceFS 1.3.0 / WinFsp 2.1.25156 / rclone 1.75.0-onemount</x:v>
      </x:c>
      <x:c r="K127" s="11" t="str">
        <x:v>原版全外部；无 FUSE 筛选或名称比较放宽</x:v>
      </x:c>
      <x:c r="L127" s="11" t="str">
        <x:v>63151da049f846e65fb361d1f314df65c2d468a7</x:v>
      </x:c>
      <x:c r="M127" s="11" t="str">
        <x:v>E09 / targets.direct.results</x:v>
      </x:c>
      <x:c r="N127" s="11" t="str">
        <x:v>    ASSERT(65536 == StandardInfo.AllocationSize.QuadPart) failed at create-test.c:518:create_allocation_dotest (err=0:0)</x:v>
      </x:c>
    </x:row>
    <x:row r="128" ht="74" customHeight="1">
      <x:c r="A128" s="10" t="str">
        <x:v>STRICT-20261010-direct</x:v>
      </x:c>
      <x:c r="B128" s="10" t="str">
        <x:v>NATIVE-006</x:v>
      </x:c>
      <x:c r="C128" s="10" t="str">
        <x:v>create_sd_test</x:v>
      </x:c>
      <x:c r="D128" s="10" t="str">
        <x:v>winfsp-tests</x:v>
      </x:c>
      <x:c r="E128" s="10" t="str">
        <x:v>本地</x:v>
      </x:c>
      <x:c r="F128" s="10" t="str">
        <x:v>不适用</x:v>
      </x:c>
      <x:c r="G128" s="19" t="d">
        <x:v>2026-10-10T00:00:00.000Z</x:v>
      </x:c>
      <x:c r="H128" s="10" t="str">
        <x:v>已通过</x:v>
      </x:c>
      <x:c r="I128" s="21" t="n">
        <x:v>0.11</x:v>
      </x:c>
      <x:c r="J128" s="10" t="str">
        <x:v>JuiceFS 1.3.0 / WinFsp 2.1.25156 / rclone 1.75.0-onemount</x:v>
      </x:c>
      <x:c r="K128" s="10" t="str">
        <x:v>原版全外部；无 FUSE 筛选或名称比较放宽</x:v>
      </x:c>
      <x:c r="L128" s="10" t="str">
        <x:v>63151da049f846e65fb361d1f314df65c2d468a7</x:v>
      </x:c>
      <x:c r="M128" s="10" t="str">
        <x:v>E09 / targets.direct.results</x:v>
      </x:c>
      <x:c r="N128" s="10" t="str">
        <x:v>入口结果见原始 JSON；通过不表示任意规模均正确</x:v>
      </x:c>
    </x:row>
    <x:row r="129" ht="74" customHeight="1">
      <x:c r="A129" s="11" t="str">
        <x:v>STRICT-20261010-direct</x:v>
      </x:c>
      <x:c r="B129" s="11" t="str">
        <x:v>NATIVE-007</x:v>
      </x:c>
      <x:c r="C129" s="11" t="str">
        <x:v>create_notraverse_test</x:v>
      </x:c>
      <x:c r="D129" s="11" t="str">
        <x:v>winfsp-tests</x:v>
      </x:c>
      <x:c r="E129" s="11" t="str">
        <x:v>本地</x:v>
      </x:c>
      <x:c r="F129" s="11" t="str">
        <x:v>不适用</x:v>
      </x:c>
      <x:c r="G129" s="20" t="d">
        <x:v>2026-10-10T00:00:00.000Z</x:v>
      </x:c>
      <x:c r="H129" s="11" t="str">
        <x:v>已失败</x:v>
      </x:c>
      <x:c r="I129" s="22" t="n">
        <x:v>0.163</x:v>
      </x:c>
      <x:c r="J129" s="11" t="str">
        <x:v>JuiceFS 1.3.0 / WinFsp 2.1.25156 / rclone 1.75.0-onemount</x:v>
      </x:c>
      <x:c r="K129" s="11" t="str">
        <x:v>原版全外部；无 FUSE 筛选或名称比较放宽</x:v>
      </x:c>
      <x:c r="L129" s="11" t="str">
        <x:v>63151da049f846e65fb361d1f314df65c2d468a7</x:v>
      </x:c>
      <x:c r="M129" s="11" t="str">
        <x:v>E09 / targets.direct.results</x:v>
      </x:c>
      <x:c r="N129" s="11" t="str">
        <x:v>    ASSERT(!Success) failed at create-test.c:765:create_notraverse_dotest (err=0:0)</x:v>
      </x:c>
    </x:row>
    <x:row r="130" ht="74" customHeight="1">
      <x:c r="A130" s="10" t="str">
        <x:v>STRICT-20261010-direct</x:v>
      </x:c>
      <x:c r="B130" s="10" t="str">
        <x:v>NATIVE-008</x:v>
      </x:c>
      <x:c r="C130" s="10" t="str">
        <x:v>create_backup_test</x:v>
      </x:c>
      <x:c r="D130" s="10" t="str">
        <x:v>winfsp-tests</x:v>
      </x:c>
      <x:c r="E130" s="10" t="str">
        <x:v>本地</x:v>
      </x:c>
      <x:c r="F130" s="10" t="str">
        <x:v>不适用</x:v>
      </x:c>
      <x:c r="G130" s="19" t="d">
        <x:v>2026-10-10T00:00:00.000Z</x:v>
      </x:c>
      <x:c r="H130" s="10" t="str">
        <x:v>已失败</x:v>
      </x:c>
      <x:c r="I130" s="21" t="n">
        <x:v>0.159</x:v>
      </x:c>
      <x:c r="J130" s="10" t="str">
        <x:v>JuiceFS 1.3.0 / WinFsp 2.1.25156 / rclone 1.75.0-onemount</x:v>
      </x:c>
      <x:c r="K130" s="10" t="str">
        <x:v>原版全外部；无 FUSE 筛选或名称比较放宽</x:v>
      </x:c>
      <x:c r="L130" s="10" t="str">
        <x:v>63151da049f846e65fb361d1f314df65c2d468a7</x:v>
      </x:c>
      <x:c r="M130" s="10" t="str">
        <x:v>E09 / targets.direct.results</x:v>
      </x:c>
      <x:c r="N130" s="10" t="str">
        <x:v>    ASSERT(INVALID_HANDLE_VALUE == Handle) failed at create-test.c:896:create_backup_dotest (err=c0000034:0)</x:v>
      </x:c>
    </x:row>
    <x:row r="131" ht="74" customHeight="1">
      <x:c r="A131" s="11" t="str">
        <x:v>STRICT-20261010-direct</x:v>
      </x:c>
      <x:c r="B131" s="11" t="str">
        <x:v>NATIVE-009</x:v>
      </x:c>
      <x:c r="C131" s="11" t="str">
        <x:v>create_restore_test</x:v>
      </x:c>
      <x:c r="D131" s="11" t="str">
        <x:v>winfsp-tests</x:v>
      </x:c>
      <x:c r="E131" s="11" t="str">
        <x:v>本地</x:v>
      </x:c>
      <x:c r="F131" s="11" t="str">
        <x:v>不适用</x:v>
      </x:c>
      <x:c r="G131" s="20" t="d">
        <x:v>2026-10-10T00:00:00.000Z</x:v>
      </x:c>
      <x:c r="H131" s="11" t="str">
        <x:v>已失败</x:v>
      </x:c>
      <x:c r="I131" s="22" t="n">
        <x:v>0.155</x:v>
      </x:c>
      <x:c r="J131" s="11" t="str">
        <x:v>JuiceFS 1.3.0 / WinFsp 2.1.25156 / rclone 1.75.0-onemount</x:v>
      </x:c>
      <x:c r="K131" s="11" t="str">
        <x:v>原版全外部；无 FUSE 筛选或名称比较放宽</x:v>
      </x:c>
      <x:c r="L131" s="11" t="str">
        <x:v>63151da049f846e65fb361d1f314df65c2d468a7</x:v>
      </x:c>
      <x:c r="M131" s="11" t="str">
        <x:v>E09 / targets.direct.results</x:v>
      </x:c>
      <x:c r="N131" s="11" t="str">
        <x:v>    ASSERT(INVALID_HANDLE_VALUE == Handle) failed at create-test.c:1010:create_restore_dotest (err=c0000034:0)</x:v>
      </x:c>
    </x:row>
    <x:row r="132" ht="74" customHeight="1">
      <x:c r="A132" s="10" t="str">
        <x:v>STRICT-20261010-direct</x:v>
      </x:c>
      <x:c r="B132" s="10" t="str">
        <x:v>NATIVE-010</x:v>
      </x:c>
      <x:c r="C132" s="10" t="str">
        <x:v>create_share_test</x:v>
      </x:c>
      <x:c r="D132" s="10" t="str">
        <x:v>winfsp-tests</x:v>
      </x:c>
      <x:c r="E132" s="10" t="str">
        <x:v>本地</x:v>
      </x:c>
      <x:c r="F132" s="10" t="str">
        <x:v>不适用</x:v>
      </x:c>
      <x:c r="G132" s="19" t="d">
        <x:v>2026-10-10T00:00:00.000Z</x:v>
      </x:c>
      <x:c r="H132" s="10" t="str">
        <x:v>已通过</x:v>
      </x:c>
      <x:c r="I132" s="21" t="n">
        <x:v>0.106</x:v>
      </x:c>
      <x:c r="J132" s="10" t="str">
        <x:v>JuiceFS 1.3.0 / WinFsp 2.1.25156 / rclone 1.75.0-onemount</x:v>
      </x:c>
      <x:c r="K132" s="10" t="str">
        <x:v>原版全外部；无 FUSE 筛选或名称比较放宽</x:v>
      </x:c>
      <x:c r="L132" s="10" t="str">
        <x:v>63151da049f846e65fb361d1f314df65c2d468a7</x:v>
      </x:c>
      <x:c r="M132" s="10" t="str">
        <x:v>E09 / targets.direct.results</x:v>
      </x:c>
      <x:c r="N132" s="10" t="str">
        <x:v>入口结果见原始 JSON；通过不表示任意规模均正确</x:v>
      </x:c>
    </x:row>
    <x:row r="133" ht="74" customHeight="1">
      <x:c r="A133" s="11" t="str">
        <x:v>STRICT-20261010-direct</x:v>
      </x:c>
      <x:c r="B133" s="11" t="str">
        <x:v>NATIVE-011</x:v>
      </x:c>
      <x:c r="C133" s="11" t="str">
        <x:v>create_curdir_test</x:v>
      </x:c>
      <x:c r="D133" s="11" t="str">
        <x:v>winfsp-tests</x:v>
      </x:c>
      <x:c r="E133" s="11" t="str">
        <x:v>本地</x:v>
      </x:c>
      <x:c r="F133" s="11" t="str">
        <x:v>不适用</x:v>
      </x:c>
      <x:c r="G133" s="20" t="d">
        <x:v>2026-10-10T00:00:00.000Z</x:v>
      </x:c>
      <x:c r="H133" s="11" t="str">
        <x:v>已通过</x:v>
      </x:c>
      <x:c r="I133" s="22" t="n">
        <x:v>0.103</x:v>
      </x:c>
      <x:c r="J133" s="11" t="str">
        <x:v>JuiceFS 1.3.0 / WinFsp 2.1.25156 / rclone 1.75.0-onemount</x:v>
      </x:c>
      <x:c r="K133" s="11" t="str">
        <x:v>原版全外部；无 FUSE 筛选或名称比较放宽</x:v>
      </x:c>
      <x:c r="L133" s="11" t="str">
        <x:v>63151da049f846e65fb361d1f314df65c2d468a7</x:v>
      </x:c>
      <x:c r="M133" s="11" t="str">
        <x:v>E09 / targets.direct.results</x:v>
      </x:c>
      <x:c r="N133" s="11" t="str">
        <x:v>入口结果见原始 JSON；通过不表示任意规模均正确</x:v>
      </x:c>
    </x:row>
    <x:row r="134" ht="74" customHeight="1">
      <x:c r="A134" s="10" t="str">
        <x:v>STRICT-20261010-direct</x:v>
      </x:c>
      <x:c r="B134" s="10" t="str">
        <x:v>NATIVE-012</x:v>
      </x:c>
      <x:c r="C134" s="10" t="str">
        <x:v>create_namelen_test</x:v>
      </x:c>
      <x:c r="D134" s="10" t="str">
        <x:v>winfsp-tests</x:v>
      </x:c>
      <x:c r="E134" s="10" t="str">
        <x:v>本地</x:v>
      </x:c>
      <x:c r="F134" s="10" t="str">
        <x:v>不适用</x:v>
      </x:c>
      <x:c r="G134" s="19" t="d">
        <x:v>2026-10-10T00:00:00.000Z</x:v>
      </x:c>
      <x:c r="H134" s="10" t="str">
        <x:v>已通过</x:v>
      </x:c>
      <x:c r="I134" s="21" t="n">
        <x:v>0.121</x:v>
      </x:c>
      <x:c r="J134" s="10" t="str">
        <x:v>JuiceFS 1.3.0 / WinFsp 2.1.25156 / rclone 1.75.0-onemount</x:v>
      </x:c>
      <x:c r="K134" s="10" t="str">
        <x:v>原版全外部；无 FUSE 筛选或名称比较放宽</x:v>
      </x:c>
      <x:c r="L134" s="10" t="str">
        <x:v>63151da049f846e65fb361d1f314df65c2d468a7</x:v>
      </x:c>
      <x:c r="M134" s="10" t="str">
        <x:v>E09 / targets.direct.results</x:v>
      </x:c>
      <x:c r="N134" s="10" t="str">
        <x:v>入口结果见原始 JSON；通过不表示任意规模均正确</x:v>
      </x:c>
    </x:row>
    <x:row r="135" ht="74" customHeight="1">
      <x:c r="A135" s="11" t="str">
        <x:v>STRICT-20261010-direct</x:v>
      </x:c>
      <x:c r="B135" s="11" t="str">
        <x:v>NATIVE-013</x:v>
      </x:c>
      <x:c r="C135" s="11" t="str">
        <x:v>getfileattr_test</x:v>
      </x:c>
      <x:c r="D135" s="11" t="str">
        <x:v>winfsp-tests</x:v>
      </x:c>
      <x:c r="E135" s="11" t="str">
        <x:v>本地</x:v>
      </x:c>
      <x:c r="F135" s="11" t="str">
        <x:v>不适用</x:v>
      </x:c>
      <x:c r="G135" s="20" t="d">
        <x:v>2026-10-10T00:00:00.000Z</x:v>
      </x:c>
      <x:c r="H135" s="11" t="str">
        <x:v>已失败</x:v>
      </x:c>
      <x:c r="I135" s="22" t="n">
        <x:v>0.164</x:v>
      </x:c>
      <x:c r="J135" s="11" t="str">
        <x:v>JuiceFS 1.3.0 / WinFsp 2.1.25156 / rclone 1.75.0-onemount</x:v>
      </x:c>
      <x:c r="K135" s="11" t="str">
        <x:v>原版全外部；无 FUSE 筛选或名称比较放宽</x:v>
      </x:c>
      <x:c r="L135" s="11" t="str">
        <x:v>63151da049f846e65fb361d1f314df65c2d468a7</x:v>
      </x:c>
      <x:c r="M135" s="11" t="str">
        <x:v>E09 / targets.direct.results</x:v>
      </x:c>
      <x:c r="N135" s="11" t="str">
        <x:v>    ASSERT(INVALID_FILE_ATTRIBUTES == FileAttributes) failed at info-test.c:88:getfileattr_dotest (err=c0000034:0)</x:v>
      </x:c>
    </x:row>
    <x:row r="136" ht="74" customHeight="1">
      <x:c r="A136" s="10" t="str">
        <x:v>STRICT-20261010-direct</x:v>
      </x:c>
      <x:c r="B136" s="10" t="str">
        <x:v>NATIVE-014</x:v>
      </x:c>
      <x:c r="C136" s="10" t="str">
        <x:v>getfileinfo_test</x:v>
      </x:c>
      <x:c r="D136" s="10" t="str">
        <x:v>winfsp-tests</x:v>
      </x:c>
      <x:c r="E136" s="10" t="str">
        <x:v>本地</x:v>
      </x:c>
      <x:c r="F136" s="10" t="str">
        <x:v>不适用</x:v>
      </x:c>
      <x:c r="G136" s="19" t="d">
        <x:v>2026-10-10T00:00:00.000Z</x:v>
      </x:c>
      <x:c r="H136" s="10" t="str">
        <x:v>已通过</x:v>
      </x:c>
      <x:c r="I136" s="21" t="n">
        <x:v>0.1</x:v>
      </x:c>
      <x:c r="J136" s="10" t="str">
        <x:v>JuiceFS 1.3.0 / WinFsp 2.1.25156 / rclone 1.75.0-onemount</x:v>
      </x:c>
      <x:c r="K136" s="10" t="str">
        <x:v>原版全外部；无 FUSE 筛选或名称比较放宽</x:v>
      </x:c>
      <x:c r="L136" s="10" t="str">
        <x:v>63151da049f846e65fb361d1f314df65c2d468a7</x:v>
      </x:c>
      <x:c r="M136" s="10" t="str">
        <x:v>E09 / targets.direct.results</x:v>
      </x:c>
      <x:c r="N136" s="10" t="str">
        <x:v>入口结果见原始 JSON；通过不表示任意规模均正确</x:v>
      </x:c>
    </x:row>
    <x:row r="137" ht="74" customHeight="1">
      <x:c r="A137" s="11" t="str">
        <x:v>STRICT-20261010-direct</x:v>
      </x:c>
      <x:c r="B137" s="11" t="str">
        <x:v>NATIVE-015</x:v>
      </x:c>
      <x:c r="C137" s="11" t="str">
        <x:v>getfileinfo_name_test</x:v>
      </x:c>
      <x:c r="D137" s="11" t="str">
        <x:v>winfsp-tests</x:v>
      </x:c>
      <x:c r="E137" s="11" t="str">
        <x:v>本地</x:v>
      </x:c>
      <x:c r="F137" s="11" t="str">
        <x:v>不适用</x:v>
      </x:c>
      <x:c r="G137" s="20" t="d">
        <x:v>2026-10-10T00:00:00.000Z</x:v>
      </x:c>
      <x:c r="H137" s="11" t="str">
        <x:v>已通过</x:v>
      </x:c>
      <x:c r="I137" s="22" t="n">
        <x:v>0.103</x:v>
      </x:c>
      <x:c r="J137" s="11" t="str">
        <x:v>JuiceFS 1.3.0 / WinFsp 2.1.25156 / rclone 1.75.0-onemount</x:v>
      </x:c>
      <x:c r="K137" s="11" t="str">
        <x:v>原版全外部；无 FUSE 筛选或名称比较放宽</x:v>
      </x:c>
      <x:c r="L137" s="11" t="str">
        <x:v>63151da049f846e65fb361d1f314df65c2d468a7</x:v>
      </x:c>
      <x:c r="M137" s="11" t="str">
        <x:v>E09 / targets.direct.results</x:v>
      </x:c>
      <x:c r="N137" s="11" t="str">
        <x:v>入口结果见原始 JSON；通过不表示任意规模均正确</x:v>
      </x:c>
    </x:row>
    <x:row r="138" ht="74" customHeight="1">
      <x:c r="A138" s="10" t="str">
        <x:v>STRICT-20261010-direct</x:v>
      </x:c>
      <x:c r="B138" s="10" t="str">
        <x:v>NATIVE-016</x:v>
      </x:c>
      <x:c r="C138" s="10" t="str">
        <x:v>setfileinfo_test</x:v>
      </x:c>
      <x:c r="D138" s="10" t="str">
        <x:v>winfsp-tests</x:v>
      </x:c>
      <x:c r="E138" s="10" t="str">
        <x:v>本地</x:v>
      </x:c>
      <x:c r="F138" s="10" t="str">
        <x:v>不适用</x:v>
      </x:c>
      <x:c r="G138" s="19" t="d">
        <x:v>2026-10-10T00:00:00.000Z</x:v>
      </x:c>
      <x:c r="H138" s="10" t="str">
        <x:v>已失败</x:v>
      </x:c>
      <x:c r="I138" s="21" t="n">
        <x:v>0.161</x:v>
      </x:c>
      <x:c r="J138" s="10" t="str">
        <x:v>JuiceFS 1.3.0 / WinFsp 2.1.25156 / rclone 1.75.0-onemount</x:v>
      </x:c>
      <x:c r="K138" s="10" t="str">
        <x:v>原版全外部；无 FUSE 筛选或名称比较放宽</x:v>
      </x:c>
      <x:c r="L138" s="10" t="str">
        <x:v>63151da049f846e65fb361d1f314df65c2d468a7</x:v>
      </x:c>
      <x:c r="M138" s="10" t="str">
        <x:v>E09 / targets.direct.results</x:v>
      </x:c>
      <x:c r="N138" s="10" t="str">
        <x:v>    ASSERT(FILE_ATTRIBUTE_HIDDEN == FileInfo.dwFileAttributes) failed at info-test.c:430:setfileinfo_dotest (err=0:0)</x:v>
      </x:c>
    </x:row>
    <x:row r="139" ht="74" customHeight="1">
      <x:c r="A139" s="11" t="str">
        <x:v>STRICT-20261010-direct</x:v>
      </x:c>
      <x:c r="B139" s="11" t="str">
        <x:v>NATIVE-017</x:v>
      </x:c>
      <x:c r="C139" s="11" t="str">
        <x:v>delete_test</x:v>
      </x:c>
      <x:c r="D139" s="11" t="str">
        <x:v>winfsp-tests</x:v>
      </x:c>
      <x:c r="E139" s="11" t="str">
        <x:v>本地</x:v>
      </x:c>
      <x:c r="F139" s="11" t="str">
        <x:v>不适用</x:v>
      </x:c>
      <x:c r="G139" s="20" t="d">
        <x:v>2026-10-10T00:00:00.000Z</x:v>
      </x:c>
      <x:c r="H139" s="11" t="str">
        <x:v>已通过</x:v>
      </x:c>
      <x:c r="I139" s="22" t="n">
        <x:v>0.105</x:v>
      </x:c>
      <x:c r="J139" s="11" t="str">
        <x:v>JuiceFS 1.3.0 / WinFsp 2.1.25156 / rclone 1.75.0-onemount</x:v>
      </x:c>
      <x:c r="K139" s="11" t="str">
        <x:v>原版全外部；无 FUSE 筛选或名称比较放宽</x:v>
      </x:c>
      <x:c r="L139" s="11" t="str">
        <x:v>63151da049f846e65fb361d1f314df65c2d468a7</x:v>
      </x:c>
      <x:c r="M139" s="11" t="str">
        <x:v>E09 / targets.direct.results</x:v>
      </x:c>
      <x:c r="N139" s="11" t="str">
        <x:v>入口结果见原始 JSON；通过不表示任意规模均正确</x:v>
      </x:c>
    </x:row>
    <x:row r="140" ht="74" customHeight="1">
      <x:c r="A140" s="10" t="str">
        <x:v>STRICT-20261010-direct</x:v>
      </x:c>
      <x:c r="B140" s="10" t="str">
        <x:v>NATIVE-018</x:v>
      </x:c>
      <x:c r="C140" s="10" t="str">
        <x:v>delete_access_test</x:v>
      </x:c>
      <x:c r="D140" s="10" t="str">
        <x:v>winfsp-tests</x:v>
      </x:c>
      <x:c r="E140" s="10" t="str">
        <x:v>本地</x:v>
      </x:c>
      <x:c r="F140" s="10" t="str">
        <x:v>不适用</x:v>
      </x:c>
      <x:c r="G140" s="19" t="d">
        <x:v>2026-10-10T00:00:00.000Z</x:v>
      </x:c>
      <x:c r="H140" s="10" t="str">
        <x:v>已失败</x:v>
      </x:c>
      <x:c r="I140" s="21" t="n">
        <x:v>0.153</x:v>
      </x:c>
      <x:c r="J140" s="10" t="str">
        <x:v>JuiceFS 1.3.0 / WinFsp 2.1.25156 / rclone 1.75.0-onemount</x:v>
      </x:c>
      <x:c r="K140" s="10" t="str">
        <x:v>原版全外部；无 FUSE 筛选或名称比较放宽</x:v>
      </x:c>
      <x:c r="L140" s="10" t="str">
        <x:v>63151da049f846e65fb361d1f314df65c2d468a7</x:v>
      </x:c>
      <x:c r="M140" s="10" t="str">
        <x:v>E09 / targets.direct.results</x:v>
      </x:c>
      <x:c r="N140" s="10" t="str">
        <x:v>    ASSERT(!Success) failed at info-test.c:568:delete_access_dotest (err=c0000034:0)</x:v>
      </x:c>
    </x:row>
    <x:row r="141" ht="74" customHeight="1">
      <x:c r="A141" s="11" t="str">
        <x:v>STRICT-20261010-direct</x:v>
      </x:c>
      <x:c r="B141" s="11" t="str">
        <x:v>NATIVE-019</x:v>
      </x:c>
      <x:c r="C141" s="11" t="str">
        <x:v>delete_pending_test</x:v>
      </x:c>
      <x:c r="D141" s="11" t="str">
        <x:v>winfsp-tests</x:v>
      </x:c>
      <x:c r="E141" s="11" t="str">
        <x:v>本地</x:v>
      </x:c>
      <x:c r="F141" s="11" t="str">
        <x:v>不适用</x:v>
      </x:c>
      <x:c r="G141" s="20" t="d">
        <x:v>2026-10-10T00:00:00.000Z</x:v>
      </x:c>
      <x:c r="H141" s="11" t="str">
        <x:v>已通过</x:v>
      </x:c>
      <x:c r="I141" s="22" t="n">
        <x:v>0.104</x:v>
      </x:c>
      <x:c r="J141" s="11" t="str">
        <x:v>JuiceFS 1.3.0 / WinFsp 2.1.25156 / rclone 1.75.0-onemount</x:v>
      </x:c>
      <x:c r="K141" s="11" t="str">
        <x:v>原版全外部；无 FUSE 筛选或名称比较放宽</x:v>
      </x:c>
      <x:c r="L141" s="11" t="str">
        <x:v>63151da049f846e65fb361d1f314df65c2d468a7</x:v>
      </x:c>
      <x:c r="M141" s="11" t="str">
        <x:v>E09 / targets.direct.results</x:v>
      </x:c>
      <x:c r="N141" s="11" t="str">
        <x:v>入口结果见原始 JSON；通过不表示任意规模均正确</x:v>
      </x:c>
    </x:row>
    <x:row r="142" ht="74" customHeight="1">
      <x:c r="A142" s="10" t="str">
        <x:v>STRICT-20261010-direct</x:v>
      </x:c>
      <x:c r="B142" s="10" t="str">
        <x:v>NATIVE-020</x:v>
      </x:c>
      <x:c r="C142" s="10" t="str">
        <x:v>delete_mmap_test</x:v>
      </x:c>
      <x:c r="D142" s="10" t="str">
        <x:v>winfsp-tests</x:v>
      </x:c>
      <x:c r="E142" s="10" t="str">
        <x:v>本地</x:v>
      </x:c>
      <x:c r="F142" s="10" t="str">
        <x:v>不适用</x:v>
      </x:c>
      <x:c r="G142" s="19" t="d">
        <x:v>2026-10-10T00:00:00.000Z</x:v>
      </x:c>
      <x:c r="H142" s="10" t="str">
        <x:v>已通过</x:v>
      </x:c>
      <x:c r="I142" s="21" t="n">
        <x:v>0.109</x:v>
      </x:c>
      <x:c r="J142" s="10" t="str">
        <x:v>JuiceFS 1.3.0 / WinFsp 2.1.25156 / rclone 1.75.0-onemount</x:v>
      </x:c>
      <x:c r="K142" s="10" t="str">
        <x:v>原版全外部；无 FUSE 筛选或名称比较放宽</x:v>
      </x:c>
      <x:c r="L142" s="10" t="str">
        <x:v>63151da049f846e65fb361d1f314df65c2d468a7</x:v>
      </x:c>
      <x:c r="M142" s="10" t="str">
        <x:v>E09 / targets.direct.results</x:v>
      </x:c>
      <x:c r="N142" s="10" t="str">
        <x:v>入口结果见原始 JSON；通过不表示任意规模均正确</x:v>
      </x:c>
    </x:row>
    <x:row r="143" ht="74" customHeight="1">
      <x:c r="A143" s="11" t="str">
        <x:v>STRICT-20261010-direct</x:v>
      </x:c>
      <x:c r="B143" s="11" t="str">
        <x:v>NATIVE-021</x:v>
      </x:c>
      <x:c r="C143" s="11" t="str">
        <x:v>delete_standby_test</x:v>
      </x:c>
      <x:c r="D143" s="11" t="str">
        <x:v>winfsp-tests</x:v>
      </x:c>
      <x:c r="E143" s="11" t="str">
        <x:v>本地</x:v>
      </x:c>
      <x:c r="F143" s="11" t="str">
        <x:v>不适用</x:v>
      </x:c>
      <x:c r="G143" s="20" t="d">
        <x:v>2026-10-10T00:00:00.000Z</x:v>
      </x:c>
      <x:c r="H143" s="11" t="str">
        <x:v>已通过</x:v>
      </x:c>
      <x:c r="I143" s="22" t="n">
        <x:v>0.193</x:v>
      </x:c>
      <x:c r="J143" s="11" t="str">
        <x:v>JuiceFS 1.3.0 / WinFsp 2.1.25156 / rclone 1.75.0-onemount</x:v>
      </x:c>
      <x:c r="K143" s="11" t="str">
        <x:v>原版全外部；无 FUSE 筛选或名称比较放宽</x:v>
      </x:c>
      <x:c r="L143" s="11" t="str">
        <x:v>63151da049f846e65fb361d1f314df65c2d468a7</x:v>
      </x:c>
      <x:c r="M143" s="11" t="str">
        <x:v>E09 / targets.direct.results</x:v>
      </x:c>
      <x:c r="N143" s="11" t="str">
        <x:v>入口结果见原始 JSON；通过不表示任意规模均正确</x:v>
      </x:c>
    </x:row>
    <x:row r="144" ht="74" customHeight="1">
      <x:c r="A144" s="10" t="str">
        <x:v>STRICT-20261010-direct</x:v>
      </x:c>
      <x:c r="B144" s="10" t="str">
        <x:v>NATIVE-022</x:v>
      </x:c>
      <x:c r="C144" s="10" t="str">
        <x:v>delete_ex_test</x:v>
      </x:c>
      <x:c r="D144" s="10" t="str">
        <x:v>winfsp-tests</x:v>
      </x:c>
      <x:c r="E144" s="10" t="str">
        <x:v>本地</x:v>
      </x:c>
      <x:c r="F144" s="10" t="str">
        <x:v>不适用</x:v>
      </x:c>
      <x:c r="G144" s="19" t="d">
        <x:v>2026-10-10T00:00:00.000Z</x:v>
      </x:c>
      <x:c r="H144" s="10" t="str">
        <x:v>已失败</x:v>
      </x:c>
      <x:c r="I144" s="21" t="n">
        <x:v>0.151</x:v>
      </x:c>
      <x:c r="J144" s="10" t="str">
        <x:v>JuiceFS 1.3.0 / WinFsp 2.1.25156 / rclone 1.75.0-onemount</x:v>
      </x:c>
      <x:c r="K144" s="10" t="str">
        <x:v>原版全外部；无 FUSE 筛选或名称比较放宽</x:v>
      </x:c>
      <x:c r="L144" s="10" t="str">
        <x:v>63151da049f846e65fb361d1f314df65c2d468a7</x:v>
      </x:c>
      <x:c r="M144" s="10" t="str">
        <x:v>E09 / targets.direct.results</x:v>
      </x:c>
      <x:c r="N144" s="10" t="str">
        <x:v>    ASSERT(STATUS_CANNOT_DELETE == IoStatus.Status) failed at info-test.c:961:delete_ex_dotest (err=0:0)</x:v>
      </x:c>
    </x:row>
    <x:row r="145" ht="74" customHeight="1">
      <x:c r="A145" s="11" t="str">
        <x:v>STRICT-20261010-direct</x:v>
      </x:c>
      <x:c r="B145" s="11" t="str">
        <x:v>NATIVE-023</x:v>
      </x:c>
      <x:c r="C145" s="11" t="str">
        <x:v>rename_test</x:v>
      </x:c>
      <x:c r="D145" s="11" t="str">
        <x:v>winfsp-tests</x:v>
      </x:c>
      <x:c r="E145" s="11" t="str">
        <x:v>本地</x:v>
      </x:c>
      <x:c r="F145" s="11" t="str">
        <x:v>不适用</x:v>
      </x:c>
      <x:c r="G145" s="20" t="d">
        <x:v>2026-10-10T00:00:00.000Z</x:v>
      </x:c>
      <x:c r="H145" s="11" t="str">
        <x:v>已通过</x:v>
      </x:c>
      <x:c r="I145" s="22" t="n">
        <x:v>0.141</x:v>
      </x:c>
      <x:c r="J145" s="11" t="str">
        <x:v>JuiceFS 1.3.0 / WinFsp 2.1.25156 / rclone 1.75.0-onemount</x:v>
      </x:c>
      <x:c r="K145" s="11" t="str">
        <x:v>原版全外部；无 FUSE 筛选或名称比较放宽</x:v>
      </x:c>
      <x:c r="L145" s="11" t="str">
        <x:v>63151da049f846e65fb361d1f314df65c2d468a7</x:v>
      </x:c>
      <x:c r="M145" s="11" t="str">
        <x:v>E09 / targets.direct.results</x:v>
      </x:c>
      <x:c r="N145" s="11" t="str">
        <x:v>入口结果见原始 JSON；通过不表示任意规模均正确</x:v>
      </x:c>
    </x:row>
    <x:row r="146" ht="74" customHeight="1">
      <x:c r="A146" s="10" t="str">
        <x:v>STRICT-20261010-direct</x:v>
      </x:c>
      <x:c r="B146" s="10" t="str">
        <x:v>NATIVE-024</x:v>
      </x:c>
      <x:c r="C146" s="10" t="str">
        <x:v>rename_backslash_test</x:v>
      </x:c>
      <x:c r="D146" s="10" t="str">
        <x:v>winfsp-tests</x:v>
      </x:c>
      <x:c r="E146" s="10" t="str">
        <x:v>本地</x:v>
      </x:c>
      <x:c r="F146" s="10" t="str">
        <x:v>不适用</x:v>
      </x:c>
      <x:c r="G146" s="19" t="d">
        <x:v>2026-10-10T00:00:00.000Z</x:v>
      </x:c>
      <x:c r="H146" s="10" t="str">
        <x:v>已通过</x:v>
      </x:c>
      <x:c r="I146" s="21" t="n">
        <x:v>0.119</x:v>
      </x:c>
      <x:c r="J146" s="10" t="str">
        <x:v>JuiceFS 1.3.0 / WinFsp 2.1.25156 / rclone 1.75.0-onemount</x:v>
      </x:c>
      <x:c r="K146" s="10" t="str">
        <x:v>原版全外部；无 FUSE 筛选或名称比较放宽</x:v>
      </x:c>
      <x:c r="L146" s="10" t="str">
        <x:v>63151da049f846e65fb361d1f314df65c2d468a7</x:v>
      </x:c>
      <x:c r="M146" s="10" t="str">
        <x:v>E09 / targets.direct.results</x:v>
      </x:c>
      <x:c r="N146" s="10" t="str">
        <x:v>入口结果见原始 JSON；通过不表示任意规模均正确</x:v>
      </x:c>
    </x:row>
    <x:row r="147" ht="74" customHeight="1">
      <x:c r="A147" s="11" t="str">
        <x:v>STRICT-20261010-direct</x:v>
      </x:c>
      <x:c r="B147" s="11" t="str">
        <x:v>NATIVE-025</x:v>
      </x:c>
      <x:c r="C147" s="11" t="str">
        <x:v>rename_open_test</x:v>
      </x:c>
      <x:c r="D147" s="11" t="str">
        <x:v>winfsp-tests</x:v>
      </x:c>
      <x:c r="E147" s="11" t="str">
        <x:v>本地</x:v>
      </x:c>
      <x:c r="F147" s="11" t="str">
        <x:v>不适用</x:v>
      </x:c>
      <x:c r="G147" s="20" t="d">
        <x:v>2026-10-10T00:00:00.000Z</x:v>
      </x:c>
      <x:c r="H147" s="11" t="str">
        <x:v>已通过</x:v>
      </x:c>
      <x:c r="I147" s="22" t="n">
        <x:v>0.105</x:v>
      </x:c>
      <x:c r="J147" s="11" t="str">
        <x:v>JuiceFS 1.3.0 / WinFsp 2.1.25156 / rclone 1.75.0-onemount</x:v>
      </x:c>
      <x:c r="K147" s="11" t="str">
        <x:v>原版全外部；无 FUSE 筛选或名称比较放宽</x:v>
      </x:c>
      <x:c r="L147" s="11" t="str">
        <x:v>63151da049f846e65fb361d1f314df65c2d468a7</x:v>
      </x:c>
      <x:c r="M147" s="11" t="str">
        <x:v>E09 / targets.direct.results</x:v>
      </x:c>
      <x:c r="N147" s="11" t="str">
        <x:v>入口结果见原始 JSON；通过不表示任意规模均正确</x:v>
      </x:c>
    </x:row>
    <x:row r="148" ht="74" customHeight="1">
      <x:c r="A148" s="10" t="str">
        <x:v>STRICT-20261010-direct</x:v>
      </x:c>
      <x:c r="B148" s="10" t="str">
        <x:v>NATIVE-026</x:v>
      </x:c>
      <x:c r="C148" s="10" t="str">
        <x:v>rename_caseins_test</x:v>
      </x:c>
      <x:c r="D148" s="10" t="str">
        <x:v>winfsp-tests</x:v>
      </x:c>
      <x:c r="E148" s="10" t="str">
        <x:v>本地</x:v>
      </x:c>
      <x:c r="F148" s="10" t="str">
        <x:v>不适用</x:v>
      </x:c>
      <x:c r="G148" s="19" t="d">
        <x:v>2026-10-10T00:00:00.000Z</x:v>
      </x:c>
      <x:c r="H148" s="10" t="str">
        <x:v>已通过</x:v>
      </x:c>
      <x:c r="I148" s="21" t="n">
        <x:v>0.118</x:v>
      </x:c>
      <x:c r="J148" s="10" t="str">
        <x:v>JuiceFS 1.3.0 / WinFsp 2.1.25156 / rclone 1.75.0-onemount</x:v>
      </x:c>
      <x:c r="K148" s="10" t="str">
        <x:v>原版全外部；无 FUSE 筛选或名称比较放宽</x:v>
      </x:c>
      <x:c r="L148" s="10" t="str">
        <x:v>63151da049f846e65fb361d1f314df65c2d468a7</x:v>
      </x:c>
      <x:c r="M148" s="10" t="str">
        <x:v>E09 / targets.direct.results</x:v>
      </x:c>
      <x:c r="N148" s="10" t="str">
        <x:v>入口结果见原始 JSON；通过不表示任意规模均正确</x:v>
      </x:c>
    </x:row>
    <x:row r="149" ht="74" customHeight="1">
      <x:c r="A149" s="11" t="str">
        <x:v>STRICT-20261010-direct</x:v>
      </x:c>
      <x:c r="B149" s="11" t="str">
        <x:v>NATIVE-027</x:v>
      </x:c>
      <x:c r="C149" s="11" t="str">
        <x:v>rename_flipflop_test</x:v>
      </x:c>
      <x:c r="D149" s="11" t="str">
        <x:v>winfsp-tests</x:v>
      </x:c>
      <x:c r="E149" s="11" t="str">
        <x:v>本地</x:v>
      </x:c>
      <x:c r="F149" s="11" t="str">
        <x:v>不适用</x:v>
      </x:c>
      <x:c r="G149" s="20" t="d">
        <x:v>2026-10-10T00:00:00.000Z</x:v>
      </x:c>
      <x:c r="H149" s="11" t="str">
        <x:v>已通过</x:v>
      </x:c>
      <x:c r="I149" s="22" t="n">
        <x:v>0.994</x:v>
      </x:c>
      <x:c r="J149" s="11" t="str">
        <x:v>JuiceFS 1.3.0 / WinFsp 2.1.25156 / rclone 1.75.0-onemount</x:v>
      </x:c>
      <x:c r="K149" s="11" t="str">
        <x:v>原版全外部；无 FUSE 筛选或名称比较放宽</x:v>
      </x:c>
      <x:c r="L149" s="11" t="str">
        <x:v>63151da049f846e65fb361d1f314df65c2d468a7</x:v>
      </x:c>
      <x:c r="M149" s="11" t="str">
        <x:v>E09 / targets.direct.results</x:v>
      </x:c>
      <x:c r="N149" s="11" t="str">
        <x:v>入口结果见原始 JSON；通过不表示任意规模均正确</x:v>
      </x:c>
    </x:row>
    <x:row r="150" ht="74" customHeight="1">
      <x:c r="A150" s="10" t="str">
        <x:v>STRICT-20261010-direct</x:v>
      </x:c>
      <x:c r="B150" s="10" t="str">
        <x:v>NATIVE-028</x:v>
      </x:c>
      <x:c r="C150" s="10" t="str">
        <x:v>rename_mmap_test</x:v>
      </x:c>
      <x:c r="D150" s="10" t="str">
        <x:v>winfsp-tests</x:v>
      </x:c>
      <x:c r="E150" s="10" t="str">
        <x:v>本地</x:v>
      </x:c>
      <x:c r="F150" s="10" t="str">
        <x:v>不适用</x:v>
      </x:c>
      <x:c r="G150" s="19" t="d">
        <x:v>2026-10-10T00:00:00.000Z</x:v>
      </x:c>
      <x:c r="H150" s="10" t="str">
        <x:v>已通过</x:v>
      </x:c>
      <x:c r="I150" s="21" t="n">
        <x:v>0.107</x:v>
      </x:c>
      <x:c r="J150" s="10" t="str">
        <x:v>JuiceFS 1.3.0 / WinFsp 2.1.25156 / rclone 1.75.0-onemount</x:v>
      </x:c>
      <x:c r="K150" s="10" t="str">
        <x:v>原版全外部；无 FUSE 筛选或名称比较放宽</x:v>
      </x:c>
      <x:c r="L150" s="10" t="str">
        <x:v>63151da049f846e65fb361d1f314df65c2d468a7</x:v>
      </x:c>
      <x:c r="M150" s="10" t="str">
        <x:v>E09 / targets.direct.results</x:v>
      </x:c>
      <x:c r="N150" s="10" t="str">
        <x:v>入口结果见原始 JSON；通过不表示任意规模均正确</x:v>
      </x:c>
    </x:row>
    <x:row r="151" ht="74" customHeight="1">
      <x:c r="A151" s="11" t="str">
        <x:v>STRICT-20261010-direct</x:v>
      </x:c>
      <x:c r="B151" s="11" t="str">
        <x:v>NATIVE-029</x:v>
      </x:c>
      <x:c r="C151" s="11" t="str">
        <x:v>rename_standby_test</x:v>
      </x:c>
      <x:c r="D151" s="11" t="str">
        <x:v>winfsp-tests</x:v>
      </x:c>
      <x:c r="E151" s="11" t="str">
        <x:v>本地</x:v>
      </x:c>
      <x:c r="F151" s="11" t="str">
        <x:v>不适用</x:v>
      </x:c>
      <x:c r="G151" s="20" t="d">
        <x:v>2026-10-10T00:00:00.000Z</x:v>
      </x:c>
      <x:c r="H151" s="11" t="str">
        <x:v>已通过</x:v>
      </x:c>
      <x:c r="I151" s="22" t="n">
        <x:v>0.311</x:v>
      </x:c>
      <x:c r="J151" s="11" t="str">
        <x:v>JuiceFS 1.3.0 / WinFsp 2.1.25156 / rclone 1.75.0-onemount</x:v>
      </x:c>
      <x:c r="K151" s="11" t="str">
        <x:v>原版全外部；无 FUSE 筛选或名称比较放宽</x:v>
      </x:c>
      <x:c r="L151" s="11" t="str">
        <x:v>63151da049f846e65fb361d1f314df65c2d468a7</x:v>
      </x:c>
      <x:c r="M151" s="11" t="str">
        <x:v>E09 / targets.direct.results</x:v>
      </x:c>
      <x:c r="N151" s="11" t="str">
        <x:v>入口结果见原始 JSON；通过不表示任意规模均正确</x:v>
      </x:c>
    </x:row>
    <x:row r="152" ht="74" customHeight="1">
      <x:c r="A152" s="10" t="str">
        <x:v>STRICT-20261010-direct</x:v>
      </x:c>
      <x:c r="B152" s="10" t="str">
        <x:v>NATIVE-030</x:v>
      </x:c>
      <x:c r="C152" s="10" t="str">
        <x:v>rename_ex_test</x:v>
      </x:c>
      <x:c r="D152" s="10" t="str">
        <x:v>winfsp-tests</x:v>
      </x:c>
      <x:c r="E152" s="10" t="str">
        <x:v>本地</x:v>
      </x:c>
      <x:c r="F152" s="10" t="str">
        <x:v>不适用</x:v>
      </x:c>
      <x:c r="G152" s="19" t="d">
        <x:v>2026-10-10T00:00:00.000Z</x:v>
      </x:c>
      <x:c r="H152" s="10" t="str">
        <x:v>已通过</x:v>
      </x:c>
      <x:c r="I152" s="21" t="n">
        <x:v>0.126</x:v>
      </x:c>
      <x:c r="J152" s="10" t="str">
        <x:v>JuiceFS 1.3.0 / WinFsp 2.1.25156 / rclone 1.75.0-onemount</x:v>
      </x:c>
      <x:c r="K152" s="10" t="str">
        <x:v>原版全外部；无 FUSE 筛选或名称比较放宽</x:v>
      </x:c>
      <x:c r="L152" s="10" t="str">
        <x:v>63151da049f846e65fb361d1f314df65c2d468a7</x:v>
      </x:c>
      <x:c r="M152" s="10" t="str">
        <x:v>E09 / targets.direct.results</x:v>
      </x:c>
      <x:c r="N152" s="10" t="str">
        <x:v>入口结果见原始 JSON；通过不表示任意规模均正确</x:v>
      </x:c>
    </x:row>
    <x:row r="153" ht="74" customHeight="1">
      <x:c r="A153" s="11" t="str">
        <x:v>STRICT-20261010-direct</x:v>
      </x:c>
      <x:c r="B153" s="11" t="str">
        <x:v>NATIVE-031</x:v>
      </x:c>
      <x:c r="C153" s="11" t="str">
        <x:v>getvolinfo_test</x:v>
      </x:c>
      <x:c r="D153" s="11" t="str">
        <x:v>winfsp-tests</x:v>
      </x:c>
      <x:c r="E153" s="11" t="str">
        <x:v>本地</x:v>
      </x:c>
      <x:c r="F153" s="11" t="str">
        <x:v>不适用</x:v>
      </x:c>
      <x:c r="G153" s="20" t="d">
        <x:v>2026-10-10T00:00:00.000Z</x:v>
      </x:c>
      <x:c r="H153" s="11" t="str">
        <x:v>已通过</x:v>
      </x:c>
      <x:c r="I153" s="22" t="n">
        <x:v>0.104</x:v>
      </x:c>
      <x:c r="J153" s="11" t="str">
        <x:v>JuiceFS 1.3.0 / WinFsp 2.1.25156 / rclone 1.75.0-onemount</x:v>
      </x:c>
      <x:c r="K153" s="11" t="str">
        <x:v>原版全外部；无 FUSE 筛选或名称比较放宽</x:v>
      </x:c>
      <x:c r="L153" s="11" t="str">
        <x:v>63151da049f846e65fb361d1f314df65c2d468a7</x:v>
      </x:c>
      <x:c r="M153" s="11" t="str">
        <x:v>E09 / targets.direct.results</x:v>
      </x:c>
      <x:c r="N153" s="11" t="str">
        <x:v>入口结果见原始 JSON；通过不表示任意规模均正确</x:v>
      </x:c>
    </x:row>
    <x:row r="154" ht="74" customHeight="1">
      <x:c r="A154" s="10" t="str">
        <x:v>STRICT-20261010-direct</x:v>
      </x:c>
      <x:c r="B154" s="10" t="str">
        <x:v>NATIVE-032</x:v>
      </x:c>
      <x:c r="C154" s="10" t="str">
        <x:v>setvolinfo_test</x:v>
      </x:c>
      <x:c r="D154" s="10" t="str">
        <x:v>winfsp-tests</x:v>
      </x:c>
      <x:c r="E154" s="10" t="str">
        <x:v>本地</x:v>
      </x:c>
      <x:c r="F154" s="10" t="str">
        <x:v>不适用</x:v>
      </x:c>
      <x:c r="G154" s="19" t="d">
        <x:v>2026-10-10T00:00:00.000Z</x:v>
      </x:c>
      <x:c r="H154" s="10" t="str">
        <x:v>已通过</x:v>
      </x:c>
      <x:c r="I154" s="21" t="n">
        <x:v>0.1</x:v>
      </x:c>
      <x:c r="J154" s="10" t="str">
        <x:v>JuiceFS 1.3.0 / WinFsp 2.1.25156 / rclone 1.75.0-onemount</x:v>
      </x:c>
      <x:c r="K154" s="10" t="str">
        <x:v>原版全外部；无 FUSE 筛选或名称比较放宽</x:v>
      </x:c>
      <x:c r="L154" s="10" t="str">
        <x:v>63151da049f846e65fb361d1f314df65c2d468a7</x:v>
      </x:c>
      <x:c r="M154" s="10" t="str">
        <x:v>E09 / targets.direct.results</x:v>
      </x:c>
      <x:c r="N154" s="10" t="str">
        <x:v>入口结果见原始 JSON；通过不表示任意规模均正确</x:v>
      </x:c>
    </x:row>
    <x:row r="155" ht="74" customHeight="1">
      <x:c r="A155" s="11" t="str">
        <x:v>STRICT-20261010-direct</x:v>
      </x:c>
      <x:c r="B155" s="11" t="str">
        <x:v>NATIVE-033</x:v>
      </x:c>
      <x:c r="C155" s="11" t="str">
        <x:v>getsecurity_test</x:v>
      </x:c>
      <x:c r="D155" s="11" t="str">
        <x:v>winfsp-tests</x:v>
      </x:c>
      <x:c r="E155" s="11" t="str">
        <x:v>本地</x:v>
      </x:c>
      <x:c r="F155" s="11" t="str">
        <x:v>不适用</x:v>
      </x:c>
      <x:c r="G155" s="20" t="d">
        <x:v>2026-10-10T00:00:00.000Z</x:v>
      </x:c>
      <x:c r="H155" s="11" t="str">
        <x:v>已通过</x:v>
      </x:c>
      <x:c r="I155" s="22" t="n">
        <x:v>0.103</x:v>
      </x:c>
      <x:c r="J155" s="11" t="str">
        <x:v>JuiceFS 1.3.0 / WinFsp 2.1.25156 / rclone 1.75.0-onemount</x:v>
      </x:c>
      <x:c r="K155" s="11" t="str">
        <x:v>原版全外部；无 FUSE 筛选或名称比较放宽</x:v>
      </x:c>
      <x:c r="L155" s="11" t="str">
        <x:v>63151da049f846e65fb361d1f314df65c2d468a7</x:v>
      </x:c>
      <x:c r="M155" s="11" t="str">
        <x:v>E09 / targets.direct.results</x:v>
      </x:c>
      <x:c r="N155" s="11" t="str">
        <x:v>入口结果见原始 JSON；通过不表示任意规模均正确</x:v>
      </x:c>
    </x:row>
    <x:row r="156" ht="74" customHeight="1">
      <x:c r="A156" s="10" t="str">
        <x:v>STRICT-20261010-direct</x:v>
      </x:c>
      <x:c r="B156" s="10" t="str">
        <x:v>NATIVE-034</x:v>
      </x:c>
      <x:c r="C156" s="10" t="str">
        <x:v>setsecurity_test</x:v>
      </x:c>
      <x:c r="D156" s="10" t="str">
        <x:v>winfsp-tests</x:v>
      </x:c>
      <x:c r="E156" s="10" t="str">
        <x:v>本地</x:v>
      </x:c>
      <x:c r="F156" s="10" t="str">
        <x:v>不适用</x:v>
      </x:c>
      <x:c r="G156" s="19" t="d">
        <x:v>2026-10-10T00:00:00.000Z</x:v>
      </x:c>
      <x:c r="H156" s="10" t="str">
        <x:v>已失败</x:v>
      </x:c>
      <x:c r="I156" s="21" t="n">
        <x:v>0.166</x:v>
      </x:c>
      <x:c r="J156" s="10" t="str">
        <x:v>JuiceFS 1.3.0 / WinFsp 2.1.25156 / rclone 1.75.0-onemount</x:v>
      </x:c>
      <x:c r="K156" s="10" t="str">
        <x:v>原版全外部；无 FUSE 筛选或名称比较放宽</x:v>
      </x:c>
      <x:c r="L156" s="10" t="str">
        <x:v>63151da049f846e65fb361d1f314df65c2d468a7</x:v>
      </x:c>
      <x:c r="M156" s="10" t="str">
        <x:v>E09 / targets.direct.results</x:v>
      </x:c>
      <x:c r="N156" s="10" t="str">
        <x:v>    ASSERT(0 == wcscmp(L"D:P(A;;FA;;;SY)(A;;FA;;;BA)", ConvertedSddl)) failed at security-test.c:231:setsecurity_dotest (err=c0000023:0)</x:v>
      </x:c>
    </x:row>
    <x:row r="157" ht="74" customHeight="1">
      <x:c r="A157" s="11" t="str">
        <x:v>STRICT-20261010-direct</x:v>
      </x:c>
      <x:c r="B157" s="11" t="str">
        <x:v>NATIVE-035</x:v>
      </x:c>
      <x:c r="C157" s="11" t="str">
        <x:v>security_stress_meta_test</x:v>
      </x:c>
      <x:c r="D157" s="11" t="str">
        <x:v>winfsp-tests</x:v>
      </x:c>
      <x:c r="E157" s="11" t="str">
        <x:v>本地</x:v>
      </x:c>
      <x:c r="F157" s="11" t="str">
        <x:v>不适用</x:v>
      </x:c>
      <x:c r="G157" s="20" t="d">
        <x:v>2026-10-10T00:00:00.000Z</x:v>
      </x:c>
      <x:c r="H157" s="11" t="str">
        <x:v>已通过</x:v>
      </x:c>
      <x:c r="I157" s="22" t="n">
        <x:v>0.895</x:v>
      </x:c>
      <x:c r="J157" s="11" t="str">
        <x:v>JuiceFS 1.3.0 / WinFsp 2.1.25156 / rclone 1.75.0-onemount</x:v>
      </x:c>
      <x:c r="K157" s="11" t="str">
        <x:v>原版全外部；无 FUSE 筛选或名称比较放宽</x:v>
      </x:c>
      <x:c r="L157" s="11" t="str">
        <x:v>63151da049f846e65fb361d1f314df65c2d468a7</x:v>
      </x:c>
      <x:c r="M157" s="11" t="str">
        <x:v>E09 / targets.direct.results</x:v>
      </x:c>
      <x:c r="N157" s="11" t="str">
        <x:v>入口结果见原始 JSON；通过不表示任意规模均正确</x:v>
      </x:c>
    </x:row>
    <x:row r="158" ht="74" customHeight="1">
      <x:c r="A158" s="10" t="str">
        <x:v>STRICT-20261010-direct</x:v>
      </x:c>
      <x:c r="B158" s="10" t="str">
        <x:v>NATIVE-036</x:v>
      </x:c>
      <x:c r="C158" s="10" t="str">
        <x:v>rdwr_noncached_test</x:v>
      </x:c>
      <x:c r="D158" s="10" t="str">
        <x:v>winfsp-tests</x:v>
      </x:c>
      <x:c r="E158" s="10" t="str">
        <x:v>本地</x:v>
      </x:c>
      <x:c r="F158" s="10" t="str">
        <x:v>不适用</x:v>
      </x:c>
      <x:c r="G158" s="19" t="d">
        <x:v>2026-10-10T00:00:00.000Z</x:v>
      </x:c>
      <x:c r="H158" s="10" t="str">
        <x:v>已通过</x:v>
      </x:c>
      <x:c r="I158" s="21" t="n">
        <x:v>0.115</x:v>
      </x:c>
      <x:c r="J158" s="10" t="str">
        <x:v>JuiceFS 1.3.0 / WinFsp 2.1.25156 / rclone 1.75.0-onemount</x:v>
      </x:c>
      <x:c r="K158" s="10" t="str">
        <x:v>原版全外部；无 FUSE 筛选或名称比较放宽</x:v>
      </x:c>
      <x:c r="L158" s="10" t="str">
        <x:v>63151da049f846e65fb361d1f314df65c2d468a7</x:v>
      </x:c>
      <x:c r="M158" s="10" t="str">
        <x:v>E09 / targets.direct.results</x:v>
      </x:c>
      <x:c r="N158" s="10" t="str">
        <x:v>入口结果见原始 JSON；通过不表示任意规模均正确</x:v>
      </x:c>
    </x:row>
    <x:row r="159" ht="74" customHeight="1">
      <x:c r="A159" s="11" t="str">
        <x:v>STRICT-20261010-direct</x:v>
      </x:c>
      <x:c r="B159" s="11" t="str">
        <x:v>NATIVE-037</x:v>
      </x:c>
      <x:c r="C159" s="11" t="str">
        <x:v>rdwr_noncached_overlapped_test</x:v>
      </x:c>
      <x:c r="D159" s="11" t="str">
        <x:v>winfsp-tests</x:v>
      </x:c>
      <x:c r="E159" s="11" t="str">
        <x:v>本地</x:v>
      </x:c>
      <x:c r="F159" s="11" t="str">
        <x:v>不适用</x:v>
      </x:c>
      <x:c r="G159" s="20" t="d">
        <x:v>2026-10-10T00:00:00.000Z</x:v>
      </x:c>
      <x:c r="H159" s="11" t="str">
        <x:v>已通过</x:v>
      </x:c>
      <x:c r="I159" s="22" t="n">
        <x:v>0.109</x:v>
      </x:c>
      <x:c r="J159" s="11" t="str">
        <x:v>JuiceFS 1.3.0 / WinFsp 2.1.25156 / rclone 1.75.0-onemount</x:v>
      </x:c>
      <x:c r="K159" s="11" t="str">
        <x:v>原版全外部；无 FUSE 筛选或名称比较放宽</x:v>
      </x:c>
      <x:c r="L159" s="11" t="str">
        <x:v>63151da049f846e65fb361d1f314df65c2d468a7</x:v>
      </x:c>
      <x:c r="M159" s="11" t="str">
        <x:v>E09 / targets.direct.results</x:v>
      </x:c>
      <x:c r="N159" s="11" t="str">
        <x:v>入口结果见原始 JSON；通过不表示任意规模均正确</x:v>
      </x:c>
    </x:row>
    <x:row r="160" ht="74" customHeight="1">
      <x:c r="A160" s="10" t="str">
        <x:v>STRICT-20261010-direct</x:v>
      </x:c>
      <x:c r="B160" s="10" t="str">
        <x:v>NATIVE-038</x:v>
      </x:c>
      <x:c r="C160" s="10" t="str">
        <x:v>rdwr_cached_test</x:v>
      </x:c>
      <x:c r="D160" s="10" t="str">
        <x:v>winfsp-tests</x:v>
      </x:c>
      <x:c r="E160" s="10" t="str">
        <x:v>本地</x:v>
      </x:c>
      <x:c r="F160" s="10" t="str">
        <x:v>不适用</x:v>
      </x:c>
      <x:c r="G160" s="19" t="d">
        <x:v>2026-10-10T00:00:00.000Z</x:v>
      </x:c>
      <x:c r="H160" s="10" t="str">
        <x:v>已通过</x:v>
      </x:c>
      <x:c r="I160" s="21" t="n">
        <x:v>0.108</x:v>
      </x:c>
      <x:c r="J160" s="10" t="str">
        <x:v>JuiceFS 1.3.0 / WinFsp 2.1.25156 / rclone 1.75.0-onemount</x:v>
      </x:c>
      <x:c r="K160" s="10" t="str">
        <x:v>原版全外部；无 FUSE 筛选或名称比较放宽</x:v>
      </x:c>
      <x:c r="L160" s="10" t="str">
        <x:v>63151da049f846e65fb361d1f314df65c2d468a7</x:v>
      </x:c>
      <x:c r="M160" s="10" t="str">
        <x:v>E09 / targets.direct.results</x:v>
      </x:c>
      <x:c r="N160" s="10" t="str">
        <x:v>入口结果见原始 JSON；通过不表示任意规模均正确</x:v>
      </x:c>
    </x:row>
    <x:row r="161" ht="74" customHeight="1">
      <x:c r="A161" s="11" t="str">
        <x:v>STRICT-20261010-direct</x:v>
      </x:c>
      <x:c r="B161" s="11" t="str">
        <x:v>NATIVE-039</x:v>
      </x:c>
      <x:c r="C161" s="11" t="str">
        <x:v>rdwr_cached_append_test</x:v>
      </x:c>
      <x:c r="D161" s="11" t="str">
        <x:v>winfsp-tests</x:v>
      </x:c>
      <x:c r="E161" s="11" t="str">
        <x:v>本地</x:v>
      </x:c>
      <x:c r="F161" s="11" t="str">
        <x:v>不适用</x:v>
      </x:c>
      <x:c r="G161" s="20" t="d">
        <x:v>2026-10-10T00:00:00.000Z</x:v>
      </x:c>
      <x:c r="H161" s="11" t="str">
        <x:v>已通过</x:v>
      </x:c>
      <x:c r="I161" s="22" t="n">
        <x:v>0.104</x:v>
      </x:c>
      <x:c r="J161" s="11" t="str">
        <x:v>JuiceFS 1.3.0 / WinFsp 2.1.25156 / rclone 1.75.0-onemount</x:v>
      </x:c>
      <x:c r="K161" s="11" t="str">
        <x:v>原版全外部；无 FUSE 筛选或名称比较放宽</x:v>
      </x:c>
      <x:c r="L161" s="11" t="str">
        <x:v>63151da049f846e65fb361d1f314df65c2d468a7</x:v>
      </x:c>
      <x:c r="M161" s="11" t="str">
        <x:v>E09 / targets.direct.results</x:v>
      </x:c>
      <x:c r="N161" s="11" t="str">
        <x:v>入口结果见原始 JSON；通过不表示任意规模均正确</x:v>
      </x:c>
    </x:row>
    <x:row r="162" ht="74" customHeight="1">
      <x:c r="A162" s="10" t="str">
        <x:v>STRICT-20261010-direct</x:v>
      </x:c>
      <x:c r="B162" s="10" t="str">
        <x:v>NATIVE-040</x:v>
      </x:c>
      <x:c r="C162" s="10" t="str">
        <x:v>rdwr_cached_overlapped_test</x:v>
      </x:c>
      <x:c r="D162" s="10" t="str">
        <x:v>winfsp-tests</x:v>
      </x:c>
      <x:c r="E162" s="10" t="str">
        <x:v>本地</x:v>
      </x:c>
      <x:c r="F162" s="10" t="str">
        <x:v>不适用</x:v>
      </x:c>
      <x:c r="G162" s="19" t="d">
        <x:v>2026-10-10T00:00:00.000Z</x:v>
      </x:c>
      <x:c r="H162" s="10" t="str">
        <x:v>已通过</x:v>
      </x:c>
      <x:c r="I162" s="21" t="n">
        <x:v>0.109</x:v>
      </x:c>
      <x:c r="J162" s="10" t="str">
        <x:v>JuiceFS 1.3.0 / WinFsp 2.1.25156 / rclone 1.75.0-onemount</x:v>
      </x:c>
      <x:c r="K162" s="10" t="str">
        <x:v>原版全外部；无 FUSE 筛选或名称比较放宽</x:v>
      </x:c>
      <x:c r="L162" s="10" t="str">
        <x:v>63151da049f846e65fb361d1f314df65c2d468a7</x:v>
      </x:c>
      <x:c r="M162" s="10" t="str">
        <x:v>E09 / targets.direct.results</x:v>
      </x:c>
      <x:c r="N162" s="10" t="str">
        <x:v>入口结果见原始 JSON；通过不表示任意规模均正确</x:v>
      </x:c>
    </x:row>
    <x:row r="163" ht="74" customHeight="1">
      <x:c r="A163" s="11" t="str">
        <x:v>STRICT-20261010-direct</x:v>
      </x:c>
      <x:c r="B163" s="11" t="str">
        <x:v>NATIVE-041</x:v>
      </x:c>
      <x:c r="C163" s="11" t="str">
        <x:v>rdwr_writethru_test</x:v>
      </x:c>
      <x:c r="D163" s="11" t="str">
        <x:v>winfsp-tests</x:v>
      </x:c>
      <x:c r="E163" s="11" t="str">
        <x:v>本地</x:v>
      </x:c>
      <x:c r="F163" s="11" t="str">
        <x:v>不适用</x:v>
      </x:c>
      <x:c r="G163" s="20" t="d">
        <x:v>2026-10-10T00:00:00.000Z</x:v>
      </x:c>
      <x:c r="H163" s="11" t="str">
        <x:v>已通过</x:v>
      </x:c>
      <x:c r="I163" s="22" t="n">
        <x:v>0.264</x:v>
      </x:c>
      <x:c r="J163" s="11" t="str">
        <x:v>JuiceFS 1.3.0 / WinFsp 2.1.25156 / rclone 1.75.0-onemount</x:v>
      </x:c>
      <x:c r="K163" s="11" t="str">
        <x:v>原版全外部；无 FUSE 筛选或名称比较放宽</x:v>
      </x:c>
      <x:c r="L163" s="11" t="str">
        <x:v>63151da049f846e65fb361d1f314df65c2d468a7</x:v>
      </x:c>
      <x:c r="M163" s="11" t="str">
        <x:v>E09 / targets.direct.results</x:v>
      </x:c>
      <x:c r="N163" s="11" t="str">
        <x:v>入口结果见原始 JSON；通过不表示任意规模均正确</x:v>
      </x:c>
    </x:row>
    <x:row r="164" ht="74" customHeight="1">
      <x:c r="A164" s="10" t="str">
        <x:v>STRICT-20261010-direct</x:v>
      </x:c>
      <x:c r="B164" s="10" t="str">
        <x:v>NATIVE-042</x:v>
      </x:c>
      <x:c r="C164" s="10" t="str">
        <x:v>rdwr_writethru_append_test</x:v>
      </x:c>
      <x:c r="D164" s="10" t="str">
        <x:v>winfsp-tests</x:v>
      </x:c>
      <x:c r="E164" s="10" t="str">
        <x:v>本地</x:v>
      </x:c>
      <x:c r="F164" s="10" t="str">
        <x:v>不适用</x:v>
      </x:c>
      <x:c r="G164" s="19" t="d">
        <x:v>2026-10-10T00:00:00.000Z</x:v>
      </x:c>
      <x:c r="H164" s="10" t="str">
        <x:v>已通过</x:v>
      </x:c>
      <x:c r="I164" s="21" t="n">
        <x:v>0.105</x:v>
      </x:c>
      <x:c r="J164" s="10" t="str">
        <x:v>JuiceFS 1.3.0 / WinFsp 2.1.25156 / rclone 1.75.0-onemount</x:v>
      </x:c>
      <x:c r="K164" s="10" t="str">
        <x:v>原版全外部；无 FUSE 筛选或名称比较放宽</x:v>
      </x:c>
      <x:c r="L164" s="10" t="str">
        <x:v>63151da049f846e65fb361d1f314df65c2d468a7</x:v>
      </x:c>
      <x:c r="M164" s="10" t="str">
        <x:v>E09 / targets.direct.results</x:v>
      </x:c>
      <x:c r="N164" s="10" t="str">
        <x:v>入口结果见原始 JSON；通过不表示任意规模均正确</x:v>
      </x:c>
    </x:row>
    <x:row r="165" ht="74" customHeight="1">
      <x:c r="A165" s="11" t="str">
        <x:v>STRICT-20261010-direct</x:v>
      </x:c>
      <x:c r="B165" s="11" t="str">
        <x:v>NATIVE-043</x:v>
      </x:c>
      <x:c r="C165" s="11" t="str">
        <x:v>rdwr_writethru_overlapped_test</x:v>
      </x:c>
      <x:c r="D165" s="11" t="str">
        <x:v>winfsp-tests</x:v>
      </x:c>
      <x:c r="E165" s="11" t="str">
        <x:v>本地</x:v>
      </x:c>
      <x:c r="F165" s="11" t="str">
        <x:v>不适用</x:v>
      </x:c>
      <x:c r="G165" s="20" t="d">
        <x:v>2026-10-10T00:00:00.000Z</x:v>
      </x:c>
      <x:c r="H165" s="11" t="str">
        <x:v>已通过</x:v>
      </x:c>
      <x:c r="I165" s="22" t="n">
        <x:v>0.104</x:v>
      </x:c>
      <x:c r="J165" s="11" t="str">
        <x:v>JuiceFS 1.3.0 / WinFsp 2.1.25156 / rclone 1.75.0-onemount</x:v>
      </x:c>
      <x:c r="K165" s="11" t="str">
        <x:v>原版全外部；无 FUSE 筛选或名称比较放宽</x:v>
      </x:c>
      <x:c r="L165" s="11" t="str">
        <x:v>63151da049f846e65fb361d1f314df65c2d468a7</x:v>
      </x:c>
      <x:c r="M165" s="11" t="str">
        <x:v>E09 / targets.direct.results</x:v>
      </x:c>
      <x:c r="N165" s="11" t="str">
        <x:v>入口结果见原始 JSON；通过不表示任意规模均正确</x:v>
      </x:c>
    </x:row>
    <x:row r="166" ht="74" customHeight="1">
      <x:c r="A166" s="10" t="str">
        <x:v>STRICT-20261010-direct</x:v>
      </x:c>
      <x:c r="B166" s="10" t="str">
        <x:v>NATIVE-044</x:v>
      </x:c>
      <x:c r="C166" s="10" t="str">
        <x:v>rdwr_mmap_test</x:v>
      </x:c>
      <x:c r="D166" s="10" t="str">
        <x:v>winfsp-tests</x:v>
      </x:c>
      <x:c r="E166" s="10" t="str">
        <x:v>本地</x:v>
      </x:c>
      <x:c r="F166" s="10" t="str">
        <x:v>不适用</x:v>
      </x:c>
      <x:c r="G166" s="19" t="d">
        <x:v>2026-10-10T00:00:00.000Z</x:v>
      </x:c>
      <x:c r="H166" s="10" t="str">
        <x:v>已通过</x:v>
      </x:c>
      <x:c r="I166" s="21" t="n">
        <x:v>0.191</x:v>
      </x:c>
      <x:c r="J166" s="10" t="str">
        <x:v>JuiceFS 1.3.0 / WinFsp 2.1.25156 / rclone 1.75.0-onemount</x:v>
      </x:c>
      <x:c r="K166" s="10" t="str">
        <x:v>原版全外部；无 FUSE 筛选或名称比较放宽</x:v>
      </x:c>
      <x:c r="L166" s="10" t="str">
        <x:v>63151da049f846e65fb361d1f314df65c2d468a7</x:v>
      </x:c>
      <x:c r="M166" s="10" t="str">
        <x:v>E09 / targets.direct.results</x:v>
      </x:c>
      <x:c r="N166" s="10" t="str">
        <x:v>入口结果见原始 JSON；通过不表示任意规模均正确</x:v>
      </x:c>
    </x:row>
    <x:row r="167" ht="74" customHeight="1">
      <x:c r="A167" s="11" t="str">
        <x:v>STRICT-20261010-direct</x:v>
      </x:c>
      <x:c r="B167" s="11" t="str">
        <x:v>NATIVE-045</x:v>
      </x:c>
      <x:c r="C167" s="11" t="str">
        <x:v>rdwr_mixed_test</x:v>
      </x:c>
      <x:c r="D167" s="11" t="str">
        <x:v>winfsp-tests</x:v>
      </x:c>
      <x:c r="E167" s="11" t="str">
        <x:v>本地</x:v>
      </x:c>
      <x:c r="F167" s="11" t="str">
        <x:v>不适用</x:v>
      </x:c>
      <x:c r="G167" s="20" t="d">
        <x:v>2026-10-10T00:00:00.000Z</x:v>
      </x:c>
      <x:c r="H167" s="11" t="str">
        <x:v>已通过</x:v>
      </x:c>
      <x:c r="I167" s="22" t="n">
        <x:v>0.11</x:v>
      </x:c>
      <x:c r="J167" s="11" t="str">
        <x:v>JuiceFS 1.3.0 / WinFsp 2.1.25156 / rclone 1.75.0-onemount</x:v>
      </x:c>
      <x:c r="K167" s="11" t="str">
        <x:v>原版全外部；无 FUSE 筛选或名称比较放宽</x:v>
      </x:c>
      <x:c r="L167" s="11" t="str">
        <x:v>63151da049f846e65fb361d1f314df65c2d468a7</x:v>
      </x:c>
      <x:c r="M167" s="11" t="str">
        <x:v>E09 / targets.direct.results</x:v>
      </x:c>
      <x:c r="N167" s="11" t="str">
        <x:v>入口结果见原始 JSON；通过不表示任意规模均正确</x:v>
      </x:c>
    </x:row>
    <x:row r="168" ht="74" customHeight="1">
      <x:c r="A168" s="10" t="str">
        <x:v>STRICT-20261010-direct</x:v>
      </x:c>
      <x:c r="B168" s="10" t="str">
        <x:v>NATIVE-046</x:v>
      </x:c>
      <x:c r="C168" s="10" t="str">
        <x:v>flush_test</x:v>
      </x:c>
      <x:c r="D168" s="10" t="str">
        <x:v>winfsp-tests</x:v>
      </x:c>
      <x:c r="E168" s="10" t="str">
        <x:v>本地</x:v>
      </x:c>
      <x:c r="F168" s="10" t="str">
        <x:v>不适用</x:v>
      </x:c>
      <x:c r="G168" s="19" t="d">
        <x:v>2026-10-10T00:00:00.000Z</x:v>
      </x:c>
      <x:c r="H168" s="10" t="str">
        <x:v>已通过</x:v>
      </x:c>
      <x:c r="I168" s="21" t="n">
        <x:v>0.122</x:v>
      </x:c>
      <x:c r="J168" s="10" t="str">
        <x:v>JuiceFS 1.3.0 / WinFsp 2.1.25156 / rclone 1.75.0-onemount</x:v>
      </x:c>
      <x:c r="K168" s="10" t="str">
        <x:v>原版全外部；无 FUSE 筛选或名称比较放宽</x:v>
      </x:c>
      <x:c r="L168" s="10" t="str">
        <x:v>63151da049f846e65fb361d1f314df65c2d468a7</x:v>
      </x:c>
      <x:c r="M168" s="10" t="str">
        <x:v>E09 / targets.direct.results</x:v>
      </x:c>
      <x:c r="N168" s="10" t="str">
        <x:v>入口结果见原始 JSON；通过不表示任意规模均正确</x:v>
      </x:c>
    </x:row>
    <x:row r="169" ht="74" customHeight="1">
      <x:c r="A169" s="11" t="str">
        <x:v>STRICT-20261010-direct</x:v>
      </x:c>
      <x:c r="B169" s="11" t="str">
        <x:v>NATIVE-047</x:v>
      </x:c>
      <x:c r="C169" s="11" t="str">
        <x:v>flush_volume_test</x:v>
      </x:c>
      <x:c r="D169" s="11" t="str">
        <x:v>winfsp-tests</x:v>
      </x:c>
      <x:c r="E169" s="11" t="str">
        <x:v>本地</x:v>
      </x:c>
      <x:c r="F169" s="11" t="str">
        <x:v>不适用</x:v>
      </x:c>
      <x:c r="G169" s="20" t="d">
        <x:v>2026-10-10T00:00:00.000Z</x:v>
      </x:c>
      <x:c r="H169" s="11" t="str">
        <x:v>已通过</x:v>
      </x:c>
      <x:c r="I169" s="22" t="n">
        <x:v>0.095</x:v>
      </x:c>
      <x:c r="J169" s="11" t="str">
        <x:v>JuiceFS 1.3.0 / WinFsp 2.1.25156 / rclone 1.75.0-onemount</x:v>
      </x:c>
      <x:c r="K169" s="11" t="str">
        <x:v>原版全外部；无 FUSE 筛选或名称比较放宽</x:v>
      </x:c>
      <x:c r="L169" s="11" t="str">
        <x:v>63151da049f846e65fb361d1f314df65c2d468a7</x:v>
      </x:c>
      <x:c r="M169" s="11" t="str">
        <x:v>E09 / targets.direct.results</x:v>
      </x:c>
      <x:c r="N169" s="11" t="str">
        <x:v>入口结果见原始 JSON；通过不表示任意规模均正确</x:v>
      </x:c>
    </x:row>
    <x:row r="170" ht="74" customHeight="1">
      <x:c r="A170" s="10" t="str">
        <x:v>STRICT-20261010-direct</x:v>
      </x:c>
      <x:c r="B170" s="10" t="str">
        <x:v>NATIVE-048</x:v>
      </x:c>
      <x:c r="C170" s="10" t="str">
        <x:v>lock_noncached_test</x:v>
      </x:c>
      <x:c r="D170" s="10" t="str">
        <x:v>winfsp-tests</x:v>
      </x:c>
      <x:c r="E170" s="10" t="str">
        <x:v>本地</x:v>
      </x:c>
      <x:c r="F170" s="10" t="str">
        <x:v>不适用</x:v>
      </x:c>
      <x:c r="G170" s="19" t="d">
        <x:v>2026-10-10T00:00:00.000Z</x:v>
      </x:c>
      <x:c r="H170" s="10" t="str">
        <x:v>已通过</x:v>
      </x:c>
      <x:c r="I170" s="21" t="n">
        <x:v>0.112</x:v>
      </x:c>
      <x:c r="J170" s="10" t="str">
        <x:v>JuiceFS 1.3.0 / WinFsp 2.1.25156 / rclone 1.75.0-onemount</x:v>
      </x:c>
      <x:c r="K170" s="10" t="str">
        <x:v>原版全外部；无 FUSE 筛选或名称比较放宽</x:v>
      </x:c>
      <x:c r="L170" s="10" t="str">
        <x:v>63151da049f846e65fb361d1f314df65c2d468a7</x:v>
      </x:c>
      <x:c r="M170" s="10" t="str">
        <x:v>E09 / targets.direct.results</x:v>
      </x:c>
      <x:c r="N170" s="10" t="str">
        <x:v>入口结果见原始 JSON；通过不表示任意规模均正确</x:v>
      </x:c>
    </x:row>
    <x:row r="171" ht="74" customHeight="1">
      <x:c r="A171" s="11" t="str">
        <x:v>STRICT-20261010-direct</x:v>
      </x:c>
      <x:c r="B171" s="11" t="str">
        <x:v>NATIVE-049</x:v>
      </x:c>
      <x:c r="C171" s="11" t="str">
        <x:v>lock_noncached_overlapped_test</x:v>
      </x:c>
      <x:c r="D171" s="11" t="str">
        <x:v>winfsp-tests</x:v>
      </x:c>
      <x:c r="E171" s="11" t="str">
        <x:v>本地</x:v>
      </x:c>
      <x:c r="F171" s="11" t="str">
        <x:v>不适用</x:v>
      </x:c>
      <x:c r="G171" s="20" t="d">
        <x:v>2026-10-10T00:00:00.000Z</x:v>
      </x:c>
      <x:c r="H171" s="11" t="str">
        <x:v>已通过</x:v>
      </x:c>
      <x:c r="I171" s="22" t="n">
        <x:v>0.113</x:v>
      </x:c>
      <x:c r="J171" s="11" t="str">
        <x:v>JuiceFS 1.3.0 / WinFsp 2.1.25156 / rclone 1.75.0-onemount</x:v>
      </x:c>
      <x:c r="K171" s="11" t="str">
        <x:v>原版全外部；无 FUSE 筛选或名称比较放宽</x:v>
      </x:c>
      <x:c r="L171" s="11" t="str">
        <x:v>63151da049f846e65fb361d1f314df65c2d468a7</x:v>
      </x:c>
      <x:c r="M171" s="11" t="str">
        <x:v>E09 / targets.direct.results</x:v>
      </x:c>
      <x:c r="N171" s="11" t="str">
        <x:v>入口结果见原始 JSON；通过不表示任意规模均正确</x:v>
      </x:c>
    </x:row>
    <x:row r="172" ht="74" customHeight="1">
      <x:c r="A172" s="10" t="str">
        <x:v>STRICT-20261010-direct</x:v>
      </x:c>
      <x:c r="B172" s="10" t="str">
        <x:v>NATIVE-050</x:v>
      </x:c>
      <x:c r="C172" s="10" t="str">
        <x:v>lock_cached_test</x:v>
      </x:c>
      <x:c r="D172" s="10" t="str">
        <x:v>winfsp-tests</x:v>
      </x:c>
      <x:c r="E172" s="10" t="str">
        <x:v>本地</x:v>
      </x:c>
      <x:c r="F172" s="10" t="str">
        <x:v>不适用</x:v>
      </x:c>
      <x:c r="G172" s="19" t="d">
        <x:v>2026-10-10T00:00:00.000Z</x:v>
      </x:c>
      <x:c r="H172" s="10" t="str">
        <x:v>已通过</x:v>
      </x:c>
      <x:c r="I172" s="21" t="n">
        <x:v>0.111</x:v>
      </x:c>
      <x:c r="J172" s="10" t="str">
        <x:v>JuiceFS 1.3.0 / WinFsp 2.1.25156 / rclone 1.75.0-onemount</x:v>
      </x:c>
      <x:c r="K172" s="10" t="str">
        <x:v>原版全外部；无 FUSE 筛选或名称比较放宽</x:v>
      </x:c>
      <x:c r="L172" s="10" t="str">
        <x:v>63151da049f846e65fb361d1f314df65c2d468a7</x:v>
      </x:c>
      <x:c r="M172" s="10" t="str">
        <x:v>E09 / targets.direct.results</x:v>
      </x:c>
      <x:c r="N172" s="10" t="str">
        <x:v>入口结果见原始 JSON；通过不表示任意规模均正确</x:v>
      </x:c>
    </x:row>
    <x:row r="173" ht="74" customHeight="1">
      <x:c r="A173" s="11" t="str">
        <x:v>STRICT-20261010-direct</x:v>
      </x:c>
      <x:c r="B173" s="11" t="str">
        <x:v>NATIVE-051</x:v>
      </x:c>
      <x:c r="C173" s="11" t="str">
        <x:v>lock_cached_overlapped_test</x:v>
      </x:c>
      <x:c r="D173" s="11" t="str">
        <x:v>winfsp-tests</x:v>
      </x:c>
      <x:c r="E173" s="11" t="str">
        <x:v>本地</x:v>
      </x:c>
      <x:c r="F173" s="11" t="str">
        <x:v>不适用</x:v>
      </x:c>
      <x:c r="G173" s="20" t="d">
        <x:v>2026-10-10T00:00:00.000Z</x:v>
      </x:c>
      <x:c r="H173" s="11" t="str">
        <x:v>已通过</x:v>
      </x:c>
      <x:c r="I173" s="22" t="n">
        <x:v>0.104</x:v>
      </x:c>
      <x:c r="J173" s="11" t="str">
        <x:v>JuiceFS 1.3.0 / WinFsp 2.1.25156 / rclone 1.75.0-onemount</x:v>
      </x:c>
      <x:c r="K173" s="11" t="str">
        <x:v>原版全外部；无 FUSE 筛选或名称比较放宽</x:v>
      </x:c>
      <x:c r="L173" s="11" t="str">
        <x:v>63151da049f846e65fb361d1f314df65c2d468a7</x:v>
      </x:c>
      <x:c r="M173" s="11" t="str">
        <x:v>E09 / targets.direct.results</x:v>
      </x:c>
      <x:c r="N173" s="11" t="str">
        <x:v>入口结果见原始 JSON；通过不表示任意规模均正确</x:v>
      </x:c>
    </x:row>
    <x:row r="174" ht="74" customHeight="1">
      <x:c r="A174" s="10" t="str">
        <x:v>STRICT-20261010-direct</x:v>
      </x:c>
      <x:c r="B174" s="10" t="str">
        <x:v>NATIVE-052</x:v>
      </x:c>
      <x:c r="C174" s="10" t="str">
        <x:v>querydir_test</x:v>
      </x:c>
      <x:c r="D174" s="10" t="str">
        <x:v>winfsp-tests</x:v>
      </x:c>
      <x:c r="E174" s="10" t="str">
        <x:v>本地</x:v>
      </x:c>
      <x:c r="F174" s="10" t="str">
        <x:v>不适用</x:v>
      </x:c>
      <x:c r="G174" s="19" t="d">
        <x:v>2026-10-10T00:00:00.000Z</x:v>
      </x:c>
      <x:c r="H174" s="10" t="str">
        <x:v>已通过</x:v>
      </x:c>
      <x:c r="I174" s="21" t="n">
        <x:v>2.912</x:v>
      </x:c>
      <x:c r="J174" s="10" t="str">
        <x:v>JuiceFS 1.3.0 / WinFsp 2.1.25156 / rclone 1.75.0-onemount</x:v>
      </x:c>
      <x:c r="K174" s="10" t="str">
        <x:v>原版全外部；无 FUSE 筛选或名称比较放宽</x:v>
      </x:c>
      <x:c r="L174" s="10" t="str">
        <x:v>63151da049f846e65fb361d1f314df65c2d468a7</x:v>
      </x:c>
      <x:c r="M174" s="10" t="str">
        <x:v>E09 / targets.direct.results</x:v>
      </x:c>
      <x:c r="N174" s="10" t="str">
        <x:v>入口结果见原始 JSON；通过不表示任意规模均正确</x:v>
      </x:c>
    </x:row>
    <x:row r="175" ht="74" customHeight="1">
      <x:c r="A175" s="11" t="str">
        <x:v>STRICT-20261010-direct</x:v>
      </x:c>
      <x:c r="B175" s="11" t="str">
        <x:v>NATIVE-053</x:v>
      </x:c>
      <x:c r="C175" s="11" t="str">
        <x:v>querydir_nodup_test</x:v>
      </x:c>
      <x:c r="D175" s="11" t="str">
        <x:v>winfsp-tests</x:v>
      </x:c>
      <x:c r="E175" s="11" t="str">
        <x:v>本地</x:v>
      </x:c>
      <x:c r="F175" s="11" t="str">
        <x:v>不适用</x:v>
      </x:c>
      <x:c r="G175" s="20" t="d">
        <x:v>2026-10-10T00:00:00.000Z</x:v>
      </x:c>
      <x:c r="H175" s="11" t="str">
        <x:v>已通过</x:v>
      </x:c>
      <x:c r="I175" s="22" t="n">
        <x:v>7.085</x:v>
      </x:c>
      <x:c r="J175" s="11" t="str">
        <x:v>JuiceFS 1.3.0 / WinFsp 2.1.25156 / rclone 1.75.0-onemount</x:v>
      </x:c>
      <x:c r="K175" s="11" t="str">
        <x:v>原版全外部；无 FUSE 筛选或名称比较放宽</x:v>
      </x:c>
      <x:c r="L175" s="11" t="str">
        <x:v>63151da049f846e65fb361d1f314df65c2d468a7</x:v>
      </x:c>
      <x:c r="M175" s="11" t="str">
        <x:v>E09 / targets.direct.results</x:v>
      </x:c>
      <x:c r="N175" s="11" t="str">
        <x:v>入口结果见原始 JSON；通过不表示任意规模均正确</x:v>
      </x:c>
    </x:row>
    <x:row r="176" ht="74" customHeight="1">
      <x:c r="A176" s="10" t="str">
        <x:v>STRICT-20261010-direct</x:v>
      </x:c>
      <x:c r="B176" s="10" t="str">
        <x:v>NATIVE-054</x:v>
      </x:c>
      <x:c r="C176" s="10" t="str">
        <x:v>querydir_single_test</x:v>
      </x:c>
      <x:c r="D176" s="10" t="str">
        <x:v>winfsp-tests</x:v>
      </x:c>
      <x:c r="E176" s="10" t="str">
        <x:v>本地</x:v>
      </x:c>
      <x:c r="F176" s="10" t="str">
        <x:v>不适用</x:v>
      </x:c>
      <x:c r="G176" s="19" t="d">
        <x:v>2026-10-10T00:00:00.000Z</x:v>
      </x:c>
      <x:c r="H176" s="10" t="str">
        <x:v>已通过</x:v>
      </x:c>
      <x:c r="I176" s="21" t="n">
        <x:v>5.48</x:v>
      </x:c>
      <x:c r="J176" s="10" t="str">
        <x:v>JuiceFS 1.3.0 / WinFsp 2.1.25156 / rclone 1.75.0-onemount</x:v>
      </x:c>
      <x:c r="K176" s="10" t="str">
        <x:v>原版全外部；无 FUSE 筛选或名称比较放宽</x:v>
      </x:c>
      <x:c r="L176" s="10" t="str">
        <x:v>63151da049f846e65fb361d1f314df65c2d468a7</x:v>
      </x:c>
      <x:c r="M176" s="10" t="str">
        <x:v>E09 / targets.direct.results</x:v>
      </x:c>
      <x:c r="N176" s="10" t="str">
        <x:v>入口结果见原始 JSON；通过不表示任意规模均正确</x:v>
      </x:c>
    </x:row>
    <x:row r="177" ht="74" customHeight="1">
      <x:c r="A177" s="11" t="str">
        <x:v>STRICT-20261010-direct</x:v>
      </x:c>
      <x:c r="B177" s="11" t="str">
        <x:v>NATIVE-055</x:v>
      </x:c>
      <x:c r="C177" s="11" t="str">
        <x:v>querydir_expire_cache_test</x:v>
      </x:c>
      <x:c r="D177" s="11" t="str">
        <x:v>winfsp-tests</x:v>
      </x:c>
      <x:c r="E177" s="11" t="str">
        <x:v>本地</x:v>
      </x:c>
      <x:c r="F177" s="11" t="str">
        <x:v>不适用</x:v>
      </x:c>
      <x:c r="G177" s="20" t="d">
        <x:v>2026-10-10T00:00:00.000Z</x:v>
      </x:c>
      <x:c r="H177" s="11" t="str">
        <x:v>已通过</x:v>
      </x:c>
      <x:c r="I177" s="22" t="n">
        <x:v>0.096</x:v>
      </x:c>
      <x:c r="J177" s="11" t="str">
        <x:v>JuiceFS 1.3.0 / WinFsp 2.1.25156 / rclone 1.75.0-onemount</x:v>
      </x:c>
      <x:c r="K177" s="11" t="str">
        <x:v>原版全外部；无 FUSE 筛选或名称比较放宽</x:v>
      </x:c>
      <x:c r="L177" s="11" t="str">
        <x:v>63151da049f846e65fb361d1f314df65c2d468a7</x:v>
      </x:c>
      <x:c r="M177" s="11" t="str">
        <x:v>E09 / targets.direct.results</x:v>
      </x:c>
      <x:c r="N177" s="11" t="str">
        <x:v>入口结果见原始 JSON；通过不表示任意规模均正确</x:v>
      </x:c>
    </x:row>
    <x:row r="178" ht="74" customHeight="1">
      <x:c r="A178" s="10" t="str">
        <x:v>STRICT-20261010-direct</x:v>
      </x:c>
      <x:c r="B178" s="10" t="str">
        <x:v>NATIVE-056</x:v>
      </x:c>
      <x:c r="C178" s="10" t="str">
        <x:v>querydir_buffer_overflow_test</x:v>
      </x:c>
      <x:c r="D178" s="10" t="str">
        <x:v>winfsp-tests</x:v>
      </x:c>
      <x:c r="E178" s="10" t="str">
        <x:v>本地</x:v>
      </x:c>
      <x:c r="F178" s="10" t="str">
        <x:v>不适用</x:v>
      </x:c>
      <x:c r="G178" s="19" t="d">
        <x:v>2026-10-10T00:00:00.000Z</x:v>
      </x:c>
      <x:c r="H178" s="10" t="str">
        <x:v>已通过</x:v>
      </x:c>
      <x:c r="I178" s="21" t="n">
        <x:v>0.102</x:v>
      </x:c>
      <x:c r="J178" s="10" t="str">
        <x:v>JuiceFS 1.3.0 / WinFsp 2.1.25156 / rclone 1.75.0-onemount</x:v>
      </x:c>
      <x:c r="K178" s="10" t="str">
        <x:v>原版全外部；无 FUSE 筛选或名称比较放宽</x:v>
      </x:c>
      <x:c r="L178" s="10" t="str">
        <x:v>63151da049f846e65fb361d1f314df65c2d468a7</x:v>
      </x:c>
      <x:c r="M178" s="10" t="str">
        <x:v>E09 / targets.direct.results</x:v>
      </x:c>
      <x:c r="N178" s="10" t="str">
        <x:v>入口结果见原始 JSON；通过不表示任意规模均正确</x:v>
      </x:c>
    </x:row>
    <x:row r="179" ht="74" customHeight="1">
      <x:c r="A179" s="11" t="str">
        <x:v>STRICT-20261010-direct</x:v>
      </x:c>
      <x:c r="B179" s="11" t="str">
        <x:v>NATIVE-057</x:v>
      </x:c>
      <x:c r="C179" s="11" t="str">
        <x:v>querydir_namelen_test</x:v>
      </x:c>
      <x:c r="D179" s="11" t="str">
        <x:v>winfsp-tests</x:v>
      </x:c>
      <x:c r="E179" s="11" t="str">
        <x:v>本地</x:v>
      </x:c>
      <x:c r="F179" s="11" t="str">
        <x:v>不适用</x:v>
      </x:c>
      <x:c r="G179" s="20" t="d">
        <x:v>2026-10-10T00:00:00.000Z</x:v>
      </x:c>
      <x:c r="H179" s="11" t="str">
        <x:v>已通过</x:v>
      </x:c>
      <x:c r="I179" s="22" t="n">
        <x:v>0.122</x:v>
      </x:c>
      <x:c r="J179" s="11" t="str">
        <x:v>JuiceFS 1.3.0 / WinFsp 2.1.25156 / rclone 1.75.0-onemount</x:v>
      </x:c>
      <x:c r="K179" s="11" t="str">
        <x:v>原版全外部；无 FUSE 筛选或名称比较放宽</x:v>
      </x:c>
      <x:c r="L179" s="11" t="str">
        <x:v>63151da049f846e65fb361d1f314df65c2d468a7</x:v>
      </x:c>
      <x:c r="M179" s="11" t="str">
        <x:v>E09 / targets.direct.results</x:v>
      </x:c>
      <x:c r="N179" s="11" t="str">
        <x:v>入口结果见原始 JSON；通过不表示任意规模均正确</x:v>
      </x:c>
    </x:row>
    <x:row r="180" ht="74" customHeight="1">
      <x:c r="A180" s="10" t="str">
        <x:v>STRICT-20261010-direct</x:v>
      </x:c>
      <x:c r="B180" s="10" t="str">
        <x:v>NATIVE-058</x:v>
      </x:c>
      <x:c r="C180" s="10" t="str">
        <x:v>dirnotify_test</x:v>
      </x:c>
      <x:c r="D180" s="10" t="str">
        <x:v>winfsp-tests</x:v>
      </x:c>
      <x:c r="E180" s="10" t="str">
        <x:v>本地</x:v>
      </x:c>
      <x:c r="F180" s="10" t="str">
        <x:v>不适用</x:v>
      </x:c>
      <x:c r="G180" s="19" t="d">
        <x:v>2026-10-10T00:00:00.000Z</x:v>
      </x:c>
      <x:c r="H180" s="10" t="str">
        <x:v>已通过</x:v>
      </x:c>
      <x:c r="I180" s="21" t="n">
        <x:v>1.11</x:v>
      </x:c>
      <x:c r="J180" s="10" t="str">
        <x:v>JuiceFS 1.3.0 / WinFsp 2.1.25156 / rclone 1.75.0-onemount</x:v>
      </x:c>
      <x:c r="K180" s="10" t="str">
        <x:v>原版全外部；无 FUSE 筛选或名称比较放宽</x:v>
      </x:c>
      <x:c r="L180" s="10" t="str">
        <x:v>63151da049f846e65fb361d1f314df65c2d468a7</x:v>
      </x:c>
      <x:c r="M180" s="10" t="str">
        <x:v>E09 / targets.direct.results</x:v>
      </x:c>
      <x:c r="N180" s="10" t="str">
        <x:v>入口结果见原始 JSON；通过不表示任意规模均正确</x:v>
      </x:c>
    </x:row>
    <x:row r="181" ht="74" customHeight="1">
      <x:c r="A181" s="11" t="str">
        <x:v>STRICT-20261010-direct</x:v>
      </x:c>
      <x:c r="B181" s="11" t="str">
        <x:v>NATIVE-059</x:v>
      </x:c>
      <x:c r="C181" s="11" t="str">
        <x:v>exec_test</x:v>
      </x:c>
      <x:c r="D181" s="11" t="str">
        <x:v>winfsp-tests</x:v>
      </x:c>
      <x:c r="E181" s="11" t="str">
        <x:v>本地</x:v>
      </x:c>
      <x:c r="F181" s="11" t="str">
        <x:v>不适用</x:v>
      </x:c>
      <x:c r="G181" s="20" t="d">
        <x:v>2026-10-10T00:00:00.000Z</x:v>
      </x:c>
      <x:c r="H181" s="11" t="str">
        <x:v>已失败</x:v>
      </x:c>
      <x:c r="I181" s="22" t="n">
        <x:v>0.158</x:v>
      </x:c>
      <x:c r="J181" s="11" t="str">
        <x:v>JuiceFS 1.3.0 / WinFsp 2.1.25156 / rclone 1.75.0-onemount</x:v>
      </x:c>
      <x:c r="K181" s="11" t="str">
        <x:v>原版全外部；无 FUSE 筛选或名称比较放宽</x:v>
      </x:c>
      <x:c r="L181" s="11" t="str">
        <x:v>63151da049f846e65fb361d1f314df65c2d468a7</x:v>
      </x:c>
      <x:c r="M181" s="11" t="str">
        <x:v>E09 / targets.direct.results</x:v>
      </x:c>
      <x:c r="N181" s="11" t="str">
        <x:v>    ASSERT(NT_SUCCESS(Result)) failed at exec-test.c:135:ExecHelper (err=c0000022:5)</x:v>
      </x:c>
    </x:row>
    <x:row r="182" ht="74" customHeight="1">
      <x:c r="A182" s="10" t="str">
        <x:v>STRICT-20261010-direct</x:v>
      </x:c>
      <x:c r="B182" s="10" t="str">
        <x:v>NATIVE-060</x:v>
      </x:c>
      <x:c r="C182" s="10" t="str">
        <x:v>exec_delete_test</x:v>
      </x:c>
      <x:c r="D182" s="10" t="str">
        <x:v>winfsp-tests</x:v>
      </x:c>
      <x:c r="E182" s="10" t="str">
        <x:v>本地</x:v>
      </x:c>
      <x:c r="F182" s="10" t="str">
        <x:v>不适用</x:v>
      </x:c>
      <x:c r="G182" s="19" t="d">
        <x:v>2026-10-10T00:00:00.000Z</x:v>
      </x:c>
      <x:c r="H182" s="10" t="str">
        <x:v>已失败</x:v>
      </x:c>
      <x:c r="I182" s="21" t="n">
        <x:v>0.158</x:v>
      </x:c>
      <x:c r="J182" s="10" t="str">
        <x:v>JuiceFS 1.3.0 / WinFsp 2.1.25156 / rclone 1.75.0-onemount</x:v>
      </x:c>
      <x:c r="K182" s="10" t="str">
        <x:v>原版全外部；无 FUSE 筛选或名称比较放宽</x:v>
      </x:c>
      <x:c r="L182" s="10" t="str">
        <x:v>63151da049f846e65fb361d1f314df65c2d468a7</x:v>
      </x:c>
      <x:c r="M182" s="10" t="str">
        <x:v>E09 / targets.direct.results</x:v>
      </x:c>
      <x:c r="N182" s="10" t="str">
        <x:v>    ASSERT(NT_SUCCESS(Result)) failed at exec-test.c:135:ExecHelper (err=c0000022:5)</x:v>
      </x:c>
    </x:row>
    <x:row r="183" ht="74" customHeight="1">
      <x:c r="A183" s="11" t="str">
        <x:v>STRICT-20261010-direct</x:v>
      </x:c>
      <x:c r="B183" s="11" t="str">
        <x:v>NATIVE-061</x:v>
      </x:c>
      <x:c r="C183" s="11" t="str">
        <x:v>exec_rename_test</x:v>
      </x:c>
      <x:c r="D183" s="11" t="str">
        <x:v>winfsp-tests</x:v>
      </x:c>
      <x:c r="E183" s="11" t="str">
        <x:v>本地</x:v>
      </x:c>
      <x:c r="F183" s="11" t="str">
        <x:v>不适用</x:v>
      </x:c>
      <x:c r="G183" s="20" t="d">
        <x:v>2026-10-10T00:00:00.000Z</x:v>
      </x:c>
      <x:c r="H183" s="11" t="str">
        <x:v>已失败</x:v>
      </x:c>
      <x:c r="I183" s="22" t="n">
        <x:v>0.152</x:v>
      </x:c>
      <x:c r="J183" s="11" t="str">
        <x:v>JuiceFS 1.3.0 / WinFsp 2.1.25156 / rclone 1.75.0-onemount</x:v>
      </x:c>
      <x:c r="K183" s="11" t="str">
        <x:v>原版全外部；无 FUSE 筛选或名称比较放宽</x:v>
      </x:c>
      <x:c r="L183" s="11" t="str">
        <x:v>63151da049f846e65fb361d1f314df65c2d468a7</x:v>
      </x:c>
      <x:c r="M183" s="11" t="str">
        <x:v>E09 / targets.direct.results</x:v>
      </x:c>
      <x:c r="N183" s="11" t="str">
        <x:v>    ASSERT(NT_SUCCESS(Result)) failed at exec-test.c:135:ExecHelper (err=c0000022:5)</x:v>
      </x:c>
    </x:row>
    <x:row r="184" ht="74" customHeight="1">
      <x:c r="A184" s="10" t="str">
        <x:v>STRICT-20261010-direct</x:v>
      </x:c>
      <x:c r="B184" s="10" t="str">
        <x:v>NATIVE-062</x:v>
      </x:c>
      <x:c r="C184" s="10" t="str">
        <x:v>exec_rename_dir_test</x:v>
      </x:c>
      <x:c r="D184" s="10" t="str">
        <x:v>winfsp-tests</x:v>
      </x:c>
      <x:c r="E184" s="10" t="str">
        <x:v>本地</x:v>
      </x:c>
      <x:c r="F184" s="10" t="str">
        <x:v>不适用</x:v>
      </x:c>
      <x:c r="G184" s="19" t="d">
        <x:v>2026-10-10T00:00:00.000Z</x:v>
      </x:c>
      <x:c r="H184" s="10" t="str">
        <x:v>已失败</x:v>
      </x:c>
      <x:c r="I184" s="21" t="n">
        <x:v>0.155</x:v>
      </x:c>
      <x:c r="J184" s="10" t="str">
        <x:v>JuiceFS 1.3.0 / WinFsp 2.1.25156 / rclone 1.75.0-onemount</x:v>
      </x:c>
      <x:c r="K184" s="10" t="str">
        <x:v>原版全外部；无 FUSE 筛选或名称比较放宽</x:v>
      </x:c>
      <x:c r="L184" s="10" t="str">
        <x:v>63151da049f846e65fb361d1f314df65c2d468a7</x:v>
      </x:c>
      <x:c r="M184" s="10" t="str">
        <x:v>E09 / targets.direct.results</x:v>
      </x:c>
      <x:c r="N184" s="10" t="str">
        <x:v>    ASSERT(NT_SUCCESS(Result)) failed at exec-test.c:135:ExecHelper (err=c0000022:5)</x:v>
      </x:c>
    </x:row>
    <x:row r="185" ht="74" customHeight="1">
      <x:c r="A185" s="11" t="str">
        <x:v>STRICT-20261010-direct</x:v>
      </x:c>
      <x:c r="B185" s="11" t="str">
        <x:v>NATIVE-063</x:v>
      </x:c>
      <x:c r="C185" s="11" t="str">
        <x:v>reparse_guid_test</x:v>
      </x:c>
      <x:c r="D185" s="11" t="str">
        <x:v>winfsp-tests</x:v>
      </x:c>
      <x:c r="E185" s="11" t="str">
        <x:v>本地</x:v>
      </x:c>
      <x:c r="F185" s="11" t="str">
        <x:v>不适用</x:v>
      </x:c>
      <x:c r="G185" s="20" t="d">
        <x:v>2026-10-10T00:00:00.000Z</x:v>
      </x:c>
      <x:c r="H185" s="11" t="str">
        <x:v>已失败</x:v>
      </x:c>
      <x:c r="I185" s="22" t="n">
        <x:v>0.147</x:v>
      </x:c>
      <x:c r="J185" s="11" t="str">
        <x:v>JuiceFS 1.3.0 / WinFsp 2.1.25156 / rclone 1.75.0-onemount</x:v>
      </x:c>
      <x:c r="K185" s="11" t="str">
        <x:v>原版全外部；无 FUSE 筛选或名称比较放宽</x:v>
      </x:c>
      <x:c r="L185" s="11" t="str">
        <x:v>63151da049f846e65fb361d1f314df65c2d468a7</x:v>
      </x:c>
      <x:c r="M185" s="11" t="str">
        <x:v>E09 / targets.direct.results</x:v>
      </x:c>
      <x:c r="N185" s="11" t="str">
        <x:v>    ASSERT(Success) failed at reparse-test.c:65:reparse_guid_dotest (err=c0000277:4394)</x:v>
      </x:c>
    </x:row>
    <x:row r="186" ht="74" customHeight="1">
      <x:c r="A186" s="10" t="str">
        <x:v>STRICT-20261010-direct</x:v>
      </x:c>
      <x:c r="B186" s="10" t="str">
        <x:v>NATIVE-064</x:v>
      </x:c>
      <x:c r="C186" s="10" t="str">
        <x:v>reparse_nfs_test</x:v>
      </x:c>
      <x:c r="D186" s="10" t="str">
        <x:v>winfsp-tests</x:v>
      </x:c>
      <x:c r="E186" s="10" t="str">
        <x:v>本地</x:v>
      </x:c>
      <x:c r="F186" s="10" t="str">
        <x:v>不适用</x:v>
      </x:c>
      <x:c r="G186" s="19" t="d">
        <x:v>2026-10-10T00:00:00.000Z</x:v>
      </x:c>
      <x:c r="H186" s="10" t="str">
        <x:v>已失败</x:v>
      </x:c>
      <x:c r="I186" s="21" t="n">
        <x:v>0.147</x:v>
      </x:c>
      <x:c r="J186" s="10" t="str">
        <x:v>JuiceFS 1.3.0 / WinFsp 2.1.25156 / rclone 1.75.0-onemount</x:v>
      </x:c>
      <x:c r="K186" s="10" t="str">
        <x:v>原版全外部；无 FUSE 筛选或名称比较放宽</x:v>
      </x:c>
      <x:c r="L186" s="10" t="str">
        <x:v>63151da049f846e65fb361d1f314df65c2d468a7</x:v>
      </x:c>
      <x:c r="M186" s="10" t="str">
        <x:v>E09 / targets.direct.results</x:v>
      </x:c>
      <x:c r="N186" s="10" t="str">
        <x:v>    ASSERT(Success) failed at reparse-test.c:167:reparse_nfs_dotest (err=c0000010:1)</x:v>
      </x:c>
    </x:row>
    <x:row r="187" ht="74" customHeight="1">
      <x:c r="A187" s="11" t="str">
        <x:v>STRICT-20261010-direct</x:v>
      </x:c>
      <x:c r="B187" s="11" t="str">
        <x:v>NATIVE-065</x:v>
      </x:c>
      <x:c r="C187" s="11" t="str">
        <x:v>reparse_symlink_test</x:v>
      </x:c>
      <x:c r="D187" s="11" t="str">
        <x:v>winfsp-tests</x:v>
      </x:c>
      <x:c r="E187" s="11" t="str">
        <x:v>本地</x:v>
      </x:c>
      <x:c r="F187" s="11" t="str">
        <x:v>不适用</x:v>
      </x:c>
      <x:c r="G187" s="20" t="d">
        <x:v>2026-10-10T00:00:00.000Z</x:v>
      </x:c>
      <x:c r="H187" s="11" t="str">
        <x:v>已失败</x:v>
      </x:c>
      <x:c r="I187" s="22" t="n">
        <x:v>0.146</x:v>
      </x:c>
      <x:c r="J187" s="11" t="str">
        <x:v>JuiceFS 1.3.0 / WinFsp 2.1.25156 / rclone 1.75.0-onemount</x:v>
      </x:c>
      <x:c r="K187" s="11" t="str">
        <x:v>原版全外部；无 FUSE 筛选或名称比较放宽</x:v>
      </x:c>
      <x:c r="L187" s="11" t="str">
        <x:v>63151da049f846e65fb361d1f314df65c2d468a7</x:v>
      </x:c>
      <x:c r="M187" s="11" t="str">
        <x:v>E09 / targets.direct.results</x:v>
      </x:c>
      <x:c r="N187" s="11" t="str">
        <x:v>    ASSERT(ERROR_PRIVILEGE_NOT_HELD == GetLastError()) failed at reparse-test.c:295:reparse_symlink_dotest0 (err=c0000010:1)</x:v>
      </x:c>
    </x:row>
    <x:row r="188" ht="74" customHeight="1">
      <x:c r="A188" s="10" t="str">
        <x:v>STRICT-20261010-direct</x:v>
      </x:c>
      <x:c r="B188" s="10" t="str">
        <x:v>NATIVE-066</x:v>
      </x:c>
      <x:c r="C188" s="10" t="str">
        <x:v>reparse_symlink_relative_test</x:v>
      </x:c>
      <x:c r="D188" s="10" t="str">
        <x:v>winfsp-tests</x:v>
      </x:c>
      <x:c r="E188" s="10" t="str">
        <x:v>本地</x:v>
      </x:c>
      <x:c r="F188" s="10" t="str">
        <x:v>不适用</x:v>
      </x:c>
      <x:c r="G188" s="19" t="d">
        <x:v>2026-10-10T00:00:00.000Z</x:v>
      </x:c>
      <x:c r="H188" s="10" t="str">
        <x:v>已失败</x:v>
      </x:c>
      <x:c r="I188" s="21" t="n">
        <x:v>0.162</x:v>
      </x:c>
      <x:c r="J188" s="10" t="str">
        <x:v>JuiceFS 1.3.0 / WinFsp 2.1.25156 / rclone 1.75.0-onemount</x:v>
      </x:c>
      <x:c r="K188" s="10" t="str">
        <x:v>原版全外部；无 FUSE 筛选或名称比较放宽</x:v>
      </x:c>
      <x:c r="L188" s="10" t="str">
        <x:v>63151da049f846e65fb361d1f314df65c2d468a7</x:v>
      </x:c>
      <x:c r="M188" s="10" t="str">
        <x:v>E09 / targets.direct.results</x:v>
      </x:c>
      <x:c r="N188" s="10" t="str">
        <x:v>    ASSERT(ERROR_PRIVILEGE_NOT_HELD == GetLastError()) failed at reparse-test.c:530:reparse_symlink_relative_dotest (err=c0000010:1)</x:v>
      </x:c>
    </x:row>
    <x:row r="189" ht="74" customHeight="1">
      <x:c r="A189" s="11" t="str">
        <x:v>STRICT-20261010-direct</x:v>
      </x:c>
      <x:c r="B189" s="11" t="str">
        <x:v>NATIVE-067</x:v>
      </x:c>
      <x:c r="C189" s="11" t="str">
        <x:v>ea_create_test</x:v>
      </x:c>
      <x:c r="D189" s="11" t="str">
        <x:v>winfsp-tests</x:v>
      </x:c>
      <x:c r="E189" s="11" t="str">
        <x:v>本地</x:v>
      </x:c>
      <x:c r="F189" s="11" t="str">
        <x:v>不适用</x:v>
      </x:c>
      <x:c r="G189" s="20" t="d">
        <x:v>2026-10-10T00:00:00.000Z</x:v>
      </x:c>
      <x:c r="H189" s="11" t="str">
        <x:v>已失败</x:v>
      </x:c>
      <x:c r="I189" s="22" t="n">
        <x:v>0.145</x:v>
      </x:c>
      <x:c r="J189" s="11" t="str">
        <x:v>JuiceFS 1.3.0 / WinFsp 2.1.25156 / rclone 1.75.0-onemount</x:v>
      </x:c>
      <x:c r="K189" s="11" t="str">
        <x:v>原版全外部；无 FUSE 筛选或名称比较放宽</x:v>
      </x:c>
      <x:c r="L189" s="11" t="str">
        <x:v>63151da049f846e65fb361d1f314df65c2d468a7</x:v>
      </x:c>
      <x:c r="M189" s="11" t="str">
        <x:v>E09 / targets.direct.results</x:v>
      </x:c>
      <x:c r="N189" s="11" t="str">
        <x:v>    ASSERT(STATUS_INVALID_EA_NAME == Result) failed at ea-test.c:707:ea_create_dotest (err=0:0)</x:v>
      </x:c>
    </x:row>
    <x:row r="190" ht="74" customHeight="1">
      <x:c r="A190" s="10" t="str">
        <x:v>STRICT-20261010-direct</x:v>
      </x:c>
      <x:c r="B190" s="10" t="str">
        <x:v>NATIVE-068</x:v>
      </x:c>
      <x:c r="C190" s="10" t="str">
        <x:v>ea_overwrite_test</x:v>
      </x:c>
      <x:c r="D190" s="10" t="str">
        <x:v>winfsp-tests</x:v>
      </x:c>
      <x:c r="E190" s="10" t="str">
        <x:v>本地</x:v>
      </x:c>
      <x:c r="F190" s="10" t="str">
        <x:v>不适用</x:v>
      </x:c>
      <x:c r="G190" s="19" t="d">
        <x:v>2026-10-10T00:00:00.000Z</x:v>
      </x:c>
      <x:c r="H190" s="10" t="str">
        <x:v>已失败</x:v>
      </x:c>
      <x:c r="I190" s="21" t="n">
        <x:v>0.149</x:v>
      </x:c>
      <x:c r="J190" s="10" t="str">
        <x:v>JuiceFS 1.3.0 / WinFsp 2.1.25156 / rclone 1.75.0-onemount</x:v>
      </x:c>
      <x:c r="K190" s="10" t="str">
        <x:v>原版全外部；无 FUSE 筛选或名称比较放宽</x:v>
      </x:c>
      <x:c r="L190" s="10" t="str">
        <x:v>63151da049f846e65fb361d1f314df65c2d468a7</x:v>
      </x:c>
      <x:c r="M190" s="10" t="str">
        <x:v>E09 / targets.direct.results</x:v>
      </x:c>
      <x:c r="N190" s="10" t="str">
        <x:v>    ASSERT(STATUS_SUCCESS == Result) failed at ea-test.c:830:ea_overwrite_dotest (err=0:0)</x:v>
      </x:c>
    </x:row>
    <x:row r="191" ht="74" customHeight="1">
      <x:c r="A191" s="11" t="str">
        <x:v>STRICT-20261010-direct</x:v>
      </x:c>
      <x:c r="B191" s="11" t="str">
        <x:v>NATIVE-069</x:v>
      </x:c>
      <x:c r="C191" s="11" t="str">
        <x:v>ea_getset_test</x:v>
      </x:c>
      <x:c r="D191" s="11" t="str">
        <x:v>winfsp-tests</x:v>
      </x:c>
      <x:c r="E191" s="11" t="str">
        <x:v>本地</x:v>
      </x:c>
      <x:c r="F191" s="11" t="str">
        <x:v>不适用</x:v>
      </x:c>
      <x:c r="G191" s="20" t="d">
        <x:v>2026-10-10T00:00:00.000Z</x:v>
      </x:c>
      <x:c r="H191" s="11" t="str">
        <x:v>已失败</x:v>
      </x:c>
      <x:c r="I191" s="22" t="n">
        <x:v>0.147</x:v>
      </x:c>
      <x:c r="J191" s="11" t="str">
        <x:v>JuiceFS 1.3.0 / WinFsp 2.1.25156 / rclone 1.75.0-onemount</x:v>
      </x:c>
      <x:c r="K191" s="11" t="str">
        <x:v>原版全外部；无 FUSE 筛选或名称比较放宽</x:v>
      </x:c>
      <x:c r="L191" s="11" t="str">
        <x:v>63151da049f846e65fb361d1f314df65c2d468a7</x:v>
      </x:c>
      <x:c r="M191" s="11" t="str">
        <x:v>E09 / targets.direct.results</x:v>
      </x:c>
      <x:c r="N191" s="11" t="str">
        <x:v>    ASSERT(STATUS_INVALID_EA_NAME == Result) failed at ea-test.c:906:ea_getset_dotest (err=0:0)</x:v>
      </x:c>
    </x:row>
    <x:row r="192" ht="74" customHeight="1">
      <x:c r="A192" s="10" t="str">
        <x:v>STRICT-20261010-direct</x:v>
      </x:c>
      <x:c r="B192" s="10" t="str">
        <x:v>NATIVE-070</x:v>
      </x:c>
      <x:c r="C192" s="10" t="str">
        <x:v>stream_create_test</x:v>
      </x:c>
      <x:c r="D192" s="10" t="str">
        <x:v>winfsp-tests</x:v>
      </x:c>
      <x:c r="E192" s="10" t="str">
        <x:v>本地</x:v>
      </x:c>
      <x:c r="F192" s="10" t="str">
        <x:v>不适用</x:v>
      </x:c>
      <x:c r="G192" s="19" t="d">
        <x:v>2026-10-10T00:00:00.000Z</x:v>
      </x:c>
      <x:c r="H192" s="10" t="str">
        <x:v>已失败</x:v>
      </x:c>
      <x:c r="I192" s="21" t="n">
        <x:v>0.149</x:v>
      </x:c>
      <x:c r="J192" s="10" t="str">
        <x:v>JuiceFS 1.3.0 / WinFsp 2.1.25156 / rclone 1.75.0-onemount</x:v>
      </x:c>
      <x:c r="K192" s="10" t="str">
        <x:v>原版全外部；无 FUSE 筛选或名称比较放宽</x:v>
      </x:c>
      <x:c r="L192" s="10" t="str">
        <x:v>63151da049f846e65fb361d1f314df65c2d468a7</x:v>
      </x:c>
      <x:c r="M192" s="10" t="str">
        <x:v>E09 / targets.direct.results</x:v>
      </x:c>
      <x:c r="N192" s="10" t="str">
        <x:v>    ASSERT(INVALID_HANDLE_VALUE != Handle) failed at stream-tests.c:46:stream_create_dotest (err=c0000033:123)</x:v>
      </x:c>
    </x:row>
    <x:row r="193" ht="74" customHeight="1">
      <x:c r="A193" s="11" t="str">
        <x:v>STRICT-20261010-direct</x:v>
      </x:c>
      <x:c r="B193" s="11" t="str">
        <x:v>NATIVE-071</x:v>
      </x:c>
      <x:c r="C193" s="11" t="str">
        <x:v>stream_create_overwrite_test</x:v>
      </x:c>
      <x:c r="D193" s="11" t="str">
        <x:v>winfsp-tests</x:v>
      </x:c>
      <x:c r="E193" s="11" t="str">
        <x:v>本地</x:v>
      </x:c>
      <x:c r="F193" s="11" t="str">
        <x:v>不适用</x:v>
      </x:c>
      <x:c r="G193" s="20" t="d">
        <x:v>2026-10-10T00:00:00.000Z</x:v>
      </x:c>
      <x:c r="H193" s="11" t="str">
        <x:v>已失败</x:v>
      </x:c>
      <x:c r="I193" s="22" t="n">
        <x:v>0.146</x:v>
      </x:c>
      <x:c r="J193" s="11" t="str">
        <x:v>JuiceFS 1.3.0 / WinFsp 2.1.25156 / rclone 1.75.0-onemount</x:v>
      </x:c>
      <x:c r="K193" s="11" t="str">
        <x:v>原版全外部；无 FUSE 筛选或名称比较放宽</x:v>
      </x:c>
      <x:c r="L193" s="11" t="str">
        <x:v>63151da049f846e65fb361d1f314df65c2d468a7</x:v>
      </x:c>
      <x:c r="M193" s="11" t="str">
        <x:v>E09 / targets.direct.results</x:v>
      </x:c>
      <x:c r="N193" s="11" t="str">
        <x:v>    ASSERT(INVALID_HANDLE_VALUE != Handle) failed at stream-tests.c:381:stream_create_overwrite_dotest (err=c0000033:123)</x:v>
      </x:c>
    </x:row>
    <x:row r="194" ht="74" customHeight="1">
      <x:c r="A194" s="10" t="str">
        <x:v>STRICT-20261010-direct</x:v>
      </x:c>
      <x:c r="B194" s="10" t="str">
        <x:v>NATIVE-072</x:v>
      </x:c>
      <x:c r="C194" s="10" t="str">
        <x:v>stream_create_related_test</x:v>
      </x:c>
      <x:c r="D194" s="10" t="str">
        <x:v>winfsp-tests</x:v>
      </x:c>
      <x:c r="E194" s="10" t="str">
        <x:v>本地</x:v>
      </x:c>
      <x:c r="F194" s="10" t="str">
        <x:v>不适用</x:v>
      </x:c>
      <x:c r="G194" s="19" t="d">
        <x:v>2026-10-10T00:00:00.000Z</x:v>
      </x:c>
      <x:c r="H194" s="10" t="str">
        <x:v>已失败</x:v>
      </x:c>
      <x:c r="I194" s="21" t="n">
        <x:v>0.149</x:v>
      </x:c>
      <x:c r="J194" s="10" t="str">
        <x:v>JuiceFS 1.3.0 / WinFsp 2.1.25156 / rclone 1.75.0-onemount</x:v>
      </x:c>
      <x:c r="K194" s="10" t="str">
        <x:v>原版全外部；无 FUSE 筛选或名称比较放宽</x:v>
      </x:c>
      <x:c r="L194" s="10" t="str">
        <x:v>63151da049f846e65fb361d1f314df65c2d468a7</x:v>
      </x:c>
      <x:c r="M194" s="10" t="str">
        <x:v>E09 / targets.direct.results</x:v>
      </x:c>
      <x:c r="N194" s="10" t="str">
        <x:v>    ASSERT(STATUS_SUCCESS == Result) failed at stream-tests.c:495:stream_create_related_dotest (err=0:0)</x:v>
      </x:c>
    </x:row>
    <x:row r="195" ht="74" customHeight="1">
      <x:c r="A195" s="11" t="str">
        <x:v>STRICT-20261010-direct</x:v>
      </x:c>
      <x:c r="B195" s="11" t="str">
        <x:v>NATIVE-073</x:v>
      </x:c>
      <x:c r="C195" s="11" t="str">
        <x:v>stream_create_sd_test</x:v>
      </x:c>
      <x:c r="D195" s="11" t="str">
        <x:v>winfsp-tests</x:v>
      </x:c>
      <x:c r="E195" s="11" t="str">
        <x:v>本地</x:v>
      </x:c>
      <x:c r="F195" s="11" t="str">
        <x:v>不适用</x:v>
      </x:c>
      <x:c r="G195" s="20" t="d">
        <x:v>2026-10-10T00:00:00.000Z</x:v>
      </x:c>
      <x:c r="H195" s="11" t="str">
        <x:v>已失败</x:v>
      </x:c>
      <x:c r="I195" s="22" t="n">
        <x:v>0.149</x:v>
      </x:c>
      <x:c r="J195" s="11" t="str">
        <x:v>JuiceFS 1.3.0 / WinFsp 2.1.25156 / rclone 1.75.0-onemount</x:v>
      </x:c>
      <x:c r="K195" s="11" t="str">
        <x:v>原版全外部；无 FUSE 筛选或名称比较放宽</x:v>
      </x:c>
      <x:c r="L195" s="11" t="str">
        <x:v>63151da049f846e65fb361d1f314df65c2d468a7</x:v>
      </x:c>
      <x:c r="M195" s="11" t="str">
        <x:v>E09 / targets.direct.results</x:v>
      </x:c>
      <x:c r="N195" s="11" t="str">
        <x:v>    ASSERT(INVALID_HANDLE_VALUE != Handle) failed at stream-tests.c:553:stream_create_sd_dotest (err=c0000033:123)</x:v>
      </x:c>
    </x:row>
    <x:row r="196" ht="74" customHeight="1">
      <x:c r="A196" s="10" t="str">
        <x:v>STRICT-20261010-direct</x:v>
      </x:c>
      <x:c r="B196" s="10" t="str">
        <x:v>NATIVE-074</x:v>
      </x:c>
      <x:c r="C196" s="10" t="str">
        <x:v>stream_create_share_test</x:v>
      </x:c>
      <x:c r="D196" s="10" t="str">
        <x:v>winfsp-tests</x:v>
      </x:c>
      <x:c r="E196" s="10" t="str">
        <x:v>本地</x:v>
      </x:c>
      <x:c r="F196" s="10" t="str">
        <x:v>不适用</x:v>
      </x:c>
      <x:c r="G196" s="19" t="d">
        <x:v>2026-10-10T00:00:00.000Z</x:v>
      </x:c>
      <x:c r="H196" s="10" t="str">
        <x:v>已失败</x:v>
      </x:c>
      <x:c r="I196" s="21" t="n">
        <x:v>0.143</x:v>
      </x:c>
      <x:c r="J196" s="10" t="str">
        <x:v>JuiceFS 1.3.0 / WinFsp 2.1.25156 / rclone 1.75.0-onemount</x:v>
      </x:c>
      <x:c r="K196" s="10" t="str">
        <x:v>原版全外部；无 FUSE 筛选或名称比较放宽</x:v>
      </x:c>
      <x:c r="L196" s="10" t="str">
        <x:v>63151da049f846e65fb361d1f314df65c2d468a7</x:v>
      </x:c>
      <x:c r="M196" s="10" t="str">
        <x:v>E09 / targets.direct.results</x:v>
      </x:c>
      <x:c r="N196" s="10" t="str">
        <x:v>    ASSERT(INVALID_HANDLE_VALUE != Handle1) failed at stream-tests.c:627:stream_create_share_dotest (err=c0000033:123)</x:v>
      </x:c>
    </x:row>
    <x:row r="197" ht="74" customHeight="1">
      <x:c r="A197" s="11" t="str">
        <x:v>STRICT-20261010-direct</x:v>
      </x:c>
      <x:c r="B197" s="11" t="str">
        <x:v>NATIVE-075</x:v>
      </x:c>
      <x:c r="C197" s="11" t="str">
        <x:v>stream_getfileinfo_test</x:v>
      </x:c>
      <x:c r="D197" s="11" t="str">
        <x:v>winfsp-tests</x:v>
      </x:c>
      <x:c r="E197" s="11" t="str">
        <x:v>本地</x:v>
      </x:c>
      <x:c r="F197" s="11" t="str">
        <x:v>不适用</x:v>
      </x:c>
      <x:c r="G197" s="20" t="d">
        <x:v>2026-10-10T00:00:00.000Z</x:v>
      </x:c>
      <x:c r="H197" s="11" t="str">
        <x:v>已失败</x:v>
      </x:c>
      <x:c r="I197" s="22" t="n">
        <x:v>0.142</x:v>
      </x:c>
      <x:c r="J197" s="11" t="str">
        <x:v>JuiceFS 1.3.0 / WinFsp 2.1.25156 / rclone 1.75.0-onemount</x:v>
      </x:c>
      <x:c r="K197" s="11" t="str">
        <x:v>原版全外部；无 FUSE 筛选或名称比较放宽</x:v>
      </x:c>
      <x:c r="L197" s="11" t="str">
        <x:v>63151da049f846e65fb361d1f314df65c2d468a7</x:v>
      </x:c>
      <x:c r="M197" s="11" t="str">
        <x:v>E09 / targets.direct.results</x:v>
      </x:c>
      <x:c r="N197" s="11" t="str">
        <x:v>    ASSERT(INVALID_HANDLE_VALUE != Handle) failed at stream-tests.c:957:stream_getfileinfo_dotest (err=c0000033:123)</x:v>
      </x:c>
    </x:row>
    <x:row r="198" ht="74" customHeight="1">
      <x:c r="A198" s="10" t="str">
        <x:v>STRICT-20261010-direct</x:v>
      </x:c>
      <x:c r="B198" s="10" t="str">
        <x:v>NATIVE-076</x:v>
      </x:c>
      <x:c r="C198" s="10" t="str">
        <x:v>stream_setfileinfo_test</x:v>
      </x:c>
      <x:c r="D198" s="10" t="str">
        <x:v>winfsp-tests</x:v>
      </x:c>
      <x:c r="E198" s="10" t="str">
        <x:v>本地</x:v>
      </x:c>
      <x:c r="F198" s="10" t="str">
        <x:v>不适用</x:v>
      </x:c>
      <x:c r="G198" s="19" t="d">
        <x:v>2026-10-10T00:00:00.000Z</x:v>
      </x:c>
      <x:c r="H198" s="10" t="str">
        <x:v>已失败</x:v>
      </x:c>
      <x:c r="I198" s="21" t="n">
        <x:v>0.145</x:v>
      </x:c>
      <x:c r="J198" s="10" t="str">
        <x:v>JuiceFS 1.3.0 / WinFsp 2.1.25156 / rclone 1.75.0-onemount</x:v>
      </x:c>
      <x:c r="K198" s="10" t="str">
        <x:v>原版全外部；无 FUSE 筛选或名称比较放宽</x:v>
      </x:c>
      <x:c r="L198" s="10" t="str">
        <x:v>63151da049f846e65fb361d1f314df65c2d468a7</x:v>
      </x:c>
      <x:c r="M198" s="10" t="str">
        <x:v>E09 / targets.direct.results</x:v>
      </x:c>
      <x:c r="N198" s="10" t="str">
        <x:v>    ASSERT(INVALID_HANDLE_VALUE != StreamHandle) failed at stream-tests.c:1188:stream_setfileinfo_dotest (err=c0000033:123)</x:v>
      </x:c>
    </x:row>
    <x:row r="199" ht="74" customHeight="1">
      <x:c r="A199" s="11" t="str">
        <x:v>STRICT-20261010-direct</x:v>
      </x:c>
      <x:c r="B199" s="11" t="str">
        <x:v>NATIVE-077</x:v>
      </x:c>
      <x:c r="C199" s="11" t="str">
        <x:v>stream_delete_test</x:v>
      </x:c>
      <x:c r="D199" s="11" t="str">
        <x:v>winfsp-tests</x:v>
      </x:c>
      <x:c r="E199" s="11" t="str">
        <x:v>本地</x:v>
      </x:c>
      <x:c r="F199" s="11" t="str">
        <x:v>不适用</x:v>
      </x:c>
      <x:c r="G199" s="20" t="d">
        <x:v>2026-10-10T00:00:00.000Z</x:v>
      </x:c>
      <x:c r="H199" s="11" t="str">
        <x:v>已失败</x:v>
      </x:c>
      <x:c r="I199" s="22" t="n">
        <x:v>0.15</x:v>
      </x:c>
      <x:c r="J199" s="11" t="str">
        <x:v>JuiceFS 1.3.0 / WinFsp 2.1.25156 / rclone 1.75.0-onemount</x:v>
      </x:c>
      <x:c r="K199" s="11" t="str">
        <x:v>原版全外部；无 FUSE 筛选或名称比较放宽</x:v>
      </x:c>
      <x:c r="L199" s="11" t="str">
        <x:v>63151da049f846e65fb361d1f314df65c2d468a7</x:v>
      </x:c>
      <x:c r="M199" s="11" t="str">
        <x:v>E09 / targets.direct.results</x:v>
      </x:c>
      <x:c r="N199" s="11" t="str">
        <x:v>    ASSERT(INVALID_HANDLE_VALUE != Handle) failed at stream-tests.c:1329:stream_delete_dotest (err=c0000033:123)</x:v>
      </x:c>
    </x:row>
    <x:row r="200" ht="74" customHeight="1">
      <x:c r="A200" s="10" t="str">
        <x:v>STRICT-20261010-direct</x:v>
      </x:c>
      <x:c r="B200" s="10" t="str">
        <x:v>NATIVE-078</x:v>
      </x:c>
      <x:c r="C200" s="10" t="str">
        <x:v>stream_delete_pending_test</x:v>
      </x:c>
      <x:c r="D200" s="10" t="str">
        <x:v>winfsp-tests</x:v>
      </x:c>
      <x:c r="E200" s="10" t="str">
        <x:v>本地</x:v>
      </x:c>
      <x:c r="F200" s="10" t="str">
        <x:v>不适用</x:v>
      </x:c>
      <x:c r="G200" s="19" t="d">
        <x:v>2026-10-10T00:00:00.000Z</x:v>
      </x:c>
      <x:c r="H200" s="10" t="str">
        <x:v>已失败</x:v>
      </x:c>
      <x:c r="I200" s="21" t="n">
        <x:v>0.144</x:v>
      </x:c>
      <x:c r="J200" s="10" t="str">
        <x:v>JuiceFS 1.3.0 / WinFsp 2.1.25156 / rclone 1.75.0-onemount</x:v>
      </x:c>
      <x:c r="K200" s="10" t="str">
        <x:v>原版全外部；无 FUSE 筛选或名称比较放宽</x:v>
      </x:c>
      <x:c r="L200" s="10" t="str">
        <x:v>63151da049f846e65fb361d1f314df65c2d468a7</x:v>
      </x:c>
      <x:c r="M200" s="10" t="str">
        <x:v>E09 / targets.direct.results</x:v>
      </x:c>
      <x:c r="N200" s="10" t="str">
        <x:v>    ASSERT(INVALID_HANDLE_VALUE != Handle) failed at stream-tests.c:1413:stream_delete_pending_dotest (err=c0000033:123)</x:v>
      </x:c>
    </x:row>
    <x:row r="201" ht="74" customHeight="1">
      <x:c r="A201" s="11" t="str">
        <x:v>STRICT-20261010-direct</x:v>
      </x:c>
      <x:c r="B201" s="11" t="str">
        <x:v>NATIVE-079</x:v>
      </x:c>
      <x:c r="C201" s="11" t="str">
        <x:v>stream_rename_flipflop_test</x:v>
      </x:c>
      <x:c r="D201" s="11" t="str">
        <x:v>winfsp-tests</x:v>
      </x:c>
      <x:c r="E201" s="11" t="str">
        <x:v>本地</x:v>
      </x:c>
      <x:c r="F201" s="11" t="str">
        <x:v>不适用</x:v>
      </x:c>
      <x:c r="G201" s="20" t="d">
        <x:v>2026-10-10T00:00:00.000Z</x:v>
      </x:c>
      <x:c r="H201" s="11" t="str">
        <x:v>已失败</x:v>
      </x:c>
      <x:c r="I201" s="22" t="n">
        <x:v>0.143</x:v>
      </x:c>
      <x:c r="J201" s="11" t="str">
        <x:v>JuiceFS 1.3.0 / WinFsp 2.1.25156 / rclone 1.75.0-onemount</x:v>
      </x:c>
      <x:c r="K201" s="11" t="str">
        <x:v>原版全外部；无 FUSE 筛选或名称比较放宽</x:v>
      </x:c>
      <x:c r="L201" s="11" t="str">
        <x:v>63151da049f846e65fb361d1f314df65c2d468a7</x:v>
      </x:c>
      <x:c r="M201" s="11" t="str">
        <x:v>E09 / targets.direct.results</x:v>
      </x:c>
      <x:c r="N201" s="11" t="str">
        <x:v>    ASSERT(INVALID_HANDLE_VALUE != Handle) failed at stream-tests.c:1523:stream_rename_flipflop_dotest (err=c0000033:123)</x:v>
      </x:c>
    </x:row>
    <x:row r="202" ht="74" customHeight="1">
      <x:c r="A202" s="10" t="str">
        <x:v>STRICT-20261010-direct</x:v>
      </x:c>
      <x:c r="B202" s="10" t="str">
        <x:v>NATIVE-080</x:v>
      </x:c>
      <x:c r="C202" s="10" t="str">
        <x:v>stream_getsecurity_test</x:v>
      </x:c>
      <x:c r="D202" s="10" t="str">
        <x:v>winfsp-tests</x:v>
      </x:c>
      <x:c r="E202" s="10" t="str">
        <x:v>本地</x:v>
      </x:c>
      <x:c r="F202" s="10" t="str">
        <x:v>不适用</x:v>
      </x:c>
      <x:c r="G202" s="19" t="d">
        <x:v>2026-10-10T00:00:00.000Z</x:v>
      </x:c>
      <x:c r="H202" s="10" t="str">
        <x:v>已失败</x:v>
      </x:c>
      <x:c r="I202" s="21" t="n">
        <x:v>0.142</x:v>
      </x:c>
      <x:c r="J202" s="10" t="str">
        <x:v>JuiceFS 1.3.0 / WinFsp 2.1.25156 / rclone 1.75.0-onemount</x:v>
      </x:c>
      <x:c r="K202" s="10" t="str">
        <x:v>原版全外部；无 FUSE 筛选或名称比较放宽</x:v>
      </x:c>
      <x:c r="L202" s="10" t="str">
        <x:v>63151da049f846e65fb361d1f314df65c2d468a7</x:v>
      </x:c>
      <x:c r="M202" s="10" t="str">
        <x:v>E09 / targets.direct.results</x:v>
      </x:c>
      <x:c r="N202" s="10" t="str">
        <x:v>    ASSERT(INVALID_HANDLE_VALUE != Handle) failed at stream-tests.c:1659:stream_getsecurity_dotest (err=c0000033:123)</x:v>
      </x:c>
    </x:row>
    <x:row r="203" ht="74" customHeight="1">
      <x:c r="A203" s="11" t="str">
        <x:v>STRICT-20261010-direct</x:v>
      </x:c>
      <x:c r="B203" s="11" t="str">
        <x:v>NATIVE-081</x:v>
      </x:c>
      <x:c r="C203" s="11" t="str">
        <x:v>stream_setsecurity_test</x:v>
      </x:c>
      <x:c r="D203" s="11" t="str">
        <x:v>winfsp-tests</x:v>
      </x:c>
      <x:c r="E203" s="11" t="str">
        <x:v>本地</x:v>
      </x:c>
      <x:c r="F203" s="11" t="str">
        <x:v>不适用</x:v>
      </x:c>
      <x:c r="G203" s="20" t="d">
        <x:v>2026-10-10T00:00:00.000Z</x:v>
      </x:c>
      <x:c r="H203" s="11" t="str">
        <x:v>已失败</x:v>
      </x:c>
      <x:c r="I203" s="22" t="n">
        <x:v>0.147</x:v>
      </x:c>
      <x:c r="J203" s="11" t="str">
        <x:v>JuiceFS 1.3.0 / WinFsp 2.1.25156 / rclone 1.75.0-onemount</x:v>
      </x:c>
      <x:c r="K203" s="11" t="str">
        <x:v>原版全外部；无 FUSE 筛选或名称比较放宽</x:v>
      </x:c>
      <x:c r="L203" s="11" t="str">
        <x:v>63151da049f846e65fb361d1f314df65c2d468a7</x:v>
      </x:c>
      <x:c r="M203" s="11" t="str">
        <x:v>E09 / targets.direct.results</x:v>
      </x:c>
      <x:c r="N203" s="11" t="str">
        <x:v>    ASSERT(INVALID_HANDLE_VALUE != StreamHandle) failed at stream-tests.c:1830:stream_setsecurity_dotest (err=c0000033:123)</x:v>
      </x:c>
    </x:row>
    <x:row r="204" ht="74" customHeight="1">
      <x:c r="A204" s="10" t="str">
        <x:v>STRICT-20261010-direct</x:v>
      </x:c>
      <x:c r="B204" s="10" t="str">
        <x:v>NATIVE-082</x:v>
      </x:c>
      <x:c r="C204" s="10" t="str">
        <x:v>stream_getstreaminfo_test</x:v>
      </x:c>
      <x:c r="D204" s="10" t="str">
        <x:v>winfsp-tests</x:v>
      </x:c>
      <x:c r="E204" s="10" t="str">
        <x:v>本地</x:v>
      </x:c>
      <x:c r="F204" s="10" t="str">
        <x:v>不适用</x:v>
      </x:c>
      <x:c r="G204" s="19" t="d">
        <x:v>2026-10-10T00:00:00.000Z</x:v>
      </x:c>
      <x:c r="H204" s="10" t="str">
        <x:v>已失败</x:v>
      </x:c>
      <x:c r="I204" s="21" t="n">
        <x:v>0.179</x:v>
      </x:c>
      <x:c r="J204" s="10" t="str">
        <x:v>JuiceFS 1.3.0 / WinFsp 2.1.25156 / rclone 1.75.0-onemount</x:v>
      </x:c>
      <x:c r="K204" s="10" t="str">
        <x:v>原版全外部；无 FUSE 筛选或名称比较放宽</x:v>
      </x:c>
      <x:c r="L204" s="10" t="str">
        <x:v>63151da049f846e65fb361d1f314df65c2d468a7</x:v>
      </x:c>
      <x:c r="M204" s="10" t="str">
        <x:v>E09 / targets.direct.results</x:v>
      </x:c>
      <x:c r="N204" s="10" t="str">
        <x:v>    ASSERT(INVALID_HANDLE_VALUE != Handle) failed at stream-tests.c:1966:stream_getstreaminfo_dotest (err=c0000033:123)</x:v>
      </x:c>
    </x:row>
    <x:row r="205" ht="74" customHeight="1">
      <x:c r="A205" s="11" t="str">
        <x:v>STRICT-20261010-direct</x:v>
      </x:c>
      <x:c r="B205" s="11" t="str">
        <x:v>NATIVE-083</x:v>
      </x:c>
      <x:c r="C205" s="11" t="str">
        <x:v>stream_getstreaminfo_expire_cache_test</x:v>
      </x:c>
      <x:c r="D205" s="11" t="str">
        <x:v>winfsp-tests</x:v>
      </x:c>
      <x:c r="E205" s="11" t="str">
        <x:v>本地</x:v>
      </x:c>
      <x:c r="F205" s="11" t="str">
        <x:v>不适用</x:v>
      </x:c>
      <x:c r="G205" s="20" t="d">
        <x:v>2026-10-10T00:00:00.000Z</x:v>
      </x:c>
      <x:c r="H205" s="11" t="str">
        <x:v>已通过</x:v>
      </x:c>
      <x:c r="I205" s="22" t="n">
        <x:v>0.095</x:v>
      </x:c>
      <x:c r="J205" s="11" t="str">
        <x:v>JuiceFS 1.3.0 / WinFsp 2.1.25156 / rclone 1.75.0-onemount</x:v>
      </x:c>
      <x:c r="K205" s="11" t="str">
        <x:v>原版全外部；无 FUSE 筛选或名称比较放宽</x:v>
      </x:c>
      <x:c r="L205" s="11" t="str">
        <x:v>63151da049f846e65fb361d1f314df65c2d468a7</x:v>
      </x:c>
      <x:c r="M205" s="11" t="str">
        <x:v>E09 / targets.direct.results</x:v>
      </x:c>
      <x:c r="N205" s="11" t="str">
        <x:v>入口结果见原始 JSON；通过不表示任意规模均正确</x:v>
      </x:c>
    </x:row>
    <x:row r="206" ht="74" customHeight="1">
      <x:c r="A206" s="10" t="str">
        <x:v>STRICT-20261010-direct</x:v>
      </x:c>
      <x:c r="B206" s="10" t="str">
        <x:v>NATIVE-084</x:v>
      </x:c>
      <x:c r="C206" s="10" t="str">
        <x:v>stream_dirnotify_test</x:v>
      </x:c>
      <x:c r="D206" s="10" t="str">
        <x:v>winfsp-tests</x:v>
      </x:c>
      <x:c r="E206" s="10" t="str">
        <x:v>本地</x:v>
      </x:c>
      <x:c r="F206" s="10" t="str">
        <x:v>不适用</x:v>
      </x:c>
      <x:c r="G206" s="19" t="d">
        <x:v>2026-10-10T00:00:00.000Z</x:v>
      </x:c>
      <x:c r="H206" s="10" t="str">
        <x:v>已超时</x:v>
      </x:c>
      <x:c r="I206" s="21" t="n">
        <x:v>90.082</x:v>
      </x:c>
      <x:c r="J206" s="10" t="str">
        <x:v>JuiceFS 1.3.0 / WinFsp 2.1.25156 / rclone 1.75.0-onemount</x:v>
      </x:c>
      <x:c r="K206" s="10" t="str">
        <x:v>原版全外部；无 FUSE 筛选或名称比较放宽</x:v>
      </x:c>
      <x:c r="L206" s="10" t="str">
        <x:v>63151da049f846e65fb361d1f314df65c2d468a7</x:v>
      </x:c>
      <x:c r="M206" s="10" t="str">
        <x:v>E09 / targets.direct.results</x:v>
      </x:c>
      <x:c r="N206" s="10" t="str">
        <x:v>入口结果见原始 JSON；通过不表示任意规模均正确</x:v>
      </x:c>
    </x:row>
    <x:row r="207" ht="74" customHeight="1">
      <x:c r="A207" s="11" t="str">
        <x:v>STRICT-20261010-direct</x:v>
      </x:c>
      <x:c r="B207" s="11" t="str">
        <x:v>NATIVE-085</x:v>
      </x:c>
      <x:c r="C207" s="11" t="str">
        <x:v>oplock_level1_test</x:v>
      </x:c>
      <x:c r="D207" s="11" t="str">
        <x:v>winfsp-tests</x:v>
      </x:c>
      <x:c r="E207" s="11" t="str">
        <x:v>本地</x:v>
      </x:c>
      <x:c r="F207" s="11" t="str">
        <x:v>不适用</x:v>
      </x:c>
      <x:c r="G207" s="20" t="d">
        <x:v>2026-10-10T00:00:00.000Z</x:v>
      </x:c>
      <x:c r="H207" s="11" t="str">
        <x:v>已通过</x:v>
      </x:c>
      <x:c r="I207" s="22" t="n">
        <x:v>1.353</x:v>
      </x:c>
      <x:c r="J207" s="11" t="str">
        <x:v>JuiceFS 1.3.0 / WinFsp 2.1.25156 / rclone 1.75.0-onemount</x:v>
      </x:c>
      <x:c r="K207" s="11" t="str">
        <x:v>原版全外部；无 FUSE 筛选或名称比较放宽</x:v>
      </x:c>
      <x:c r="L207" s="11" t="str">
        <x:v>63151da049f846e65fb361d1f314df65c2d468a7</x:v>
      </x:c>
      <x:c r="M207" s="11" t="str">
        <x:v>E09 / targets.direct.results</x:v>
      </x:c>
      <x:c r="N207" s="11" t="str">
        <x:v>入口结果见原始 JSON；通过不表示任意规模均正确</x:v>
      </x:c>
    </x:row>
    <x:row r="208" ht="74" customHeight="1">
      <x:c r="A208" s="10" t="str">
        <x:v>STRICT-20261010-direct</x:v>
      </x:c>
      <x:c r="B208" s="10" t="str">
        <x:v>NATIVE-086</x:v>
      </x:c>
      <x:c r="C208" s="10" t="str">
        <x:v>oplock_level2_test</x:v>
      </x:c>
      <x:c r="D208" s="10" t="str">
        <x:v>winfsp-tests</x:v>
      </x:c>
      <x:c r="E208" s="10" t="str">
        <x:v>本地</x:v>
      </x:c>
      <x:c r="F208" s="10" t="str">
        <x:v>不适用</x:v>
      </x:c>
      <x:c r="G208" s="19" t="d">
        <x:v>2026-10-10T00:00:00.000Z</x:v>
      </x:c>
      <x:c r="H208" s="10" t="str">
        <x:v>已通过</x:v>
      </x:c>
      <x:c r="I208" s="21" t="n">
        <x:v>2.536</x:v>
      </x:c>
      <x:c r="J208" s="10" t="str">
        <x:v>JuiceFS 1.3.0 / WinFsp 2.1.25156 / rclone 1.75.0-onemount</x:v>
      </x:c>
      <x:c r="K208" s="10" t="str">
        <x:v>原版全外部；无 FUSE 筛选或名称比较放宽</x:v>
      </x:c>
      <x:c r="L208" s="10" t="str">
        <x:v>63151da049f846e65fb361d1f314df65c2d468a7</x:v>
      </x:c>
      <x:c r="M208" s="10" t="str">
        <x:v>E09 / targets.direct.results</x:v>
      </x:c>
      <x:c r="N208" s="10" t="str">
        <x:v>入口结果见原始 JSON；通过不表示任意规模均正确</x:v>
      </x:c>
    </x:row>
    <x:row r="209" ht="74" customHeight="1">
      <x:c r="A209" s="11" t="str">
        <x:v>STRICT-20261010-direct</x:v>
      </x:c>
      <x:c r="B209" s="11" t="str">
        <x:v>NATIVE-087</x:v>
      </x:c>
      <x:c r="C209" s="11" t="str">
        <x:v>oplock_batch_test</x:v>
      </x:c>
      <x:c r="D209" s="11" t="str">
        <x:v>winfsp-tests</x:v>
      </x:c>
      <x:c r="E209" s="11" t="str">
        <x:v>本地</x:v>
      </x:c>
      <x:c r="F209" s="11" t="str">
        <x:v>不适用</x:v>
      </x:c>
      <x:c r="G209" s="20" t="d">
        <x:v>2026-10-10T00:00:00.000Z</x:v>
      </x:c>
      <x:c r="H209" s="11" t="str">
        <x:v>已通过</x:v>
      </x:c>
      <x:c r="I209" s="22" t="n">
        <x:v>1.336</x:v>
      </x:c>
      <x:c r="J209" s="11" t="str">
        <x:v>JuiceFS 1.3.0 / WinFsp 2.1.25156 / rclone 1.75.0-onemount</x:v>
      </x:c>
      <x:c r="K209" s="11" t="str">
        <x:v>原版全外部；无 FUSE 筛选或名称比较放宽</x:v>
      </x:c>
      <x:c r="L209" s="11" t="str">
        <x:v>63151da049f846e65fb361d1f314df65c2d468a7</x:v>
      </x:c>
      <x:c r="M209" s="11" t="str">
        <x:v>E09 / targets.direct.results</x:v>
      </x:c>
      <x:c r="N209" s="11" t="str">
        <x:v>入口结果见原始 JSON；通过不表示任意规模均正确</x:v>
      </x:c>
    </x:row>
    <x:row r="210" ht="74" customHeight="1">
      <x:c r="A210" s="10" t="str">
        <x:v>STRICT-20261010-direct</x:v>
      </x:c>
      <x:c r="B210" s="10" t="str">
        <x:v>NATIVE-088</x:v>
      </x:c>
      <x:c r="C210" s="10" t="str">
        <x:v>oplock_filter_test</x:v>
      </x:c>
      <x:c r="D210" s="10" t="str">
        <x:v>winfsp-tests</x:v>
      </x:c>
      <x:c r="E210" s="10" t="str">
        <x:v>本地</x:v>
      </x:c>
      <x:c r="F210" s="10" t="str">
        <x:v>不适用</x:v>
      </x:c>
      <x:c r="G210" s="19" t="d">
        <x:v>2026-10-10T00:00:00.000Z</x:v>
      </x:c>
      <x:c r="H210" s="10" t="str">
        <x:v>已通过</x:v>
      </x:c>
      <x:c r="I210" s="21" t="n">
        <x:v>1.336</x:v>
      </x:c>
      <x:c r="J210" s="10" t="str">
        <x:v>JuiceFS 1.3.0 / WinFsp 2.1.25156 / rclone 1.75.0-onemount</x:v>
      </x:c>
      <x:c r="K210" s="10" t="str">
        <x:v>原版全外部；无 FUSE 筛选或名称比较放宽</x:v>
      </x:c>
      <x:c r="L210" s="10" t="str">
        <x:v>63151da049f846e65fb361d1f314df65c2d468a7</x:v>
      </x:c>
      <x:c r="M210" s="10" t="str">
        <x:v>E09 / targets.direct.results</x:v>
      </x:c>
      <x:c r="N210" s="10" t="str">
        <x:v>入口结果见原始 JSON；通过不表示任意规模均正确</x:v>
      </x:c>
    </x:row>
    <x:row r="211" ht="74" customHeight="1">
      <x:c r="A211" s="11" t="str">
        <x:v>STRICT-20261010-direct</x:v>
      </x:c>
      <x:c r="B211" s="11" t="str">
        <x:v>NATIVE-089</x:v>
      </x:c>
      <x:c r="C211" s="11" t="str">
        <x:v>oplock_rwh_test</x:v>
      </x:c>
      <x:c r="D211" s="11" t="str">
        <x:v>winfsp-tests</x:v>
      </x:c>
      <x:c r="E211" s="11" t="str">
        <x:v>本地</x:v>
      </x:c>
      <x:c r="F211" s="11" t="str">
        <x:v>不适用</x:v>
      </x:c>
      <x:c r="G211" s="20" t="d">
        <x:v>2026-10-10T00:00:00.000Z</x:v>
      </x:c>
      <x:c r="H211" s="11" t="str">
        <x:v>已通过</x:v>
      </x:c>
      <x:c r="I211" s="22" t="n">
        <x:v>1.355</x:v>
      </x:c>
      <x:c r="J211" s="11" t="str">
        <x:v>JuiceFS 1.3.0 / WinFsp 2.1.25156 / rclone 1.75.0-onemount</x:v>
      </x:c>
      <x:c r="K211" s="11" t="str">
        <x:v>原版全外部；无 FUSE 筛选或名称比较放宽</x:v>
      </x:c>
      <x:c r="L211" s="11" t="str">
        <x:v>63151da049f846e65fb361d1f314df65c2d468a7</x:v>
      </x:c>
      <x:c r="M211" s="11" t="str">
        <x:v>E09 / targets.direct.results</x:v>
      </x:c>
      <x:c r="N211" s="11" t="str">
        <x:v>入口结果见原始 JSON；通过不表示任意规模均正确</x:v>
      </x:c>
    </x:row>
    <x:row r="212" ht="74" customHeight="1">
      <x:c r="A212" s="10" t="str">
        <x:v>STRICT-20261010-direct</x:v>
      </x:c>
      <x:c r="B212" s="10" t="str">
        <x:v>NATIVE-090</x:v>
      </x:c>
      <x:c r="C212" s="10" t="str">
        <x:v>oplock_rw_test</x:v>
      </x:c>
      <x:c r="D212" s="10" t="str">
        <x:v>winfsp-tests</x:v>
      </x:c>
      <x:c r="E212" s="10" t="str">
        <x:v>本地</x:v>
      </x:c>
      <x:c r="F212" s="10" t="str">
        <x:v>不适用</x:v>
      </x:c>
      <x:c r="G212" s="19" t="d">
        <x:v>2026-10-10T00:00:00.000Z</x:v>
      </x:c>
      <x:c r="H212" s="10" t="str">
        <x:v>已通过</x:v>
      </x:c>
      <x:c r="I212" s="21" t="n">
        <x:v>1.333</x:v>
      </x:c>
      <x:c r="J212" s="10" t="str">
        <x:v>JuiceFS 1.3.0 / WinFsp 2.1.25156 / rclone 1.75.0-onemount</x:v>
      </x:c>
      <x:c r="K212" s="10" t="str">
        <x:v>原版全外部；无 FUSE 筛选或名称比较放宽</x:v>
      </x:c>
      <x:c r="L212" s="10" t="str">
        <x:v>63151da049f846e65fb361d1f314df65c2d468a7</x:v>
      </x:c>
      <x:c r="M212" s="10" t="str">
        <x:v>E09 / targets.direct.results</x:v>
      </x:c>
      <x:c r="N212" s="10" t="str">
        <x:v>入口结果见原始 JSON；通过不表示任意规模均正确</x:v>
      </x:c>
    </x:row>
    <x:row r="213" ht="74" customHeight="1">
      <x:c r="A213" s="11" t="str">
        <x:v>STRICT-20261010-direct</x:v>
      </x:c>
      <x:c r="B213" s="11" t="str">
        <x:v>NATIVE-091</x:v>
      </x:c>
      <x:c r="C213" s="11" t="str">
        <x:v>oplock_rh_test</x:v>
      </x:c>
      <x:c r="D213" s="11" t="str">
        <x:v>winfsp-tests</x:v>
      </x:c>
      <x:c r="E213" s="11" t="str">
        <x:v>本地</x:v>
      </x:c>
      <x:c r="F213" s="11" t="str">
        <x:v>不适用</x:v>
      </x:c>
      <x:c r="G213" s="20" t="d">
        <x:v>2026-10-10T00:00:00.000Z</x:v>
      </x:c>
      <x:c r="H213" s="11" t="str">
        <x:v>已通过</x:v>
      </x:c>
      <x:c r="I213" s="22" t="n">
        <x:v>2.553</x:v>
      </x:c>
      <x:c r="J213" s="11" t="str">
        <x:v>JuiceFS 1.3.0 / WinFsp 2.1.25156 / rclone 1.75.0-onemount</x:v>
      </x:c>
      <x:c r="K213" s="11" t="str">
        <x:v>原版全外部；无 FUSE 筛选或名称比较放宽</x:v>
      </x:c>
      <x:c r="L213" s="11" t="str">
        <x:v>63151da049f846e65fb361d1f314df65c2d468a7</x:v>
      </x:c>
      <x:c r="M213" s="11" t="str">
        <x:v>E09 / targets.direct.results</x:v>
      </x:c>
      <x:c r="N213" s="11" t="str">
        <x:v>入口结果见原始 JSON；通过不表示任意规模均正确</x:v>
      </x:c>
    </x:row>
    <x:row r="214" ht="74" customHeight="1">
      <x:c r="A214" s="10" t="str">
        <x:v>STRICT-20261010-direct</x:v>
      </x:c>
      <x:c r="B214" s="10" t="str">
        <x:v>NATIVE-092</x:v>
      </x:c>
      <x:c r="C214" s="10" t="str">
        <x:v>oplock_r_test</x:v>
      </x:c>
      <x:c r="D214" s="10" t="str">
        <x:v>winfsp-tests</x:v>
      </x:c>
      <x:c r="E214" s="10" t="str">
        <x:v>本地</x:v>
      </x:c>
      <x:c r="F214" s="10" t="str">
        <x:v>不适用</x:v>
      </x:c>
      <x:c r="G214" s="19" t="d">
        <x:v>2026-10-10T00:00:00.000Z</x:v>
      </x:c>
      <x:c r="H214" s="10" t="str">
        <x:v>已通过</x:v>
      </x:c>
      <x:c r="I214" s="21" t="n">
        <x:v>2.566</x:v>
      </x:c>
      <x:c r="J214" s="10" t="str">
        <x:v>JuiceFS 1.3.0 / WinFsp 2.1.25156 / rclone 1.75.0-onemount</x:v>
      </x:c>
      <x:c r="K214" s="10" t="str">
        <x:v>原版全外部；无 FUSE 筛选或名称比较放宽</x:v>
      </x:c>
      <x:c r="L214" s="10" t="str">
        <x:v>63151da049f846e65fb361d1f314df65c2d468a7</x:v>
      </x:c>
      <x:c r="M214" s="10" t="str">
        <x:v>E09 / targets.direct.results</x:v>
      </x:c>
      <x:c r="N214" s="10" t="str">
        <x:v>入口结果见原始 JSON；通过不表示任意规模均正确</x:v>
      </x:c>
    </x:row>
    <x:row r="215" ht="74" customHeight="1">
      <x:c r="A215" s="11" t="str">
        <x:v>STRICT-20261010-direct</x:v>
      </x:c>
      <x:c r="B215" s="11" t="str">
        <x:v>NATIVE-093</x:v>
      </x:c>
      <x:c r="C215" s="11" t="str">
        <x:v>oplock_not_granted_test</x:v>
      </x:c>
      <x:c r="D215" s="11" t="str">
        <x:v>winfsp-tests</x:v>
      </x:c>
      <x:c r="E215" s="11" t="str">
        <x:v>本地</x:v>
      </x:c>
      <x:c r="F215" s="11" t="str">
        <x:v>不适用</x:v>
      </x:c>
      <x:c r="G215" s="20" t="d">
        <x:v>2026-10-10T00:00:00.000Z</x:v>
      </x:c>
      <x:c r="H215" s="11" t="str">
        <x:v>已通过</x:v>
      </x:c>
      <x:c r="I215" s="22" t="n">
        <x:v>0.1</x:v>
      </x:c>
      <x:c r="J215" s="11" t="str">
        <x:v>JuiceFS 1.3.0 / WinFsp 2.1.25156 / rclone 1.75.0-onemount</x:v>
      </x:c>
      <x:c r="K215" s="11" t="str">
        <x:v>原版全外部；无 FUSE 筛选或名称比较放宽</x:v>
      </x:c>
      <x:c r="L215" s="11" t="str">
        <x:v>63151da049f846e65fb361d1f314df65c2d468a7</x:v>
      </x:c>
      <x:c r="M215" s="11" t="str">
        <x:v>E09 / targets.direct.results</x:v>
      </x:c>
      <x:c r="N215" s="11" t="str">
        <x:v>入口结果见原始 JSON；通过不表示任意规模均正确</x:v>
      </x:c>
    </x:row>
    <x:row r="216" ht="74" customHeight="1">
      <x:c r="A216" s="10" t="str">
        <x:v>STRICT-20261010-direct</x:v>
      </x:c>
      <x:c r="B216" s="10" t="str">
        <x:v>NATIVE-094</x:v>
      </x:c>
      <x:c r="C216" s="10" t="str">
        <x:v>wsl_stat_test</x:v>
      </x:c>
      <x:c r="D216" s="10" t="str">
        <x:v>winfsp-tests</x:v>
      </x:c>
      <x:c r="E216" s="10" t="str">
        <x:v>本地</x:v>
      </x:c>
      <x:c r="F216" s="10" t="str">
        <x:v>不适用</x:v>
      </x:c>
      <x:c r="G216" s="19" t="d">
        <x:v>2026-10-10T00:00:00.000Z</x:v>
      </x:c>
      <x:c r="H216" s="10" t="str">
        <x:v>已失败</x:v>
      </x:c>
      <x:c r="I216" s="21" t="n">
        <x:v>0.147</x:v>
      </x:c>
      <x:c r="J216" s="10" t="str">
        <x:v>JuiceFS 1.3.0 / WinFsp 2.1.25156 / rclone 1.75.0-onemount</x:v>
      </x:c>
      <x:c r="K216" s="10" t="str">
        <x:v>原版全外部；无 FUSE 筛选或名称比较放宽</x:v>
      </x:c>
      <x:c r="L216" s="10" t="str">
        <x:v>63151da049f846e65fb361d1f314df65c2d468a7</x:v>
      </x:c>
      <x:c r="M216" s="10" t="str">
        <x:v>E09 / targets.direct.results</x:v>
      </x:c>
      <x:c r="N216" s="10" t="str">
        <x:v>    ASSERT(STATUS_INVALID_INFO_CLASS == Result || STATUS_NOT_IMPLEMENTED == Result) failed at wsl-test.c:161:wsl_stat_dotest (err=0:0)</x:v>
      </x:c>
    </x:row>
    <x:row r="217" ht="218" customHeight="1">
      <x:c r="A217" s="11" t="str">
        <x:v>STRICT-20261010-direct</x:v>
      </x:c>
      <x:c r="B217" s="11" t="str">
        <x:v>NATIVE-095</x:v>
      </x:c>
      <x:c r="C217" s="11" t="str">
        <x:v>winfstest-base/00.t</x:v>
      </x:c>
      <x:c r="D217" s="11" t="str">
        <x:v>winfstest</x:v>
      </x:c>
      <x:c r="E217" s="11" t="str">
        <x:v>本地</x:v>
      </x:c>
      <x:c r="F217" s="11" t="str">
        <x:v>不适用</x:v>
      </x:c>
      <x:c r="G217" s="20" t="d">
        <x:v>2026-10-10T00:00:00.000Z</x:v>
      </x:c>
      <x:c r="H217" s="11" t="str">
        <x:v>已通过</x:v>
      </x:c>
      <x:c r="I217" s="22" t="n">
        <x:v>0.243</x:v>
      </x:c>
      <x:c r="J217" s="11" t="str">
        <x:v>JuiceFS 1.3.0 / WinFsp 2.1.25156 / rclone 1.75.0-onemount</x:v>
      </x:c>
      <x:c r="K217" s="11" t="str">
        <x:v>原版全外部；无 FUSE 筛选或名称比较放宽</x:v>
      </x:c>
      <x:c r="L217" s="11" t="str">
        <x:v>63151da049f846e65fb361d1f314df65c2d468a7</x:v>
      </x:c>
      <x:c r="M217" s="11" t="str">
        <x:v>E09 / targets.direct.results</x:v>
      </x:c>
      <x:c r="N217" s="11" t="str">
        <x:v>ok 2 - expect "CreateFile 80dfb7e5 GENERIC_WRITE 0 0 CREATE_NEW FILE_ATTRIBUTE_NORMAL 0" ERROR_FILE_EXISTS
ok 4 - expect "DeleteFile 80dfb7e5" ERROR_FILE_NOT_FOUND
ok 7 - expect "-e CreateFile 80dfb7e5 GENERIC_WRITE 0 0 CREATE_ALWAYS FILE_ATTRIBUTE_NORMAL 0" ERROR_ALREADY_EXISTS
ok 11 - expect "-e CreateFile 80dfb7e5 GENERIC_WRITE 0 0 OPEN_ALWAYS FILE_ATTRIBUTE_NORMAL 0" ERROR_ALREADY_EXISTS
ok 13 - expect "CreateFile 80dfb7e5 GENERIC_WRITE 0 0 OPEN_EXISTING FILE_ATTRIBUTE_NORMAL 0" ERROR_FILE_NOT_FOUND
ok 17 - expect "CreateFile 80dfb7e5 GENERIC_WRITE 0 0 TRUNCATE_EXISTING FILE_ATTRIBUTE_NORMAL 0" ERROR_FILE_NOT_FOUND
ok 21 - expect "CreateFile 80dfb7e5\bar GENERIC_WRITE 0 0 CREATE_NEW FILE_ATTRIBUTE_NORMAL 0" ERROR_PATH_NOT_FOUND</x:v>
      </x:c>
    </x:row>
    <x:row r="218" ht="330" customHeight="1">
      <x:c r="A218" s="10" t="str">
        <x:v>STRICT-20261010-direct</x:v>
      </x:c>
      <x:c r="B218" s="10" t="str">
        <x:v>NATIVE-096</x:v>
      </x:c>
      <x:c r="C218" s="10" t="str">
        <x:v>winfstest-base/01.t</x:v>
      </x:c>
      <x:c r="D218" s="10" t="str">
        <x:v>winfstest</x:v>
      </x:c>
      <x:c r="E218" s="10" t="str">
        <x:v>本地</x:v>
      </x:c>
      <x:c r="F218" s="10" t="str">
        <x:v>不适用</x:v>
      </x:c>
      <x:c r="G218" s="19" t="d">
        <x:v>2026-10-10T00:00:00.000Z</x:v>
      </x:c>
      <x:c r="H218" s="10" t="str">
        <x:v>已失败</x:v>
      </x:c>
      <x:c r="I218" s="21" t="n">
        <x:v>0.182</x:v>
      </x:c>
      <x:c r="J218" s="10" t="str">
        <x:v>JuiceFS 1.3.0 / WinFsp 2.1.25156 / rclone 1.75.0-onemount</x:v>
      </x:c>
      <x:c r="K218" s="10" t="str">
        <x:v>原版全外部；无 FUSE 筛选或名称比较放宽</x:v>
      </x:c>
      <x:c r="L218" s="10" t="str">
        <x:v>63151da049f846e65fb361d1f314df65c2d468a7</x:v>
      </x:c>
      <x:c r="M218" s="10" t="str">
        <x:v>E09 / targets.direct.results</x:v>
      </x:c>
      <x:c r="N218" s="10" t="str">
        <x:v>not ok 2 - expect "GetFileInformation c2ed34e7" &lt;lambda&gt; - result [{'VolumeSerialNumber': 322693027, 'FileIndex': 2010, 'NumberOfLinks': 1, 'CreationTime': '2026-10-10T11:27:51Z', 'LastAccessTime': '2026-10-10T11:27:51Z', 'FileSize': 0, 'LastWriteTime': '2026-10-10T11:27:51Z', 'FileAttributes': 128}]
not ok 4 - expect "GetFileInformation c2ed34e7" &lt;lambda&gt; - result [{'VolumeSerialNumber': 322693027, 'FileIndex': 2010, 'NumberOfLinks': 1, 'CreationTime': '2026-10-10T11:27:51Z', 'LastAccessTime': '2026-10-10T11:27:51Z', 'FileSize': 0, 'LastWriteTime': '2026-10-10T11:27:51Z', 'FileAttributes': 128}]
not ok 7 - expect "GetFileInformation c2ed34e7" &lt;lambda&gt; - result [{'VolumeSerialNumber': 322693027, 'FileIndex': 2010, 'NumberOfLinks': 1, 'CreationTime': '2026-10-10T11:27:51Z', 'LastAccessTime': '2026-10-10T11:27:51Z', 'FileSize': 0, 'LastWriteTime': '2026-10-10T11:27:51Z', 'FileAttributes': 128}]
not ok 10 - expect "GetFileInformation c2ed34e7" &lt;lambda&gt; - result [{'VolumeSerialNumber': 322693027, 'FileIndex': 2010, 'NumberOfLinks': 1, 'CreationTime': '2026-10-10T11:27:51Z', 'LastAccessTime': '2026-10-10T11:27:51Z', 'FileSize': 0, 'LastWriteTime': '2026-10-10T11:27:51Z', 'FileAttributes': 128}]
not ok 13 - expect "DeleteFile c2ed34e7" ERROR_ACCESS_DENIED - got 0
not ok 14 - expect "SetFileAttributes c2ed34e7 FILE_ATTRIBUTE_NORMAL" 0 - got ERROR_FILE_NOT_FOUND
not ok 15 - expect "DeleteFile c2ed34e7" 0 - got ERROR_FILE_NOT_FOUND</x:v>
      </x:c>
    </x:row>
    <x:row r="219" ht="122" customHeight="1">
      <x:c r="A219" s="11" t="str">
        <x:v>STRICT-20261010-direct</x:v>
      </x:c>
      <x:c r="B219" s="11" t="str">
        <x:v>NATIVE-097</x:v>
      </x:c>
      <x:c r="C219" s="11" t="str">
        <x:v>winfstest-base/02.t</x:v>
      </x:c>
      <x:c r="D219" s="11" t="str">
        <x:v>winfstest</x:v>
      </x:c>
      <x:c r="E219" s="11" t="str">
        <x:v>本地</x:v>
      </x:c>
      <x:c r="F219" s="11" t="str">
        <x:v>不适用</x:v>
      </x:c>
      <x:c r="G219" s="20" t="d">
        <x:v>2026-10-10T00:00:00.000Z</x:v>
      </x:c>
      <x:c r="H219" s="11" t="str">
        <x:v>已失败</x:v>
      </x:c>
      <x:c r="I219" s="22" t="n">
        <x:v>0.16</x:v>
      </x:c>
      <x:c r="J219" s="11" t="str">
        <x:v>JuiceFS 1.3.0 / WinFsp 2.1.25156 / rclone 1.75.0-onemount</x:v>
      </x:c>
      <x:c r="K219" s="11" t="str">
        <x:v>原版全外部；无 FUSE 筛选或名称比较放宽</x:v>
      </x:c>
      <x:c r="L219" s="11" t="str">
        <x:v>63151da049f846e65fb361d1f314df65c2d468a7</x:v>
      </x:c>
      <x:c r="M219" s="11" t="str">
        <x:v>E09 / targets.direct.results</x:v>
      </x:c>
      <x:c r="N219" s="11" t="str">
        <x:v>ok 2 - expect "CreateDirectory 8b3602b3 0" ERROR_ALREADY_EXISTS
ok 3 - expect "RemoveDirectory 8b3602b3" ERROR_DIRECTORY
not ok 6 - expect "CreateDirectory 8b3602b3 0" ERROR_ALREADY_EXISTS - got 0
ok 8 - expect "DeleteFile 8b3602b3" ERROR_ACCESS_DENIED
ok 10 - expect "RemoveDirectory 8b3602b3" ERROR_FILE_NOT_FOUND
ok 12 - expect "CreateFile 8b3602b3 GENERIC_WRITE 0 0 CREATE_NEW FILE_ATTRIBUTE_NORMAL 0" ERROR_ACCESS_DENIED</x:v>
      </x:c>
    </x:row>
    <x:row r="220" ht="74" customHeight="1">
      <x:c r="A220" s="10" t="str">
        <x:v>STRICT-20261010-direct</x:v>
      </x:c>
      <x:c r="B220" s="10" t="str">
        <x:v>NATIVE-098</x:v>
      </x:c>
      <x:c r="C220" s="10" t="str">
        <x:v>winfstest-base/03.t</x:v>
      </x:c>
      <x:c r="D220" s="10" t="str">
        <x:v>winfstest</x:v>
      </x:c>
      <x:c r="E220" s="10" t="str">
        <x:v>本地</x:v>
      </x:c>
      <x:c r="F220" s="10" t="str">
        <x:v>不适用</x:v>
      </x:c>
      <x:c r="G220" s="19" t="d">
        <x:v>2026-10-10T00:00:00.000Z</x:v>
      </x:c>
      <x:c r="H220" s="10" t="str">
        <x:v>已通过</x:v>
      </x:c>
      <x:c r="I220" s="21" t="n">
        <x:v>0.181</x:v>
      </x:c>
      <x:c r="J220" s="10" t="str">
        <x:v>JuiceFS 1.3.0 / WinFsp 2.1.25156 / rclone 1.75.0-onemount</x:v>
      </x:c>
      <x:c r="K220" s="10" t="str">
        <x:v>原版全外部；无 FUSE 筛选或名称比较放宽</x:v>
      </x:c>
      <x:c r="L220" s="10" t="str">
        <x:v>63151da049f846e65fb361d1f314df65c2d468a7</x:v>
      </x:c>
      <x:c r="M220" s="10" t="str">
        <x:v>E09 / targets.direct.results</x:v>
      </x:c>
      <x:c r="N220" s="10" t="str">
        <x:v>ok 3 - expect "RemoveDirectory 9e6e6d84" ERROR_DIR_NOT_EMPTY
ok 4 - expect "RemoveDirectory 9e6e6d84\foo" ERROR_DIRECTORY</x:v>
      </x:c>
    </x:row>
    <x:row r="221" ht="186" customHeight="1">
      <x:c r="A221" s="11" t="str">
        <x:v>STRICT-20261010-direct</x:v>
      </x:c>
      <x:c r="B221" s="11" t="str">
        <x:v>NATIVE-099</x:v>
      </x:c>
      <x:c r="C221" s="11" t="str">
        <x:v>winfstest-base/04.t</x:v>
      </x:c>
      <x:c r="D221" s="11" t="str">
        <x:v>winfstest</x:v>
      </x:c>
      <x:c r="E221" s="11" t="str">
        <x:v>本地</x:v>
      </x:c>
      <x:c r="F221" s="11" t="str">
        <x:v>不适用</x:v>
      </x:c>
      <x:c r="G221" s="20" t="d">
        <x:v>2026-10-10T00:00:00.000Z</x:v>
      </x:c>
      <x:c r="H221" s="11" t="str">
        <x:v>已失败</x:v>
      </x:c>
      <x:c r="I221" s="22" t="n">
        <x:v>0.444</x:v>
      </x:c>
      <x:c r="J221" s="11" t="str">
        <x:v>JuiceFS 1.3.0 / WinFsp 2.1.25156 / rclone 1.75.0-onemount</x:v>
      </x:c>
      <x:c r="K221" s="11" t="str">
        <x:v>原版全外部；无 FUSE 筛选或名称比较放宽</x:v>
      </x:c>
      <x:c r="L221" s="11" t="str">
        <x:v>63151da049f846e65fb361d1f314df65c2d468a7</x:v>
      </x:c>
      <x:c r="M221" s="11" t="str">
        <x:v>E09 / targets.direct.results</x:v>
      </x:c>
      <x:c r="N221" s="11" t="str">
        <x:v>ok 5 - expect "GetFileInformation 496026b9\foo" ERROR_FILE_NOT_FOUND
ok 7 - expect "MoveFileEx 496026b9\bar 496026b9\baz 0" ERROR_ALREADY_EXISTS
not ok 10 - expect "MoveFileEx 496026b9\bar 496026b9\baz MOVEFILE_REPLACE_EXISTING" ERROR_ACCESS_DENIED - got 0
not ok 12 - expect "MoveFileEx 496026b9\bar 496026b9\baz MOVEFILE_REPLACE_EXISTING" 0 - got ERROR_FILE_NOT_FOUND
ok 13 - expect "GetFileInformation 496026b9\bar" ERROR_FILE_NOT_FOUND
ok 21 - expect "GetFileInformation 496026b9\foo" ERROR_FILE_NOT_FOUND
ok 23 - expect "MoveFileEx 496026b9\bar 496026b9\baz 0" ERROR_ALREADY_EXISTS
ok 26 - expect "MoveFileEx 496026b9\bar 496026b9\baz MOVEFILE_REPLACE_EXISTING" ERROR_ACCESS_DENIED</x:v>
      </x:c>
    </x:row>
    <x:row r="222" ht="74" customHeight="1">
      <x:c r="A222" s="10" t="str">
        <x:v>STRICT-20261010-direct</x:v>
      </x:c>
      <x:c r="B222" s="10" t="str">
        <x:v>NATIVE-100</x:v>
      </x:c>
      <x:c r="C222" s="10" t="str">
        <x:v>winfstest-base/05.t</x:v>
      </x:c>
      <x:c r="D222" s="10" t="str">
        <x:v>winfstest</x:v>
      </x:c>
      <x:c r="E222" s="10" t="str">
        <x:v>本地</x:v>
      </x:c>
      <x:c r="F222" s="10" t="str">
        <x:v>不适用</x:v>
      </x:c>
      <x:c r="G222" s="19" t="d">
        <x:v>2026-10-10T00:00:00.000Z</x:v>
      </x:c>
      <x:c r="H222" s="10" t="str">
        <x:v>已通过</x:v>
      </x:c>
      <x:c r="I222" s="21" t="n">
        <x:v>0.179</x:v>
      </x:c>
      <x:c r="J222" s="10" t="str">
        <x:v>JuiceFS 1.3.0 / WinFsp 2.1.25156 / rclone 1.75.0-onemount</x:v>
      </x:c>
      <x:c r="K222" s="10" t="str">
        <x:v>原版全外部；无 FUSE 筛选或名称比较放宽</x:v>
      </x:c>
      <x:c r="L222" s="10" t="str">
        <x:v>63151da049f846e65fb361d1f314df65c2d468a7</x:v>
      </x:c>
      <x:c r="M222" s="10" t="str">
        <x:v>E09 / targets.direct.results</x:v>
      </x:c>
      <x:c r="N222" s="10" t="str">
        <x:v>入口结果见原始 JSON；通过不表示任意规模均正确</x:v>
      </x:c>
    </x:row>
    <x:row r="223" ht="74" customHeight="1">
      <x:c r="A223" s="11" t="str">
        <x:v>STRICT-20261010-direct</x:v>
      </x:c>
      <x:c r="B223" s="11" t="str">
        <x:v>NATIVE-101</x:v>
      </x:c>
      <x:c r="C223" s="11" t="str">
        <x:v>winfstest-base/06.t</x:v>
      </x:c>
      <x:c r="D223" s="11" t="str">
        <x:v>winfstest</x:v>
      </x:c>
      <x:c r="E223" s="11" t="str">
        <x:v>本地</x:v>
      </x:c>
      <x:c r="F223" s="11" t="str">
        <x:v>不适用</x:v>
      </x:c>
      <x:c r="G223" s="20" t="d">
        <x:v>2026-10-10T00:00:00.000Z</x:v>
      </x:c>
      <x:c r="H223" s="11" t="str">
        <x:v>已失败</x:v>
      </x:c>
      <x:c r="I223" s="22" t="n">
        <x:v>0.102</x:v>
      </x:c>
      <x:c r="J223" s="11" t="str">
        <x:v>JuiceFS 1.3.0 / WinFsp 2.1.25156 / rclone 1.75.0-onemount</x:v>
      </x:c>
      <x:c r="K223" s="11" t="str">
        <x:v>原版全外部；无 FUSE 筛选或名称比较放宽</x:v>
      </x:c>
      <x:c r="L223" s="11" t="str">
        <x:v>63151da049f846e65fb361d1f314df65c2d468a7</x:v>
      </x:c>
      <x:c r="M223" s="11" t="str">
        <x:v>E09 / targets.direct.results</x:v>
      </x:c>
      <x:c r="N223" s="11" t="str">
        <x:v>not ok 5 - testeval("2134-01-01T00:00:00Z" == r[0]["CreationTime"])
not ok 6 - testeval("2134-10-11T12:34:56Z" == r[0]["LastAccessTime"])</x:v>
      </x:c>
    </x:row>
    <x:row r="224" ht="330" customHeight="1">
      <x:c r="A224" s="10" t="str">
        <x:v>STRICT-20261010-direct</x:v>
      </x:c>
      <x:c r="B224" s="10" t="str">
        <x:v>NATIVE-102</x:v>
      </x:c>
      <x:c r="C224" s="10" t="str">
        <x:v>winfstest-base/07.t</x:v>
      </x:c>
      <x:c r="D224" s="10" t="str">
        <x:v>winfstest</x:v>
      </x:c>
      <x:c r="E224" s="10" t="str">
        <x:v>本地</x:v>
      </x:c>
      <x:c r="F224" s="10" t="str">
        <x:v>不适用</x:v>
      </x:c>
      <x:c r="G224" s="19" t="d">
        <x:v>2026-10-10T00:00:00.000Z</x:v>
      </x:c>
      <x:c r="H224" s="10" t="str">
        <x:v>已失败</x:v>
      </x:c>
      <x:c r="I224" s="21" t="n">
        <x:v>0.145</x:v>
      </x:c>
      <x:c r="J224" s="10" t="str">
        <x:v>JuiceFS 1.3.0 / WinFsp 2.1.25156 / rclone 1.75.0-onemount</x:v>
      </x:c>
      <x:c r="K224" s="10" t="str">
        <x:v>原版全外部；无 FUSE 筛选或名称比较放宽</x:v>
      </x:c>
      <x:c r="L224" s="10" t="str">
        <x:v>63151da049f846e65fb361d1f314df65c2d468a7</x:v>
      </x:c>
      <x:c r="M224" s="10" t="str">
        <x:v>E09 / targets.direct.results</x:v>
      </x:c>
      <x:c r="N224" s="10" t="str">
        <x:v>not ok 2 - expect "GetFileInformation 18319805" &lt;lambda&gt; - result [{'VolumeSerialNumber': 322693027, 'FileIndex': 2039, 'NumberOfLinks': 1, 'CreationTime': '2026-10-10T11:27:53Z', 'LastAccessTime': '2026-10-10T11:27:53Z', 'FileSize': 0, 'LastWriteTime': '2026-10-10T11:27:53Z', 'FileAttributes': 128}]
not ok 4 - expect "GetFileInformation 18319805" &lt;lambda&gt; - result [{'VolumeSerialNumber': 322693027, 'FileIndex': 2039, 'NumberOfLinks': 1, 'CreationTime': '2026-10-10T11:27:53Z', 'LastAccessTime': '2026-10-10T11:27:53Z', 'FileSize': 0, 'LastWriteTime': '2026-10-10T11:27:53Z', 'FileAttributes': 128}]
not ok 6 - expect "GetFileInformation 18319805" &lt;lambda&gt; - result [{'VolumeSerialNumber': 322693027, 'FileIndex': 2039, 'NumberOfLinks': 1, 'CreationTime': '2026-10-10T11:27:53Z', 'LastAccessTime': '2026-10-10T11:27:53Z', 'FileSize': 0, 'LastWriteTime': '2026-10-10T11:27:53Z', 'FileAttributes': 128}]
not ok 8 - expect "GetFileInformation 18319805" &lt;lambda&gt; - result [{'VolumeSerialNumber': 322693027, 'FileIndex': 2039, 'NumberOfLinks': 1, 'CreationTime': '2026-10-10T11:27:53Z', 'LastAccessTime': '2026-10-10T11:27:53Z', 'FileSize': 0, 'LastWriteTime': '2026-10-10T11:27:53Z', 'FileAttributes': 128}]
not ok 10 - expect "GetFileInformation 18319805" &lt;lambda&gt; - result [{'VolumeSerialNumber': 322693027, 'FileIndex': 2039, 'NumberOfLinks': 1, 'CreationTime': '2026-10-10T11:27:53Z', 'LastAccessTime': '2026-10-10T11:27:53Z', 'FileSize': 0, 'LastWriteTime': '2026-10-10T11:27:53Z', 'FileAttributes': 128}]</x:v>
      </x:c>
    </x:row>
    <x:row r="225" ht="74" customHeight="1">
      <x:c r="A225" s="11" t="str">
        <x:v>STRICT-20261010-direct</x:v>
      </x:c>
      <x:c r="B225" s="11" t="str">
        <x:v>NATIVE-103</x:v>
      </x:c>
      <x:c r="C225" s="11" t="str">
        <x:v>winfstest-base/08.t</x:v>
      </x:c>
      <x:c r="D225" s="11" t="str">
        <x:v>winfstest</x:v>
      </x:c>
      <x:c r="E225" s="11" t="str">
        <x:v>本地</x:v>
      </x:c>
      <x:c r="F225" s="11" t="str">
        <x:v>不适用</x:v>
      </x:c>
      <x:c r="G225" s="20" t="d">
        <x:v>2026-10-10T00:00:00.000Z</x:v>
      </x:c>
      <x:c r="H225" s="11" t="str">
        <x:v>已失败</x:v>
      </x:c>
      <x:c r="I225" s="22" t="n">
        <x:v>0.141</x:v>
      </x:c>
      <x:c r="J225" s="11" t="str">
        <x:v>JuiceFS 1.3.0 / WinFsp 2.1.25156 / rclone 1.75.0-onemount</x:v>
      </x:c>
      <x:c r="K225" s="11" t="str">
        <x:v>原版全外部；无 FUSE 筛选或名称比较放宽</x:v>
      </x:c>
      <x:c r="L225" s="11" t="str">
        <x:v>63151da049f846e65fb361d1f314df65c2d468a7</x:v>
      </x:c>
      <x:c r="M225" s="11" t="str">
        <x:v>E09 / targets.direct.results</x:v>
      </x:c>
      <x:c r="N225" s="11" t="str">
        <x:v>not ok 4 - expect "CreateFile 373f6375 GENERIC_READ FILE_SHARE_READ+FILE_SHARE_WRITE+FILE_SHARE_DELETE 0 OPEN_EXISTING 0 0" ERROR_ACCESS_DENIED - got ERROR_FILE_NOT_FOUND
not ok 9 - testeval(len(s) == 3)
not ok 12 - testeval("foo" in s)</x:v>
      </x:c>
    </x:row>
    <x:row r="226" ht="266" customHeight="1">
      <x:c r="A226" s="10" t="str">
        <x:v>STRICT-20261010-direct</x:v>
      </x:c>
      <x:c r="B226" s="10" t="str">
        <x:v>NATIVE-104</x:v>
      </x:c>
      <x:c r="C226" s="10" t="str">
        <x:v>winfstest-base/09.t</x:v>
      </x:c>
      <x:c r="D226" s="10" t="str">
        <x:v>winfstest</x:v>
      </x:c>
      <x:c r="E226" s="10" t="str">
        <x:v>本地</x:v>
      </x:c>
      <x:c r="F226" s="10" t="str">
        <x:v>不适用</x:v>
      </x:c>
      <x:c r="G226" s="19" t="d">
        <x:v>2026-10-10T00:00:00.000Z</x:v>
      </x:c>
      <x:c r="H226" s="10" t="str">
        <x:v>已通过</x:v>
      </x:c>
      <x:c r="I226" s="21" t="n">
        <x:v>0.208</x:v>
      </x:c>
      <x:c r="J226" s="10" t="str">
        <x:v>JuiceFS 1.3.0 / WinFsp 2.1.25156 / rclone 1.75.0-onemount</x:v>
      </x:c>
      <x:c r="K226" s="10" t="str">
        <x:v>原版全外部；无 FUSE 筛选或名称比较放宽</x:v>
      </x:c>
      <x:c r="L226" s="10" t="str">
        <x:v>63151da049f846e65fb361d1f314df65c2d468a7</x:v>
      </x:c>
      <x:c r="M226" s="10" t="str">
        <x:v>E09 / targets.direct.results</x:v>
      </x:c>
      <x:c r="N226" s="10" t="str">
        <x:v>ok 2 - expect "CreateFile 29dc6ac9 GENERIC_READ FILE_SHARE_READ 0 OPEN_EXISTING 0 0" ERROR_SHARING_VIOLATION
ok 4 - expect "CreateFile 29dc6ac9 DELETE FILE_SHARE_DELETE 0 OPEN_EXISTING 0 0" ERROR_SHARING_VIOLATION
ok 5 - expect "CreateFile 29dc6ac9 DELETE FILE_SHARE_WRITE 0 OPEN_EXISTING 0 0" ERROR_SHARING_VIOLATION
ok 7 - expect "CreateFile 29dc6ac9 GENERIC_WRITE FILE_SHARE_WRITE 0 OPEN_EXISTING 0 0" ERROR_SHARING_VIOLATION
ok 9 - expect "CreateFile 29dc6ac9 DELETE FILE_SHARE_DELETE 0 OPEN_EXISTING 0 0" ERROR_SHARING_VIOLATION
ok 10 - expect "CreateFile 29dc6ac9 DELETE FILE_SHARE_WRITE 0 OPEN_EXISTING 0 0" ERROR_SHARING_VIOLATION
ok 12 - expect "CreateFile 29dc6ac9 GENERIC_WRITE FILE_SHARE_DELETE 0 OPEN_EXISTING 0 0" ERROR_SHARING_VIOLATION
ok 13 - expect "CreateFile 29dc6ac9 DELETE FILE_SHARE_WRITE 0 OPEN_EXISTING 0 0" ERROR_SHARING_VIOLATION</x:v>
      </x:c>
    </x:row>
    <x:row r="227" ht="314" customHeight="1">
      <x:c r="A227" s="11" t="str">
        <x:v>STRICT-20261010-direct</x:v>
      </x:c>
      <x:c r="B227" s="11" t="str">
        <x:v>NATIVE-105</x:v>
      </x:c>
      <x:c r="C227" s="11" t="str">
        <x:v>winfstest-base/10.t</x:v>
      </x:c>
      <x:c r="D227" s="11" t="str">
        <x:v>winfstest</x:v>
      </x:c>
      <x:c r="E227" s="11" t="str">
        <x:v>本地</x:v>
      </x:c>
      <x:c r="F227" s="11" t="str">
        <x:v>不适用</x:v>
      </x:c>
      <x:c r="G227" s="20" t="d">
        <x:v>2026-10-10T00:00:00.000Z</x:v>
      </x:c>
      <x:c r="H227" s="11" t="str">
        <x:v>已失败</x:v>
      </x:c>
      <x:c r="I227" s="22" t="n">
        <x:v>0.251</x:v>
      </x:c>
      <x:c r="J227" s="11" t="str">
        <x:v>JuiceFS 1.3.0 / WinFsp 2.1.25156 / rclone 1.75.0-onemount</x:v>
      </x:c>
      <x:c r="K227" s="11" t="str">
        <x:v>原版全外部；无 FUSE 筛选或名称比较放宽</x:v>
      </x:c>
      <x:c r="L227" s="11" t="str">
        <x:v>63151da049f846e65fb361d1f314df65c2d468a7</x:v>
      </x:c>
      <x:c r="M227" s="11" t="str">
        <x:v>E09 / targets.direct.results</x:v>
      </x:c>
      <x:c r="N227" s="11" t="str">
        <x:v>not ok 2 - expect "GetFileSecurity 745ea34a DACL_SECURITY_INFORMATION" &lt;lambda&gt; - result [{'Sddl': 'D:P(A;;0x1f019f;;;LA)(A;;0x12018f;;;S-1-5-21-1643835476-1616584234-1346609752-513)(A;;0x12018f;;;WD)'}]
not ok 4 - expect "GetFileSecurity 745ea34a DACL_SECURITY_INFORMATION" &lt;lambda&gt; - result [{'Sddl': 'D:P(A;;0x1f019f;;;LA)(A;;0x12018f;;;S-1-5-21-1643835476-1616584234-1346609752-513)(A;;0x12018f;;;WD)'}]
not ok 9 - expect "CreateFile 745ea34a GENERIC_READ 0 0 OPEN_EXISTING 0 0" ERROR_ACCESS_DENIED - got 0
not ok 12 - expect "GetFileSecurity 745ea34a DACL_SECURITY_INFORMATION" &lt;lambda&gt; - result [{'Sddl': 'D:P(A;;FA;;;LA)(A;;0x1201ef;;;S-1-5-21-1643835476-1616584234-1346609752-513)(A;;0x1201ef;;;WD)'}]
not ok 14 - expect "GetFileSecurity 745ea34a DACL_SECURITY_INFORMATION" &lt;lambda&gt; - result [{'Sddl': 'D:P(A;;FA;;;LA)(A;;0x1201ef;;;S-1-5-21-1643835476-1616584234-1346609752-513)(A;;0x1201ef;;;WD)'}]
not ok 17 - expect "CreateFile 745ea34a\foobar GENERIC_READ 0 D:P(A;;FR;;;WD) CREATE_NEW 0 0" ERROR_ACCESS_DENIED - got 0
not ok 19 - expect "CreateFile 745ea34a\foobar GENERIC_READ 0 D:P(A;;FR;;;WD) CREATE_NEW 0 0" 0 - got ERROR_FILE_EXISTS
not ok 21 - expect "DeleteFile 745ea34a\foobar" ERROR_ACCESS_DENIED - got 0</x:v>
      </x:c>
    </x:row>
    <x:row r="228" ht="298" customHeight="1">
      <x:c r="A228" s="10" t="str">
        <x:v>STRICT-20261010-direct</x:v>
      </x:c>
      <x:c r="B228" s="10" t="str">
        <x:v>NATIVE-106</x:v>
      </x:c>
      <x:c r="C228" s="10" t="str">
        <x:v>winfstest-reparse/00.t</x:v>
      </x:c>
      <x:c r="D228" s="10" t="str">
        <x:v>winfstest</x:v>
      </x:c>
      <x:c r="E228" s="10" t="str">
        <x:v>本地</x:v>
      </x:c>
      <x:c r="F228" s="10" t="str">
        <x:v>不适用</x:v>
      </x:c>
      <x:c r="G228" s="19" t="d">
        <x:v>2026-10-10T00:00:00.000Z</x:v>
      </x:c>
      <x:c r="H228" s="10" t="str">
        <x:v>已失败</x:v>
      </x:c>
      <x:c r="I228" s="21" t="n">
        <x:v>0.375</x:v>
      </x:c>
      <x:c r="J228" s="10" t="str">
        <x:v>JuiceFS 1.3.0 / WinFsp 2.1.25156 / rclone 1.75.0-onemount</x:v>
      </x:c>
      <x:c r="K228" s="10" t="str">
        <x:v>原版全外部；无 FUSE 筛选或名称比较放宽</x:v>
      </x:c>
      <x:c r="L228" s="10" t="str">
        <x:v>63151da049f846e65fb361d1f314df65c2d468a7</x:v>
      </x:c>
      <x:c r="M228" s="10" t="str">
        <x:v>E09 / targets.direct.results</x:v>
      </x:c>
      <x:c r="N228" s="10" t="str">
        <x:v>not ok 2 - expect "GetFileInformation b481e60f" &lt;lambda&gt; - result [{'VolumeSerialNumber': 322693027, 'FileIndex': 2054, 'NumberOfLinks': 1, 'CreationTime': '2026-10-10T11:27:54Z', 'LastAccessTime': '2026-10-10T11:27:54Z', 'FileSize': 0, 'LastWriteTime': '2026-10-10T11:27:54Z', 'FileAttributes': 128}]
not ok 3 - expect "SetReparsePoint b481e60f 42 {92A23BD8-99F5-4FD6-807C-C56F3A063C52} 1A 2B 3C 4D 5F" 0 - got ERROR(4394)
not ok 4 - expect "GetFileInformation b481e60f" &lt;lambda&gt; - result [{'VolumeSerialNumber': 322693027, 'FileIndex': 2054, 'NumberOfLinks': 1, 'CreationTime': '2026-10-10T11:27:54Z', 'LastAccessTime': '2026-10-10T11:27:54Z', 'FileSize': 0, 'LastWriteTime': '2026-10-10T11:27:54Z', 'FileAttributes': 128}]
not ok 5 - expect "GetReparsePoint b481e60f" 0 - got ERROR(4390)
not ok 6 - expect "SetReparsePoint b481e60f 42 {92A23BD8-99F5-4FD6-807C-C56F3A063C52} A1 B2 C3 D4 F5 1A 2B 3C 4D 5F" 0 - got ERROR(4394)
not ok 7 - expect "GetReparsePoint b481e60f" 0 - got ERROR(4390)
ok 8 - expect "SetReparsePoint b481e60f 43 {92A23BD8-99F5-4FD6-807C-C56F3A063C52} A1 B2 C3 D4 F5 1A 2B 3C 4D 5F" ERROR(4394)
not ok 9 - expect "SetReparsePoint b481e60f 42 {02A23BD8-99F5-4FD6-807C-C56F3A063C52} A1 B2 C3 D4 F5 1A 2B 3C 4D 5F" ERROR(4391) - got ERROR(4394)</x:v>
      </x:c>
    </x:row>
    <x:row r="229" ht="266" customHeight="1">
      <x:c r="A229" s="11" t="str">
        <x:v>STRICT-20261010-direct</x:v>
      </x:c>
      <x:c r="B229" s="11" t="str">
        <x:v>NATIVE-107</x:v>
      </x:c>
      <x:c r="C229" s="11" t="str">
        <x:v>winfstest-reparse/01.t</x:v>
      </x:c>
      <x:c r="D229" s="11" t="str">
        <x:v>winfstest</x:v>
      </x:c>
      <x:c r="E229" s="11" t="str">
        <x:v>本地</x:v>
      </x:c>
      <x:c r="F229" s="11" t="str">
        <x:v>不适用</x:v>
      </x:c>
      <x:c r="G229" s="20" t="d">
        <x:v>2026-10-10T00:00:00.000Z</x:v>
      </x:c>
      <x:c r="H229" s="11" t="str">
        <x:v>已失败</x:v>
      </x:c>
      <x:c r="I229" s="22" t="n">
        <x:v>0.338</x:v>
      </x:c>
      <x:c r="J229" s="11" t="str">
        <x:v>JuiceFS 1.3.0 / WinFsp 2.1.25156 / rclone 1.75.0-onemount</x:v>
      </x:c>
      <x:c r="K229" s="11" t="str">
        <x:v>原版全外部；无 FUSE 筛选或名称比较放宽</x:v>
      </x:c>
      <x:c r="L229" s="11" t="str">
        <x:v>63151da049f846e65fb361d1f314df65c2d468a7</x:v>
      </x:c>
      <x:c r="M229" s="11" t="str">
        <x:v>E09 / targets.direct.results</x:v>
      </x:c>
      <x:c r="N229" s="11" t="str">
        <x:v>not ok 3 - expect "SetReparsePoint d8e1d99e 42 {92A23BD8-99F5-4FD6-807C-C56F3A063C52} 1A 2B 3C 4D 5F" 0 - got ERROR(4394)
not ok 4 - expect "GetFileInformation d8e1d99e" &lt;lambda&gt; - result [{'VolumeSerialNumber': 322693027, 'FileIndex': 2059, 'NumberOfLinks': 1, 'CreationTime': '2026-10-10T11:27:54Z', 'LastAccessTime': '2026-10-10T11:27:54Z', 'FileSize': 0, 'LastWriteTime': '2026-10-10T11:27:54Z', 'FileAttributes': 16}]
not ok 5 - expect "GetReparsePoint d8e1d99e" 0 - got ERROR(4390)
not ok 6 - expect "SetReparsePoint d8e1d99e 42 {92A23BD8-99F5-4FD6-807C-C56F3A063C52} A1 B2 C3 D4 F5 1A 2B 3C 4D 5F" 0 - got ERROR(4394)
not ok 7 - expect "GetReparsePoint d8e1d99e" 0 - got ERROR(4390)
ok 8 - expect "SetReparsePoint d8e1d99e 43 {92A23BD8-99F5-4FD6-807C-C56F3A063C52} A1 B2 C3 D4 F5 1A 2B 3C 4D 5F" ERROR(4394)
not ok 9 - expect "SetReparsePoint d8e1d99e 42 {02A23BD8-99F5-4FD6-807C-C56F3A063C52} A1 B2 C3 D4 F5 1A 2B 3C 4D 5F" ERROR(4391) - got ERROR(4394)
not ok 13 - expect "SetReparsePoint d8e1d99e 42 {92A23BD8-99F5-4FD6-807C-C56F3A063C52} 1A 2B 3C 4D 5F" 0 - got ERROR(4394)</x:v>
      </x:c>
    </x:row>
    <x:row r="230" ht="74" customHeight="1">
      <x:c r="A230" s="10" t="str">
        <x:v>STRICT-20261010-direct</x:v>
      </x:c>
      <x:c r="B230" s="10" t="str">
        <x:v>NATIVE-108</x:v>
      </x:c>
      <x:c r="C230" s="10" t="str">
        <x:v>winfstest-reparse/02.t</x:v>
      </x:c>
      <x:c r="D230" s="10" t="str">
        <x:v>winfstest</x:v>
      </x:c>
      <x:c r="E230" s="10" t="str">
        <x:v>本地</x:v>
      </x:c>
      <x:c r="F230" s="10" t="str">
        <x:v>不适用</x:v>
      </x:c>
      <x:c r="G230" s="19" t="d">
        <x:v>2026-10-10T00:00:00.000Z</x:v>
      </x:c>
      <x:c r="H230" s="10" t="str">
        <x:v>已失败</x:v>
      </x:c>
      <x:c r="I230" s="21" t="n">
        <x:v>0.073</x:v>
      </x:c>
      <x:c r="J230" s="10" t="str">
        <x:v>JuiceFS 1.3.0 / WinFsp 2.1.25156 / rclone 1.75.0-onemount</x:v>
      </x:c>
      <x:c r="K230" s="10" t="str">
        <x:v>原版全外部；无 FUSE 筛选或名称比较放宽</x:v>
      </x:c>
      <x:c r="L230" s="10" t="str">
        <x:v>63151da049f846e65fb361d1f314df65c2d468a7</x:v>
      </x:c>
      <x:c r="M230" s="10" t="str">
        <x:v>E09 / targets.direct.results</x:v>
      </x:c>
      <x:c r="N230" s="10" t="str">
        <x:v>not ok 1 - expect "CreateSymbolicLink 7a159ea4 d97ddaee 0" 0 - got ERROR_INVALID_FUNCTION</x:v>
      </x:c>
    </x:row>
    <x:row r="231" ht="74" customHeight="1">
      <x:c r="A231" s="11" t="str">
        <x:v>STRICT-20261010-direct</x:v>
      </x:c>
      <x:c r="B231" s="11" t="str">
        <x:v>NATIVE-109</x:v>
      </x:c>
      <x:c r="C231" s="11" t="str">
        <x:v>winfstest-reparse/03.t</x:v>
      </x:c>
      <x:c r="D231" s="11" t="str">
        <x:v>winfstest</x:v>
      </x:c>
      <x:c r="E231" s="11" t="str">
        <x:v>本地</x:v>
      </x:c>
      <x:c r="F231" s="11" t="str">
        <x:v>不适用</x:v>
      </x:c>
      <x:c r="G231" s="20" t="d">
        <x:v>2026-10-10T00:00:00.000Z</x:v>
      </x:c>
      <x:c r="H231" s="11" t="str">
        <x:v>已失败</x:v>
      </x:c>
      <x:c r="I231" s="22" t="n">
        <x:v>0.066</x:v>
      </x:c>
      <x:c r="J231" s="11" t="str">
        <x:v>JuiceFS 1.3.0 / WinFsp 2.1.25156 / rclone 1.75.0-onemount</x:v>
      </x:c>
      <x:c r="K231" s="11" t="str">
        <x:v>原版全外部；无 FUSE 筛选或名称比较放宽</x:v>
      </x:c>
      <x:c r="L231" s="11" t="str">
        <x:v>63151da049f846e65fb361d1f314df65c2d468a7</x:v>
      </x:c>
      <x:c r="M231" s="11" t="str">
        <x:v>E09 / targets.direct.results</x:v>
      </x:c>
      <x:c r="N231" s="11" t="str">
        <x:v>not ok 1 - expect "CreateSymbolicLink 37b5456e 76df8d91 SYMBOLIC_LINK_FLAG_DIRECTORY" 0 - got ERROR_INVALID_FUNCTION</x:v>
      </x:c>
    </x:row>
    <x:row r="232" ht="138" customHeight="1">
      <x:c r="A232" s="10" t="str">
        <x:v>STRICT-20261010-direct</x:v>
      </x:c>
      <x:c r="B232" s="10" t="str">
        <x:v>NATIVE-110</x:v>
      </x:c>
      <x:c r="C232" s="10" t="str">
        <x:v>winfstest-streams/00.t</x:v>
      </x:c>
      <x:c r="D232" s="10" t="str">
        <x:v>winfstest</x:v>
      </x:c>
      <x:c r="E232" s="10" t="str">
        <x:v>本地</x:v>
      </x:c>
      <x:c r="F232" s="10" t="str">
        <x:v>不适用</x:v>
      </x:c>
      <x:c r="G232" s="19" t="d">
        <x:v>2026-10-10T00:00:00.000Z</x:v>
      </x:c>
      <x:c r="H232" s="10" t="str">
        <x:v>已失败</x:v>
      </x:c>
      <x:c r="I232" s="21" t="n">
        <x:v>0.104</x:v>
      </x:c>
      <x:c r="J232" s="10" t="str">
        <x:v>JuiceFS 1.3.0 / WinFsp 2.1.25156 / rclone 1.75.0-onemount</x:v>
      </x:c>
      <x:c r="K232" s="10" t="str">
        <x:v>原版全外部；无 FUSE 筛选或名称比较放宽</x:v>
      </x:c>
      <x:c r="L232" s="10" t="str">
        <x:v>63151da049f846e65fb361d1f314df65c2d468a7</x:v>
      </x:c>
      <x:c r="M232" s="10" t="str">
        <x:v>E09 / targets.direct.results</x:v>
      </x:c>
      <x:c r="N232" s="10" t="str">
        <x:v>not ok 1 - expect "CreateFile 235e8478:foo GENERIC_WRITE 0 0 CREATE_NEW FILE_ATTRIBUTE_NORMAL 0" 0 - got ERROR_INVALID_NAME
not ok 2 - expect "CreateFile 235e8478 GENERIC_WRITE 0 0 CREATE_NEW FILE_ATTRIBUTE_NORMAL 0" ERROR_FILE_EXISTS - got 0
not ok 3 - expect "CreateFile 235e8478:foo GENERIC_WRITE 0 0 CREATE_NEW FILE_ATTRIBUTE_NORMAL 0" ERROR_FILE_EXISTS - got ERROR_INVALID_NAME
not ok 5 - expect "GetFileInformation 235e8478:foo" 0 - got ERROR_INVALID_NAME
IndexError: list index out of range</x:v>
      </x:c>
    </x:row>
    <x:row r="233" ht="154" customHeight="1">
      <x:c r="A233" s="11" t="str">
        <x:v>STRICT-20261010-direct</x:v>
      </x:c>
      <x:c r="B233" s="11" t="str">
        <x:v>NATIVE-111</x:v>
      </x:c>
      <x:c r="C233" s="11" t="str">
        <x:v>winfstest-streams/01.t</x:v>
      </x:c>
      <x:c r="D233" s="11" t="str">
        <x:v>winfstest</x:v>
      </x:c>
      <x:c r="E233" s="11" t="str">
        <x:v>本地</x:v>
      </x:c>
      <x:c r="F233" s="11" t="str">
        <x:v>不适用</x:v>
      </x:c>
      <x:c r="G233" s="20" t="d">
        <x:v>2026-10-10T00:00:00.000Z</x:v>
      </x:c>
      <x:c r="H233" s="11" t="str">
        <x:v>已失败</x:v>
      </x:c>
      <x:c r="I233" s="22" t="n">
        <x:v>0.111</x:v>
      </x:c>
      <x:c r="J233" s="11" t="str">
        <x:v>JuiceFS 1.3.0 / WinFsp 2.1.25156 / rclone 1.75.0-onemount</x:v>
      </x:c>
      <x:c r="K233" s="11" t="str">
        <x:v>原版全外部；无 FUSE 筛选或名称比较放宽</x:v>
      </x:c>
      <x:c r="L233" s="11" t="str">
        <x:v>63151da049f846e65fb361d1f314df65c2d468a7</x:v>
      </x:c>
      <x:c r="M233" s="11" t="str">
        <x:v>E09 / targets.direct.results</x:v>
      </x:c>
      <x:c r="N233" s="11" t="str">
        <x:v>not ok 1 - expect "CreateDirectory 28f49d70:foo 0" ERROR_DIRECTORY - got ERROR_INVALID_NAME
not ok 3 - expect "CreateDirectory 28f49d70 0" ERROR_ALREADY_EXISTS - got 0
not ok 4 - expect "CreateFile 28f49d70:foo GENERIC_WRITE 0 0 CREATE_NEW FILE_ATTRIBUTE_NORMAL 0" 0 - got ERROR_INVALID_NAME
not ok 5 - expect "CreateFile 28f49d70:foo GENERIC_WRITE 0 0 CREATE_NEW FILE_ATTRIBUTE_NORMAL 0" ERROR_FILE_EXISTS - got ERROR_INVALID_NAME
not ok 7 - expect "GetFileInformation 28f49d70:foo" 0 - got ERROR_INVALID_NAME
IndexError: list index out of range</x:v>
      </x:c>
    </x:row>
    <x:row r="234" ht="170" customHeight="1">
      <x:c r="A234" s="10" t="str">
        <x:v>STRICT-20261010-direct</x:v>
      </x:c>
      <x:c r="B234" s="10" t="str">
        <x:v>NATIVE-112</x:v>
      </x:c>
      <x:c r="C234" s="10" t="str">
        <x:v>winfstest-streams/02.t</x:v>
      </x:c>
      <x:c r="D234" s="10" t="str">
        <x:v>winfstest</x:v>
      </x:c>
      <x:c r="E234" s="10" t="str">
        <x:v>本地</x:v>
      </x:c>
      <x:c r="F234" s="10" t="str">
        <x:v>不适用</x:v>
      </x:c>
      <x:c r="G234" s="19" t="d">
        <x:v>2026-10-10T00:00:00.000Z</x:v>
      </x:c>
      <x:c r="H234" s="10" t="str">
        <x:v>已失败</x:v>
      </x:c>
      <x:c r="I234" s="21" t="n">
        <x:v>1.045</x:v>
      </x:c>
      <x:c r="J234" s="10" t="str">
        <x:v>JuiceFS 1.3.0 / WinFsp 2.1.25156 / rclone 1.75.0-onemount</x:v>
      </x:c>
      <x:c r="K234" s="10" t="str">
        <x:v>原版全外部；无 FUSE 筛选或名称比较放宽</x:v>
      </x:c>
      <x:c r="L234" s="10" t="str">
        <x:v>63151da049f846e65fb361d1f314df65c2d468a7</x:v>
      </x:c>
      <x:c r="M234" s="10" t="str">
        <x:v>E09 / targets.direct.results</x:v>
      </x:c>
      <x:c r="N234" s="10" t="str">
        <x:v>not ok 2 - expect "FindStreams 42e6f2d5" 0 - got ERROR_INVALID_PARAMETER
not ok 3 - testeval(len(s) == 1)
not ok 4 - testeval("::$DATA" in s)
ok 6 - expect "FindStreams 42e6f2d5" ERROR_FILE_NOT_FOUND
not ok 7 - expect "CreateFile 42e6f2d5:foo GENERIC_WRITE 0 0 CREATE_NEW FILE_ATTRIBUTE_NORMAL 0" 0 - got ERROR_INVALID_NAME
not ok 8 - expect "CreateFile 42e6f2d5:bar GENERIC_WRITE 0 0 CREATE_NEW FILE_ATTRIBUTE_NORMAL 0" 0 - got ERROR_INVALID_NAME
not ok 9 - expect "FindStreams 42e6f2d5" 0 - got ERROR_FILE_NOT_FOUND
not ok 10 - testeval(len(s) == 3)</x:v>
      </x:c>
    </x:row>
    <x:row r="235" ht="250" customHeight="1">
      <x:c r="A235" s="11" t="str">
        <x:v>STRICT-20261010-direct</x:v>
      </x:c>
      <x:c r="B235" s="11" t="str">
        <x:v>NATIVE-113</x:v>
      </x:c>
      <x:c r="C235" s="11" t="str">
        <x:v>winfstest-streams/03.t</x:v>
      </x:c>
      <x:c r="D235" s="11" t="str">
        <x:v>winfstest</x:v>
      </x:c>
      <x:c r="E235" s="11" t="str">
        <x:v>本地</x:v>
      </x:c>
      <x:c r="F235" s="11" t="str">
        <x:v>不适用</x:v>
      </x:c>
      <x:c r="G235" s="20" t="d">
        <x:v>2026-10-10T00:00:00.000Z</x:v>
      </x:c>
      <x:c r="H235" s="11" t="str">
        <x:v>已失败</x:v>
      </x:c>
      <x:c r="I235" s="22" t="n">
        <x:v>0.346</x:v>
      </x:c>
      <x:c r="J235" s="11" t="str">
        <x:v>JuiceFS 1.3.0 / WinFsp 2.1.25156 / rclone 1.75.0-onemount</x:v>
      </x:c>
      <x:c r="K235" s="11" t="str">
        <x:v>原版全外部；无 FUSE 筛选或名称比较放宽</x:v>
      </x:c>
      <x:c r="L235" s="11" t="str">
        <x:v>63151da049f846e65fb361d1f314df65c2d468a7</x:v>
      </x:c>
      <x:c r="M235" s="11" t="str">
        <x:v>E09 / targets.direct.results</x:v>
      </x:c>
      <x:c r="N235" s="11" t="str">
        <x:v>not ok 1 - expect "CreateFile df5186d4:strm GENERIC_WRITE 0 D:P(A;;GA;;;WD) CREATE_NEW FILE_ATTRIBUTE_NORMAL 0" 0 - got ERROR_INVALID_NAME
not ok 2 - expect "GetFileSecurity df5186d4 DACL_SECURITY_INFORMATION" 0 - got ERROR_FILE_NOT_FOUND
not ok 3 - expect "GetFileSecurity df5186d4:strm DACL_SECURITY_INFORMATION" 0 - got ERROR_INVALID_NAME
not ok 4 - expect "SetFileSecurity df5186d4:strm DACL_SECURITY_INFORMATION D:P(A;;GA;;;WD)(A;;GR;;;SY)" 0 - got ERROR_INVALID_NAME
not ok 5 - expect "GetFileSecurity df5186d4 DACL_SECURITY_INFORMATION" 0 - got ERROR_FILE_NOT_FOUND
not ok 6 - expect "GetFileSecurity df5186d4:strm DACL_SECURITY_INFORMATION" 0 - got ERROR_INVALID_NAME
not ok 7 - expect "DeleteFile df5186d4" 0 - got ERROR_FILE_NOT_FOUND
not ok 8 - expect "CreateFile df5186d4:strm GENERIC_WRITE 0 D:P(A;;GA;;;WD) CREATE_NEW FILE_ATTRIBUTE_NORMAL 0" 0 - got ERROR_INVALID_NAME</x:v>
      </x:c>
    </x:row>
    <x:row r="236" ht="186" customHeight="1">
      <x:c r="A236" s="10" t="str">
        <x:v>STRICT-20261010-direct</x:v>
      </x:c>
      <x:c r="B236" s="10" t="str">
        <x:v>NATIVE-114</x:v>
      </x:c>
      <x:c r="C236" s="10" t="str">
        <x:v>winfstest-streams/04.t</x:v>
      </x:c>
      <x:c r="D236" s="10" t="str">
        <x:v>winfstest</x:v>
      </x:c>
      <x:c r="E236" s="10" t="str">
        <x:v>本地</x:v>
      </x:c>
      <x:c r="F236" s="10" t="str">
        <x:v>不适用</x:v>
      </x:c>
      <x:c r="G236" s="19" t="d">
        <x:v>2026-10-10T00:00:00.000Z</x:v>
      </x:c>
      <x:c r="H236" s="10" t="str">
        <x:v>已失败</x:v>
      </x:c>
      <x:c r="I236" s="21" t="n">
        <x:v>0.125</x:v>
      </x:c>
      <x:c r="J236" s="10" t="str">
        <x:v>JuiceFS 1.3.0 / WinFsp 2.1.25156 / rclone 1.75.0-onemount</x:v>
      </x:c>
      <x:c r="K236" s="10" t="str">
        <x:v>原版全外部；无 FUSE 筛选或名称比较放宽</x:v>
      </x:c>
      <x:c r="L236" s="10" t="str">
        <x:v>63151da049f846e65fb361d1f314df65c2d468a7</x:v>
      </x:c>
      <x:c r="M236" s="10" t="str">
        <x:v>E09 / targets.direct.results</x:v>
      </x:c>
      <x:c r="N236" s="10" t="str">
        <x:v>not ok 1 - expect "CreateFile cb81abe1:strm GENERIC_WRITE 0 0 CREATE_NEW FILE_ATTRIBUTE_NORMAL 0" 0 - got ERROR_INVALID_NAME
not ok 2 - expect "GetFileInformation cb81abe1" 0 - got ERROR_FILE_NOT_FOUND
not ok 3 - expect "SetReparsePoint cb81abe1:strm 42 {92A23BD8-99F5-4FD6-807C-C56F3A063C52} 1A 2B 3C 4D 5F" 0 - got ERROR_INVALID_NAME
not ok 4 - expect "GetFileInformation cb81abe1" 0 - got ERROR_FILE_NOT_FOUND
not ok 5 - expect "GetReparsePoint cb81abe1" 0 - got ERROR_FILE_NOT_FOUND
not ok 6 - expect "SetReparsePoint cb81abe1 42 {92A23BD8-99F5-4FD6-807C-C56F3A063C52} A1 B2 C3 D4 F5 1A 2B 3C 4D 5F" 0 - got ERROR_FILE_NOT_FOUND
not ok 7 - expect "GetReparsePoint cb81abe1:strm" 0 - got ERROR_INVALID_NAME
not ok 8 - expect "DeleteFile cb81abe1" 0 - got ERROR_FILE_NOT_FOUND</x:v>
      </x:c>
    </x:row>
    <x:row r="237" ht="74" customHeight="1">
      <x:c r="A237" s="11" t="str">
        <x:v>STRICT-20261010-direct</x:v>
      </x:c>
      <x:c r="B237" s="11" t="str">
        <x:v>NATIVE-115</x:v>
      </x:c>
      <x:c r="C237" s="11" t="str">
        <x:v>fsx-normal</x:v>
      </x:c>
      <x:c r="D237" s="11" t="str">
        <x:v>fsx</x:v>
      </x:c>
      <x:c r="E237" s="11" t="str">
        <x:v>本地</x:v>
      </x:c>
      <x:c r="F237" s="11" t="str">
        <x:v>不适用</x:v>
      </x:c>
      <x:c r="G237" s="20" t="d">
        <x:v>2026-10-10T00:00:00.000Z</x:v>
      </x:c>
      <x:c r="H237" s="11" t="str">
        <x:v>已通过</x:v>
      </x:c>
      <x:c r="I237" s="22" t="n">
        <x:v>2.17</x:v>
      </x:c>
      <x:c r="J237" s="11" t="str">
        <x:v>JuiceFS 1.3.0 / WinFsp 2.1.25156 / rclone 1.75.0-onemount</x:v>
      </x:c>
      <x:c r="K237" s="11" t="str">
        <x:v>原版全外部；无 FUSE 筛选或名称比较放宽</x:v>
      </x:c>
      <x:c r="L237" s="11" t="str">
        <x:v>63151da049f846e65fb361d1f314df65c2d468a7</x:v>
      </x:c>
      <x:c r="M237" s="11" t="str">
        <x:v>E09 / targets.direct.results</x:v>
      </x:c>
      <x:c r="N237" s="11" t="str">
        <x:v>入口结果见原始 JSON；通过不表示任意规模均正确</x:v>
      </x:c>
    </x:row>
    <x:row r="238" ht="74" customHeight="1">
      <x:c r="A238" s="10" t="str">
        <x:v>STRICT-20261010-direct</x:v>
      </x:c>
      <x:c r="B238" s="10" t="str">
        <x:v>NATIVE-116</x:v>
      </x:c>
      <x:c r="C238" s="10" t="str">
        <x:v>fsx-mixed</x:v>
      </x:c>
      <x:c r="D238" s="10" t="str">
        <x:v>fsx</x:v>
      </x:c>
      <x:c r="E238" s="10" t="str">
        <x:v>本地</x:v>
      </x:c>
      <x:c r="F238" s="10" t="str">
        <x:v>不适用</x:v>
      </x:c>
      <x:c r="G238" s="19" t="d">
        <x:v>2026-10-10T00:00:00.000Z</x:v>
      </x:c>
      <x:c r="H238" s="10" t="str">
        <x:v>已通过</x:v>
      </x:c>
      <x:c r="I238" s="21" t="n">
        <x:v>2.1</x:v>
      </x:c>
      <x:c r="J238" s="10" t="str">
        <x:v>JuiceFS 1.3.0 / WinFsp 2.1.25156 / rclone 1.75.0-onemount</x:v>
      </x:c>
      <x:c r="K238" s="10" t="str">
        <x:v>原版全外部；无 FUSE 筛选或名称比较放宽</x:v>
      </x:c>
      <x:c r="L238" s="10" t="str">
        <x:v>63151da049f846e65fb361d1f314df65c2d468a7</x:v>
      </x:c>
      <x:c r="M238" s="10" t="str">
        <x:v>E09 / targets.direct.results</x:v>
      </x:c>
      <x:c r="N238" s="10" t="str">
        <x:v>入口结果见原始 JSON；通过不表示任意规模均正确</x:v>
      </x:c>
    </x:row>
    <x:row r="239" ht="74" customHeight="1">
      <x:c r="A239" s="11" t="str">
        <x:v>STRICT-20261010-direct</x:v>
      </x:c>
      <x:c r="B239" s="11" t="str">
        <x:v>NATIVE-117</x:v>
      </x:c>
      <x:c r="C239" s="11" t="str">
        <x:v>fsx-stream</x:v>
      </x:c>
      <x:c r="D239" s="11" t="str">
        <x:v>fsx</x:v>
      </x:c>
      <x:c r="E239" s="11" t="str">
        <x:v>本地</x:v>
      </x:c>
      <x:c r="F239" s="11" t="str">
        <x:v>不适用</x:v>
      </x:c>
      <x:c r="G239" s="20" t="d">
        <x:v>2026-10-10T00:00:00.000Z</x:v>
      </x:c>
      <x:c r="H239" s="11" t="str">
        <x:v>已失败</x:v>
      </x:c>
      <x:c r="I239" s="22" t="n">
        <x:v>0.021</x:v>
      </x:c>
      <x:c r="J239" s="11" t="str">
        <x:v>JuiceFS 1.3.0 / WinFsp 2.1.25156 / rclone 1.75.0-onemount</x:v>
      </x:c>
      <x:c r="K239" s="11" t="str">
        <x:v>原版全外部；无 FUSE 筛选或名称比较放宽</x:v>
      </x:c>
      <x:c r="L239" s="11" t="str">
        <x:v>63151da049f846e65fb361d1f314df65c2d468a7</x:v>
      </x:c>
      <x:c r="M239" s="11" t="str">
        <x:v>E09 / targets.direct.results</x:v>
      </x:c>
      <x:c r="N239" s="11" t="str">
        <x:v>入口结果见原始 JSON；通过不表示任意规模均正确</x:v>
      </x:c>
    </x:row>
    <x:row r="240" ht="74" customHeight="1">
      <x:c r="A240" s="10" t="str">
        <x:v>STRICT-20261010-juicefs</x:v>
      </x:c>
      <x:c r="B240" s="10" t="str">
        <x:v>NATIVE-001</x:v>
      </x:c>
      <x:c r="C240" s="10" t="str">
        <x:v>create_test</x:v>
      </x:c>
      <x:c r="D240" s="10" t="str">
        <x:v>winfsp-tests</x:v>
      </x:c>
      <x:c r="E240" s="10" t="str">
        <x:v>本地</x:v>
      </x:c>
      <x:c r="F240" s="10" t="str">
        <x:v>同步</x:v>
      </x:c>
      <x:c r="G240" s="19" t="d">
        <x:v>2026-10-10T00:00:00.000Z</x:v>
      </x:c>
      <x:c r="H240" s="10" t="str">
        <x:v>已通过</x:v>
      </x:c>
      <x:c r="I240" s="21" t="n">
        <x:v>0.224</x:v>
      </x:c>
      <x:c r="J240" s="10" t="str">
        <x:v>JuiceFS 1.3.0 / WinFsp 2.1.25156 / rclone 1.75.0-onemount</x:v>
      </x:c>
      <x:c r="K240" s="10" t="str">
        <x:v>原版全外部；无 FUSE 筛选或名称比较放宽</x:v>
      </x:c>
      <x:c r="L240" s="10" t="str">
        <x:v>63151da049f846e65fb361d1f314df65c2d468a7</x:v>
      </x:c>
      <x:c r="M240" s="10" t="str">
        <x:v>E09 / targets.juicefs.results</x:v>
      </x:c>
      <x:c r="N240" s="10" t="str">
        <x:v>入口结果见原始 JSON；通过不表示任意规模均正确</x:v>
      </x:c>
    </x:row>
    <x:row r="241" ht="74" customHeight="1">
      <x:c r="A241" s="11" t="str">
        <x:v>STRICT-20261010-juicefs</x:v>
      </x:c>
      <x:c r="B241" s="11" t="str">
        <x:v>NATIVE-002</x:v>
      </x:c>
      <x:c r="C241" s="11" t="str">
        <x:v>create_fileattr_test</x:v>
      </x:c>
      <x:c r="D241" s="11" t="str">
        <x:v>winfsp-tests</x:v>
      </x:c>
      <x:c r="E241" s="11" t="str">
        <x:v>本地</x:v>
      </x:c>
      <x:c r="F241" s="11" t="str">
        <x:v>同步</x:v>
      </x:c>
      <x:c r="G241" s="20" t="d">
        <x:v>2026-10-10T00:00:00.000Z</x:v>
      </x:c>
      <x:c r="H241" s="11" t="str">
        <x:v>已通过</x:v>
      </x:c>
      <x:c r="I241" s="22" t="n">
        <x:v>0.211</x:v>
      </x:c>
      <x:c r="J241" s="11" t="str">
        <x:v>JuiceFS 1.3.0 / WinFsp 2.1.25156 / rclone 1.75.0-onemount</x:v>
      </x:c>
      <x:c r="K241" s="11" t="str">
        <x:v>原版全外部；无 FUSE 筛选或名称比较放宽</x:v>
      </x:c>
      <x:c r="L241" s="11" t="str">
        <x:v>63151da049f846e65fb361d1f314df65c2d468a7</x:v>
      </x:c>
      <x:c r="M241" s="11" t="str">
        <x:v>E09 / targets.juicefs.results</x:v>
      </x:c>
      <x:c r="N241" s="11" t="str">
        <x:v>入口结果见原始 JSON；通过不表示任意规模均正确</x:v>
      </x:c>
    </x:row>
    <x:row r="242" ht="74" customHeight="1">
      <x:c r="A242" s="10" t="str">
        <x:v>STRICT-20261010-juicefs</x:v>
      </x:c>
      <x:c r="B242" s="10" t="str">
        <x:v>NATIVE-003</x:v>
      </x:c>
      <x:c r="C242" s="10" t="str">
        <x:v>create_readonlydir_test</x:v>
      </x:c>
      <x:c r="D242" s="10" t="str">
        <x:v>winfsp-tests</x:v>
      </x:c>
      <x:c r="E242" s="10" t="str">
        <x:v>本地</x:v>
      </x:c>
      <x:c r="F242" s="10" t="str">
        <x:v>同步</x:v>
      </x:c>
      <x:c r="G242" s="19" t="d">
        <x:v>2026-10-10T00:00:00.000Z</x:v>
      </x:c>
      <x:c r="H242" s="10" t="str">
        <x:v>已失败</x:v>
      </x:c>
      <x:c r="I242" s="21" t="n">
        <x:v>0.432</x:v>
      </x:c>
      <x:c r="J242" s="10" t="str">
        <x:v>JuiceFS 1.3.0 / WinFsp 2.1.25156 / rclone 1.75.0-onemount</x:v>
      </x:c>
      <x:c r="K242" s="10" t="str">
        <x:v>原版全外部；无 FUSE 筛选或名称比较放宽</x:v>
      </x:c>
      <x:c r="L242" s="10" t="str">
        <x:v>63151da049f846e65fb361d1f314df65c2d468a7</x:v>
      </x:c>
      <x:c r="M242" s="10" t="str">
        <x:v>E09 / targets.juicefs.results</x:v>
      </x:c>
      <x:c r="N242" s="10" t="str">
        <x:v>    ASSERT(INVALID_HANDLE_VALUE != Handle) failed at create-test.c:381:create_readonlydir_dotest (err=c0000022:5)</x:v>
      </x:c>
    </x:row>
    <x:row r="243" ht="74" customHeight="1">
      <x:c r="A243" s="11" t="str">
        <x:v>STRICT-20261010-juicefs</x:v>
      </x:c>
      <x:c r="B243" s="11" t="str">
        <x:v>NATIVE-004</x:v>
      </x:c>
      <x:c r="C243" s="11" t="str">
        <x:v>create_related_test</x:v>
      </x:c>
      <x:c r="D243" s="11" t="str">
        <x:v>winfsp-tests</x:v>
      </x:c>
      <x:c r="E243" s="11" t="str">
        <x:v>本地</x:v>
      </x:c>
      <x:c r="F243" s="11" t="str">
        <x:v>同步</x:v>
      </x:c>
      <x:c r="G243" s="20" t="d">
        <x:v>2026-10-10T00:00:00.000Z</x:v>
      </x:c>
      <x:c r="H243" s="11" t="str">
        <x:v>已通过</x:v>
      </x:c>
      <x:c r="I243" s="22" t="n">
        <x:v>0.191</x:v>
      </x:c>
      <x:c r="J243" s="11" t="str">
        <x:v>JuiceFS 1.3.0 / WinFsp 2.1.25156 / rclone 1.75.0-onemount</x:v>
      </x:c>
      <x:c r="K243" s="11" t="str">
        <x:v>原版全外部；无 FUSE 筛选或名称比较放宽</x:v>
      </x:c>
      <x:c r="L243" s="11" t="str">
        <x:v>63151da049f846e65fb361d1f314df65c2d468a7</x:v>
      </x:c>
      <x:c r="M243" s="11" t="str">
        <x:v>E09 / targets.juicefs.results</x:v>
      </x:c>
      <x:c r="N243" s="11" t="str">
        <x:v>入口结果见原始 JSON；通过不表示任意规模均正确</x:v>
      </x:c>
    </x:row>
    <x:row r="244" ht="74" customHeight="1">
      <x:c r="A244" s="10" t="str">
        <x:v>STRICT-20261010-juicefs</x:v>
      </x:c>
      <x:c r="B244" s="10" t="str">
        <x:v>NATIVE-005</x:v>
      </x:c>
      <x:c r="C244" s="10" t="str">
        <x:v>create_allocation_test</x:v>
      </x:c>
      <x:c r="D244" s="10" t="str">
        <x:v>winfsp-tests</x:v>
      </x:c>
      <x:c r="E244" s="10" t="str">
        <x:v>本地</x:v>
      </x:c>
      <x:c r="F244" s="10" t="str">
        <x:v>同步</x:v>
      </x:c>
      <x:c r="G244" s="19" t="d">
        <x:v>2026-10-10T00:00:00.000Z</x:v>
      </x:c>
      <x:c r="H244" s="10" t="str">
        <x:v>已失败</x:v>
      </x:c>
      <x:c r="I244" s="21" t="n">
        <x:v>0.245</x:v>
      </x:c>
      <x:c r="J244" s="10" t="str">
        <x:v>JuiceFS 1.3.0 / WinFsp 2.1.25156 / rclone 1.75.0-onemount</x:v>
      </x:c>
      <x:c r="K244" s="10" t="str">
        <x:v>原版全外部；无 FUSE 筛选或名称比较放宽</x:v>
      </x:c>
      <x:c r="L244" s="10" t="str">
        <x:v>63151da049f846e65fb361d1f314df65c2d468a7</x:v>
      </x:c>
      <x:c r="M244" s="10" t="str">
        <x:v>E09 / targets.juicefs.results</x:v>
      </x:c>
      <x:c r="N244" s="10" t="str">
        <x:v>    ASSERT(65536 == StandardInfo.AllocationSize.QuadPart) failed at create-test.c:518:create_allocation_dotest (err=0:0)</x:v>
      </x:c>
    </x:row>
    <x:row r="245" ht="74" customHeight="1">
      <x:c r="A245" s="11" t="str">
        <x:v>STRICT-20261010-juicefs</x:v>
      </x:c>
      <x:c r="B245" s="11" t="str">
        <x:v>NATIVE-006</x:v>
      </x:c>
      <x:c r="C245" s="11" t="str">
        <x:v>create_sd_test</x:v>
      </x:c>
      <x:c r="D245" s="11" t="str">
        <x:v>winfsp-tests</x:v>
      </x:c>
      <x:c r="E245" s="11" t="str">
        <x:v>本地</x:v>
      </x:c>
      <x:c r="F245" s="11" t="str">
        <x:v>同步</x:v>
      </x:c>
      <x:c r="G245" s="20" t="d">
        <x:v>2026-10-10T00:00:00.000Z</x:v>
      </x:c>
      <x:c r="H245" s="11" t="str">
        <x:v>已通过</x:v>
      </x:c>
      <x:c r="I245" s="22" t="n">
        <x:v>0.19</x:v>
      </x:c>
      <x:c r="J245" s="11" t="str">
        <x:v>JuiceFS 1.3.0 / WinFsp 2.1.25156 / rclone 1.75.0-onemount</x:v>
      </x:c>
      <x:c r="K245" s="11" t="str">
        <x:v>原版全外部；无 FUSE 筛选或名称比较放宽</x:v>
      </x:c>
      <x:c r="L245" s="11" t="str">
        <x:v>63151da049f846e65fb361d1f314df65c2d468a7</x:v>
      </x:c>
      <x:c r="M245" s="11" t="str">
        <x:v>E09 / targets.juicefs.results</x:v>
      </x:c>
      <x:c r="N245" s="11" t="str">
        <x:v>入口结果见原始 JSON；通过不表示任意规模均正确</x:v>
      </x:c>
    </x:row>
    <x:row r="246" ht="74" customHeight="1">
      <x:c r="A246" s="10" t="str">
        <x:v>STRICT-20261010-juicefs</x:v>
      </x:c>
      <x:c r="B246" s="10" t="str">
        <x:v>NATIVE-007</x:v>
      </x:c>
      <x:c r="C246" s="10" t="str">
        <x:v>create_notraverse_test</x:v>
      </x:c>
      <x:c r="D246" s="10" t="str">
        <x:v>winfsp-tests</x:v>
      </x:c>
      <x:c r="E246" s="10" t="str">
        <x:v>本地</x:v>
      </x:c>
      <x:c r="F246" s="10" t="str">
        <x:v>同步</x:v>
      </x:c>
      <x:c r="G246" s="19" t="d">
        <x:v>2026-10-10T00:00:00.000Z</x:v>
      </x:c>
      <x:c r="H246" s="10" t="str">
        <x:v>已通过</x:v>
      </x:c>
      <x:c r="I246" s="21" t="n">
        <x:v>0.189</x:v>
      </x:c>
      <x:c r="J246" s="10" t="str">
        <x:v>JuiceFS 1.3.0 / WinFsp 2.1.25156 / rclone 1.75.0-onemount</x:v>
      </x:c>
      <x:c r="K246" s="10" t="str">
        <x:v>原版全外部；无 FUSE 筛选或名称比较放宽</x:v>
      </x:c>
      <x:c r="L246" s="10" t="str">
        <x:v>63151da049f846e65fb361d1f314df65c2d468a7</x:v>
      </x:c>
      <x:c r="M246" s="10" t="str">
        <x:v>E09 / targets.juicefs.results</x:v>
      </x:c>
      <x:c r="N246" s="10" t="str">
        <x:v>入口结果见原始 JSON；通过不表示任意规模均正确</x:v>
      </x:c>
    </x:row>
    <x:row r="247" ht="74" customHeight="1">
      <x:c r="A247" s="11" t="str">
        <x:v>STRICT-20261010-juicefs</x:v>
      </x:c>
      <x:c r="B247" s="11" t="str">
        <x:v>NATIVE-008</x:v>
      </x:c>
      <x:c r="C247" s="11" t="str">
        <x:v>create_backup_test</x:v>
      </x:c>
      <x:c r="D247" s="11" t="str">
        <x:v>winfsp-tests</x:v>
      </x:c>
      <x:c r="E247" s="11" t="str">
        <x:v>本地</x:v>
      </x:c>
      <x:c r="F247" s="11" t="str">
        <x:v>同步</x:v>
      </x:c>
      <x:c r="G247" s="20" t="d">
        <x:v>2026-10-10T00:00:00.000Z</x:v>
      </x:c>
      <x:c r="H247" s="11" t="str">
        <x:v>已通过</x:v>
      </x:c>
      <x:c r="I247" s="22" t="n">
        <x:v>0.199</x:v>
      </x:c>
      <x:c r="J247" s="11" t="str">
        <x:v>JuiceFS 1.3.0 / WinFsp 2.1.25156 / rclone 1.75.0-onemount</x:v>
      </x:c>
      <x:c r="K247" s="11" t="str">
        <x:v>原版全外部；无 FUSE 筛选或名称比较放宽</x:v>
      </x:c>
      <x:c r="L247" s="11" t="str">
        <x:v>63151da049f846e65fb361d1f314df65c2d468a7</x:v>
      </x:c>
      <x:c r="M247" s="11" t="str">
        <x:v>E09 / targets.juicefs.results</x:v>
      </x:c>
      <x:c r="N247" s="11" t="str">
        <x:v>入口结果见原始 JSON；通过不表示任意规模均正确</x:v>
      </x:c>
    </x:row>
    <x:row r="248" ht="74" customHeight="1">
      <x:c r="A248" s="10" t="str">
        <x:v>STRICT-20261010-juicefs</x:v>
      </x:c>
      <x:c r="B248" s="10" t="str">
        <x:v>NATIVE-009</x:v>
      </x:c>
      <x:c r="C248" s="10" t="str">
        <x:v>create_restore_test</x:v>
      </x:c>
      <x:c r="D248" s="10" t="str">
        <x:v>winfsp-tests</x:v>
      </x:c>
      <x:c r="E248" s="10" t="str">
        <x:v>本地</x:v>
      </x:c>
      <x:c r="F248" s="10" t="str">
        <x:v>同步</x:v>
      </x:c>
      <x:c r="G248" s="19" t="d">
        <x:v>2026-10-10T00:00:00.000Z</x:v>
      </x:c>
      <x:c r="H248" s="10" t="str">
        <x:v>已通过</x:v>
      </x:c>
      <x:c r="I248" s="21" t="n">
        <x:v>0.198</x:v>
      </x:c>
      <x:c r="J248" s="10" t="str">
        <x:v>JuiceFS 1.3.0 / WinFsp 2.1.25156 / rclone 1.75.0-onemount</x:v>
      </x:c>
      <x:c r="K248" s="10" t="str">
        <x:v>原版全外部；无 FUSE 筛选或名称比较放宽</x:v>
      </x:c>
      <x:c r="L248" s="10" t="str">
        <x:v>63151da049f846e65fb361d1f314df65c2d468a7</x:v>
      </x:c>
      <x:c r="M248" s="10" t="str">
        <x:v>E09 / targets.juicefs.results</x:v>
      </x:c>
      <x:c r="N248" s="10" t="str">
        <x:v>入口结果见原始 JSON；通过不表示任意规模均正确</x:v>
      </x:c>
    </x:row>
    <x:row r="249" ht="74" customHeight="1">
      <x:c r="A249" s="11" t="str">
        <x:v>STRICT-20261010-juicefs</x:v>
      </x:c>
      <x:c r="B249" s="11" t="str">
        <x:v>NATIVE-010</x:v>
      </x:c>
      <x:c r="C249" s="11" t="str">
        <x:v>create_share_test</x:v>
      </x:c>
      <x:c r="D249" s="11" t="str">
        <x:v>winfsp-tests</x:v>
      </x:c>
      <x:c r="E249" s="11" t="str">
        <x:v>本地</x:v>
      </x:c>
      <x:c r="F249" s="11" t="str">
        <x:v>同步</x:v>
      </x:c>
      <x:c r="G249" s="20" t="d">
        <x:v>2026-10-10T00:00:00.000Z</x:v>
      </x:c>
      <x:c r="H249" s="11" t="str">
        <x:v>已通过</x:v>
      </x:c>
      <x:c r="I249" s="22" t="n">
        <x:v>0.192</x:v>
      </x:c>
      <x:c r="J249" s="11" t="str">
        <x:v>JuiceFS 1.3.0 / WinFsp 2.1.25156 / rclone 1.75.0-onemount</x:v>
      </x:c>
      <x:c r="K249" s="11" t="str">
        <x:v>原版全外部；无 FUSE 筛选或名称比较放宽</x:v>
      </x:c>
      <x:c r="L249" s="11" t="str">
        <x:v>63151da049f846e65fb361d1f314df65c2d468a7</x:v>
      </x:c>
      <x:c r="M249" s="11" t="str">
        <x:v>E09 / targets.juicefs.results</x:v>
      </x:c>
      <x:c r="N249" s="11" t="str">
        <x:v>入口结果见原始 JSON；通过不表示任意规模均正确</x:v>
      </x:c>
    </x:row>
    <x:row r="250" ht="74" customHeight="1">
      <x:c r="A250" s="10" t="str">
        <x:v>STRICT-20261010-juicefs</x:v>
      </x:c>
      <x:c r="B250" s="10" t="str">
        <x:v>NATIVE-011</x:v>
      </x:c>
      <x:c r="C250" s="10" t="str">
        <x:v>create_curdir_test</x:v>
      </x:c>
      <x:c r="D250" s="10" t="str">
        <x:v>winfsp-tests</x:v>
      </x:c>
      <x:c r="E250" s="10" t="str">
        <x:v>本地</x:v>
      </x:c>
      <x:c r="F250" s="10" t="str">
        <x:v>同步</x:v>
      </x:c>
      <x:c r="G250" s="19" t="d">
        <x:v>2026-10-10T00:00:00.000Z</x:v>
      </x:c>
      <x:c r="H250" s="10" t="str">
        <x:v>已通过</x:v>
      </x:c>
      <x:c r="I250" s="21" t="n">
        <x:v>0.181</x:v>
      </x:c>
      <x:c r="J250" s="10" t="str">
        <x:v>JuiceFS 1.3.0 / WinFsp 2.1.25156 / rclone 1.75.0-onemount</x:v>
      </x:c>
      <x:c r="K250" s="10" t="str">
        <x:v>原版全外部；无 FUSE 筛选或名称比较放宽</x:v>
      </x:c>
      <x:c r="L250" s="10" t="str">
        <x:v>63151da049f846e65fb361d1f314df65c2d468a7</x:v>
      </x:c>
      <x:c r="M250" s="10" t="str">
        <x:v>E09 / targets.juicefs.results</x:v>
      </x:c>
      <x:c r="N250" s="10" t="str">
        <x:v>入口结果见原始 JSON；通过不表示任意规模均正确</x:v>
      </x:c>
    </x:row>
    <x:row r="251" ht="74" customHeight="1">
      <x:c r="A251" s="11" t="str">
        <x:v>STRICT-20261010-juicefs</x:v>
      </x:c>
      <x:c r="B251" s="11" t="str">
        <x:v>NATIVE-012</x:v>
      </x:c>
      <x:c r="C251" s="11" t="str">
        <x:v>create_namelen_test</x:v>
      </x:c>
      <x:c r="D251" s="11" t="str">
        <x:v>winfsp-tests</x:v>
      </x:c>
      <x:c r="E251" s="11" t="str">
        <x:v>本地</x:v>
      </x:c>
      <x:c r="F251" s="11" t="str">
        <x:v>同步</x:v>
      </x:c>
      <x:c r="G251" s="20" t="d">
        <x:v>2026-10-10T00:00:00.000Z</x:v>
      </x:c>
      <x:c r="H251" s="11" t="str">
        <x:v>已失败</x:v>
      </x:c>
      <x:c r="I251" s="22" t="n">
        <x:v>0.241</x:v>
      </x:c>
      <x:c r="J251" s="11" t="str">
        <x:v>JuiceFS 1.3.0 / WinFsp 2.1.25156 / rclone 1.75.0-onemount</x:v>
      </x:c>
      <x:c r="K251" s="11" t="str">
        <x:v>原版全外部；无 FUSE 筛选或名称比较放宽</x:v>
      </x:c>
      <x:c r="L251" s="11" t="str">
        <x:v>63151da049f846e65fb361d1f314df65c2d468a7</x:v>
      </x:c>
      <x:c r="M251" s="11" t="str">
        <x:v>E09 / targets.juicefs.results</x:v>
      </x:c>
      <x:c r="N251" s="11" t="str">
        <x:v>    ASSERT(INVALID_HANDLE_VALUE != Handle) failed at create-test.c:1297:create_namelen_dotest (err=c0000106:206)</x:v>
      </x:c>
    </x:row>
    <x:row r="252" ht="74" customHeight="1">
      <x:c r="A252" s="10" t="str">
        <x:v>STRICT-20261010-juicefs</x:v>
      </x:c>
      <x:c r="B252" s="10" t="str">
        <x:v>NATIVE-013</x:v>
      </x:c>
      <x:c r="C252" s="10" t="str">
        <x:v>getfileattr_test</x:v>
      </x:c>
      <x:c r="D252" s="10" t="str">
        <x:v>winfsp-tests</x:v>
      </x:c>
      <x:c r="E252" s="10" t="str">
        <x:v>本地</x:v>
      </x:c>
      <x:c r="F252" s="10" t="str">
        <x:v>同步</x:v>
      </x:c>
      <x:c r="G252" s="19" t="d">
        <x:v>2026-10-10T00:00:00.000Z</x:v>
      </x:c>
      <x:c r="H252" s="10" t="str">
        <x:v>已失败</x:v>
      </x:c>
      <x:c r="I252" s="21" t="n">
        <x:v>0.245</x:v>
      </x:c>
      <x:c r="J252" s="10" t="str">
        <x:v>JuiceFS 1.3.0 / WinFsp 2.1.25156 / rclone 1.75.0-onemount</x:v>
      </x:c>
      <x:c r="K252" s="10" t="str">
        <x:v>原版全外部；无 FUSE 筛选或名称比较放宽</x:v>
      </x:c>
      <x:c r="L252" s="10" t="str">
        <x:v>63151da049f846e65fb361d1f314df65c2d468a7</x:v>
      </x:c>
      <x:c r="M252" s="10" t="str">
        <x:v>E09 / targets.juicefs.results</x:v>
      </x:c>
      <x:c r="N252" s="10" t="str">
        <x:v>    ASSERT(INVALID_HANDLE_VALUE != Handle) failed at info-test.c:84:getfileattr_dotest (err=c0000022:5)</x:v>
      </x:c>
    </x:row>
    <x:row r="253" ht="74" customHeight="1">
      <x:c r="A253" s="11" t="str">
        <x:v>STRICT-20261010-juicefs</x:v>
      </x:c>
      <x:c r="B253" s="11" t="str">
        <x:v>NATIVE-014</x:v>
      </x:c>
      <x:c r="C253" s="11" t="str">
        <x:v>getfileinfo_test</x:v>
      </x:c>
      <x:c r="D253" s="11" t="str">
        <x:v>winfsp-tests</x:v>
      </x:c>
      <x:c r="E253" s="11" t="str">
        <x:v>本地</x:v>
      </x:c>
      <x:c r="F253" s="11" t="str">
        <x:v>同步</x:v>
      </x:c>
      <x:c r="G253" s="20" t="d">
        <x:v>2026-10-10T00:00:00.000Z</x:v>
      </x:c>
      <x:c r="H253" s="11" t="str">
        <x:v>已失败</x:v>
      </x:c>
      <x:c r="I253" s="22" t="n">
        <x:v>0.235</x:v>
      </x:c>
      <x:c r="J253" s="11" t="str">
        <x:v>JuiceFS 1.3.0 / WinFsp 2.1.25156 / rclone 1.75.0-onemount</x:v>
      </x:c>
      <x:c r="K253" s="11" t="str">
        <x:v>原版全外部；无 FUSE 筛选或名称比较放宽</x:v>
      </x:c>
      <x:c r="L253" s="11" t="str">
        <x:v>63151da049f846e65fb361d1f314df65c2d468a7</x:v>
      </x:c>
      <x:c r="M253" s="11" t="str">
        <x:v>E09 / targets.juicefs.results</x:v>
      </x:c>
      <x:c r="N253" s="11" t="str">
        <x:v>    ASSERT(PNameInfo-&gt;FileNameLength == wcslen(FilePath + 6) * sizeof(WCHAR)) failed at info-test.c:231:getfileinfo_dotest (err=80000005:234)</x:v>
      </x:c>
    </x:row>
    <x:row r="254" ht="74" customHeight="1">
      <x:c r="A254" s="10" t="str">
        <x:v>STRICT-20261010-juicefs</x:v>
      </x:c>
      <x:c r="B254" s="10" t="str">
        <x:v>NATIVE-015</x:v>
      </x:c>
      <x:c r="C254" s="10" t="str">
        <x:v>getfileinfo_name_test</x:v>
      </x:c>
      <x:c r="D254" s="10" t="str">
        <x:v>winfsp-tests</x:v>
      </x:c>
      <x:c r="E254" s="10" t="str">
        <x:v>本地</x:v>
      </x:c>
      <x:c r="F254" s="10" t="str">
        <x:v>同步</x:v>
      </x:c>
      <x:c r="G254" s="19" t="d">
        <x:v>2026-10-10T00:00:00.000Z</x:v>
      </x:c>
      <x:c r="H254" s="10" t="str">
        <x:v>已失败</x:v>
      </x:c>
      <x:c r="I254" s="21" t="n">
        <x:v>0.245</x:v>
      </x:c>
      <x:c r="J254" s="10" t="str">
        <x:v>JuiceFS 1.3.0 / WinFsp 2.1.25156 / rclone 1.75.0-onemount</x:v>
      </x:c>
      <x:c r="K254" s="10" t="str">
        <x:v>原版全外部；无 FUSE 筛选或名称比较放宽</x:v>
      </x:c>
      <x:c r="L254" s="10" t="str">
        <x:v>63151da049f846e65fb361d1f314df65c2d468a7</x:v>
      </x:c>
      <x:c r="M254" s="10" t="str">
        <x:v>E09 / targets.juicefs.results</x:v>
      </x:c>
      <x:c r="N254" s="10" t="str">
        <x:v>    ASSERT(0 == wcscmp(OrigPath, FinalPath)) failed at info-test.c:355:getfileinfo_name_dotest (err=0:0)</x:v>
      </x:c>
    </x:row>
    <x:row r="255" ht="74" customHeight="1">
      <x:c r="A255" s="11" t="str">
        <x:v>STRICT-20261010-juicefs</x:v>
      </x:c>
      <x:c r="B255" s="11" t="str">
        <x:v>NATIVE-016</x:v>
      </x:c>
      <x:c r="C255" s="11" t="str">
        <x:v>setfileinfo_test</x:v>
      </x:c>
      <x:c r="D255" s="11" t="str">
        <x:v>winfsp-tests</x:v>
      </x:c>
      <x:c r="E255" s="11" t="str">
        <x:v>本地</x:v>
      </x:c>
      <x:c r="F255" s="11" t="str">
        <x:v>同步</x:v>
      </x:c>
      <x:c r="G255" s="20" t="d">
        <x:v>2026-10-10T00:00:00.000Z</x:v>
      </x:c>
      <x:c r="H255" s="11" t="str">
        <x:v>已失败</x:v>
      </x:c>
      <x:c r="I255" s="22" t="n">
        <x:v>0.237</x:v>
      </x:c>
      <x:c r="J255" s="11" t="str">
        <x:v>JuiceFS 1.3.0 / WinFsp 2.1.25156 / rclone 1.75.0-onemount</x:v>
      </x:c>
      <x:c r="K255" s="11" t="str">
        <x:v>原版全外部；无 FUSE 筛选或名称比较放宽</x:v>
      </x:c>
      <x:c r="L255" s="11" t="str">
        <x:v>63151da049f846e65fb361d1f314df65c2d468a7</x:v>
      </x:c>
      <x:c r="M255" s="11" t="str">
        <x:v>E09 / targets.juicefs.results</x:v>
      </x:c>
      <x:c r="N255" s="11" t="str">
        <x:v>    ASSERT(*(PUINT64)&amp;FileInfo0.ftCreationTime == *(PUINT64)&amp;FileInfo.ftCreationTime) failed at info-test.c:438:setfileinfo_dotest (err=0:0)</x:v>
      </x:c>
    </x:row>
    <x:row r="256" ht="74" customHeight="1">
      <x:c r="A256" s="10" t="str">
        <x:v>STRICT-20261010-juicefs</x:v>
      </x:c>
      <x:c r="B256" s="10" t="str">
        <x:v>NATIVE-017</x:v>
      </x:c>
      <x:c r="C256" s="10" t="str">
        <x:v>delete_test</x:v>
      </x:c>
      <x:c r="D256" s="10" t="str">
        <x:v>winfsp-tests</x:v>
      </x:c>
      <x:c r="E256" s="10" t="str">
        <x:v>本地</x:v>
      </x:c>
      <x:c r="F256" s="10" t="str">
        <x:v>同步</x:v>
      </x:c>
      <x:c r="G256" s="19" t="d">
        <x:v>2026-10-10T00:00:00.000Z</x:v>
      </x:c>
      <x:c r="H256" s="10" t="str">
        <x:v>已通过</x:v>
      </x:c>
      <x:c r="I256" s="21" t="n">
        <x:v>0.193</x:v>
      </x:c>
      <x:c r="J256" s="10" t="str">
        <x:v>JuiceFS 1.3.0 / WinFsp 2.1.25156 / rclone 1.75.0-onemount</x:v>
      </x:c>
      <x:c r="K256" s="10" t="str">
        <x:v>原版全外部；无 FUSE 筛选或名称比较放宽</x:v>
      </x:c>
      <x:c r="L256" s="10" t="str">
        <x:v>63151da049f846e65fb361d1f314df65c2d468a7</x:v>
      </x:c>
      <x:c r="M256" s="10" t="str">
        <x:v>E09 / targets.juicefs.results</x:v>
      </x:c>
      <x:c r="N256" s="10" t="str">
        <x:v>入口结果见原始 JSON；通过不表示任意规模均正确</x:v>
      </x:c>
    </x:row>
    <x:row r="257" ht="74" customHeight="1">
      <x:c r="A257" s="11" t="str">
        <x:v>STRICT-20261010-juicefs</x:v>
      </x:c>
      <x:c r="B257" s="11" t="str">
        <x:v>NATIVE-018</x:v>
      </x:c>
      <x:c r="C257" s="11" t="str">
        <x:v>delete_access_test</x:v>
      </x:c>
      <x:c r="D257" s="11" t="str">
        <x:v>winfsp-tests</x:v>
      </x:c>
      <x:c r="E257" s="11" t="str">
        <x:v>本地</x:v>
      </x:c>
      <x:c r="F257" s="11" t="str">
        <x:v>同步</x:v>
      </x:c>
      <x:c r="G257" s="20" t="d">
        <x:v>2026-10-10T00:00:00.000Z</x:v>
      </x:c>
      <x:c r="H257" s="11" t="str">
        <x:v>已通过</x:v>
      </x:c>
      <x:c r="I257" s="22" t="n">
        <x:v>0.192</x:v>
      </x:c>
      <x:c r="J257" s="11" t="str">
        <x:v>JuiceFS 1.3.0 / WinFsp 2.1.25156 / rclone 1.75.0-onemount</x:v>
      </x:c>
      <x:c r="K257" s="11" t="str">
        <x:v>原版全外部；无 FUSE 筛选或名称比较放宽</x:v>
      </x:c>
      <x:c r="L257" s="11" t="str">
        <x:v>63151da049f846e65fb361d1f314df65c2d468a7</x:v>
      </x:c>
      <x:c r="M257" s="11" t="str">
        <x:v>E09 / targets.juicefs.results</x:v>
      </x:c>
      <x:c r="N257" s="11" t="str">
        <x:v>入口结果见原始 JSON；通过不表示任意规模均正确</x:v>
      </x:c>
    </x:row>
    <x:row r="258" ht="74" customHeight="1">
      <x:c r="A258" s="10" t="str">
        <x:v>STRICT-20261010-juicefs</x:v>
      </x:c>
      <x:c r="B258" s="10" t="str">
        <x:v>NATIVE-019</x:v>
      </x:c>
      <x:c r="C258" s="10" t="str">
        <x:v>delete_pending_test</x:v>
      </x:c>
      <x:c r="D258" s="10" t="str">
        <x:v>winfsp-tests</x:v>
      </x:c>
      <x:c r="E258" s="10" t="str">
        <x:v>本地</x:v>
      </x:c>
      <x:c r="F258" s="10" t="str">
        <x:v>同步</x:v>
      </x:c>
      <x:c r="G258" s="19" t="d">
        <x:v>2026-10-10T00:00:00.000Z</x:v>
      </x:c>
      <x:c r="H258" s="10" t="str">
        <x:v>已通过</x:v>
      </x:c>
      <x:c r="I258" s="21" t="n">
        <x:v>0.189</x:v>
      </x:c>
      <x:c r="J258" s="10" t="str">
        <x:v>JuiceFS 1.3.0 / WinFsp 2.1.25156 / rclone 1.75.0-onemount</x:v>
      </x:c>
      <x:c r="K258" s="10" t="str">
        <x:v>原版全外部；无 FUSE 筛选或名称比较放宽</x:v>
      </x:c>
      <x:c r="L258" s="10" t="str">
        <x:v>63151da049f846e65fb361d1f314df65c2d468a7</x:v>
      </x:c>
      <x:c r="M258" s="10" t="str">
        <x:v>E09 / targets.juicefs.results</x:v>
      </x:c>
      <x:c r="N258" s="10" t="str">
        <x:v>入口结果见原始 JSON；通过不表示任意规模均正确</x:v>
      </x:c>
    </x:row>
    <x:row r="259" ht="74" customHeight="1">
      <x:c r="A259" s="11" t="str">
        <x:v>STRICT-20261010-juicefs</x:v>
      </x:c>
      <x:c r="B259" s="11" t="str">
        <x:v>NATIVE-020</x:v>
      </x:c>
      <x:c r="C259" s="11" t="str">
        <x:v>delete_mmap_test</x:v>
      </x:c>
      <x:c r="D259" s="11" t="str">
        <x:v>winfsp-tests</x:v>
      </x:c>
      <x:c r="E259" s="11" t="str">
        <x:v>本地</x:v>
      </x:c>
      <x:c r="F259" s="11" t="str">
        <x:v>同步</x:v>
      </x:c>
      <x:c r="G259" s="20" t="d">
        <x:v>2026-10-10T00:00:00.000Z</x:v>
      </x:c>
      <x:c r="H259" s="11" t="str">
        <x:v>已通过</x:v>
      </x:c>
      <x:c r="I259" s="22" t="n">
        <x:v>0.184</x:v>
      </x:c>
      <x:c r="J259" s="11" t="str">
        <x:v>JuiceFS 1.3.0 / WinFsp 2.1.25156 / rclone 1.75.0-onemount</x:v>
      </x:c>
      <x:c r="K259" s="11" t="str">
        <x:v>原版全外部；无 FUSE 筛选或名称比较放宽</x:v>
      </x:c>
      <x:c r="L259" s="11" t="str">
        <x:v>63151da049f846e65fb361d1f314df65c2d468a7</x:v>
      </x:c>
      <x:c r="M259" s="11" t="str">
        <x:v>E09 / targets.juicefs.results</x:v>
      </x:c>
      <x:c r="N259" s="11" t="str">
        <x:v>入口结果见原始 JSON；通过不表示任意规模均正确</x:v>
      </x:c>
    </x:row>
    <x:row r="260" ht="74" customHeight="1">
      <x:c r="A260" s="10" t="str">
        <x:v>STRICT-20261010-juicefs</x:v>
      </x:c>
      <x:c r="B260" s="10" t="str">
        <x:v>NATIVE-021</x:v>
      </x:c>
      <x:c r="C260" s="10" t="str">
        <x:v>delete_standby_test</x:v>
      </x:c>
      <x:c r="D260" s="10" t="str">
        <x:v>winfsp-tests</x:v>
      </x:c>
      <x:c r="E260" s="10" t="str">
        <x:v>本地</x:v>
      </x:c>
      <x:c r="F260" s="10" t="str">
        <x:v>同步</x:v>
      </x:c>
      <x:c r="G260" s="19" t="d">
        <x:v>2026-10-10T00:00:00.000Z</x:v>
      </x:c>
      <x:c r="H260" s="10" t="str">
        <x:v>已通过</x:v>
      </x:c>
      <x:c r="I260" s="21" t="n">
        <x:v>0.279</x:v>
      </x:c>
      <x:c r="J260" s="10" t="str">
        <x:v>JuiceFS 1.3.0 / WinFsp 2.1.25156 / rclone 1.75.0-onemount</x:v>
      </x:c>
      <x:c r="K260" s="10" t="str">
        <x:v>原版全外部；无 FUSE 筛选或名称比较放宽</x:v>
      </x:c>
      <x:c r="L260" s="10" t="str">
        <x:v>63151da049f846e65fb361d1f314df65c2d468a7</x:v>
      </x:c>
      <x:c r="M260" s="10" t="str">
        <x:v>E09 / targets.juicefs.results</x:v>
      </x:c>
      <x:c r="N260" s="10" t="str">
        <x:v>入口结果见原始 JSON；通过不表示任意规模均正确</x:v>
      </x:c>
    </x:row>
    <x:row r="261" ht="74" customHeight="1">
      <x:c r="A261" s="11" t="str">
        <x:v>STRICT-20261010-juicefs</x:v>
      </x:c>
      <x:c r="B261" s="11" t="str">
        <x:v>NATIVE-022</x:v>
      </x:c>
      <x:c r="C261" s="11" t="str">
        <x:v>delete_ex_test</x:v>
      </x:c>
      <x:c r="D261" s="11" t="str">
        <x:v>winfsp-tests</x:v>
      </x:c>
      <x:c r="E261" s="11" t="str">
        <x:v>本地</x:v>
      </x:c>
      <x:c r="F261" s="11" t="str">
        <x:v>同步</x:v>
      </x:c>
      <x:c r="G261" s="20" t="d">
        <x:v>2026-10-10T00:00:00.000Z</x:v>
      </x:c>
      <x:c r="H261" s="11" t="str">
        <x:v>已失败</x:v>
      </x:c>
      <x:c r="I261" s="22" t="n">
        <x:v>0.262</x:v>
      </x:c>
      <x:c r="J261" s="11" t="str">
        <x:v>JuiceFS 1.3.0 / WinFsp 2.1.25156 / rclone 1.75.0-onemount</x:v>
      </x:c>
      <x:c r="K261" s="11" t="str">
        <x:v>原版全外部；无 FUSE 筛选或名称比较放宽</x:v>
      </x:c>
      <x:c r="L261" s="11" t="str">
        <x:v>63151da049f846e65fb361d1f314df65c2d468a7</x:v>
      </x:c>
      <x:c r="M261" s="11" t="str">
        <x:v>E09 / targets.juicefs.results</x:v>
      </x:c>
      <x:c r="N261" s="11" t="str">
        <x:v>    ASSERT(0 == mywcscmp(FindData.cFileName, 4, L"file", 4)) failed at info-test.c:973:delete_ex_dotest (err=0:0)</x:v>
      </x:c>
    </x:row>
    <x:row r="262" ht="74" customHeight="1">
      <x:c r="A262" s="10" t="str">
        <x:v>STRICT-20261010-juicefs</x:v>
      </x:c>
      <x:c r="B262" s="10" t="str">
        <x:v>NATIVE-023</x:v>
      </x:c>
      <x:c r="C262" s="10" t="str">
        <x:v>rename_test</x:v>
      </x:c>
      <x:c r="D262" s="10" t="str">
        <x:v>winfsp-tests</x:v>
      </x:c>
      <x:c r="E262" s="10" t="str">
        <x:v>本地</x:v>
      </x:c>
      <x:c r="F262" s="10" t="str">
        <x:v>同步</x:v>
      </x:c>
      <x:c r="G262" s="19" t="d">
        <x:v>2026-10-10T00:00:00.000Z</x:v>
      </x:c>
      <x:c r="H262" s="10" t="str">
        <x:v>已通过</x:v>
      </x:c>
      <x:c r="I262" s="21" t="n">
        <x:v>0.233</x:v>
      </x:c>
      <x:c r="J262" s="10" t="str">
        <x:v>JuiceFS 1.3.0 / WinFsp 2.1.25156 / rclone 1.75.0-onemount</x:v>
      </x:c>
      <x:c r="K262" s="10" t="str">
        <x:v>原版全外部；无 FUSE 筛选或名称比较放宽</x:v>
      </x:c>
      <x:c r="L262" s="10" t="str">
        <x:v>63151da049f846e65fb361d1f314df65c2d468a7</x:v>
      </x:c>
      <x:c r="M262" s="10" t="str">
        <x:v>E09 / targets.juicefs.results</x:v>
      </x:c>
      <x:c r="N262" s="10" t="str">
        <x:v>入口结果见原始 JSON；通过不表示任意规模均正确</x:v>
      </x:c>
    </x:row>
    <x:row r="263" ht="74" customHeight="1">
      <x:c r="A263" s="11" t="str">
        <x:v>STRICT-20261010-juicefs</x:v>
      </x:c>
      <x:c r="B263" s="11" t="str">
        <x:v>NATIVE-024</x:v>
      </x:c>
      <x:c r="C263" s="11" t="str">
        <x:v>rename_backslash_test</x:v>
      </x:c>
      <x:c r="D263" s="11" t="str">
        <x:v>winfsp-tests</x:v>
      </x:c>
      <x:c r="E263" s="11" t="str">
        <x:v>本地</x:v>
      </x:c>
      <x:c r="F263" s="11" t="str">
        <x:v>同步</x:v>
      </x:c>
      <x:c r="G263" s="20" t="d">
        <x:v>2026-10-10T00:00:00.000Z</x:v>
      </x:c>
      <x:c r="H263" s="11" t="str">
        <x:v>已通过</x:v>
      </x:c>
      <x:c r="I263" s="22" t="n">
        <x:v>0.203</x:v>
      </x:c>
      <x:c r="J263" s="11" t="str">
        <x:v>JuiceFS 1.3.0 / WinFsp 2.1.25156 / rclone 1.75.0-onemount</x:v>
      </x:c>
      <x:c r="K263" s="11" t="str">
        <x:v>原版全外部；无 FUSE 筛选或名称比较放宽</x:v>
      </x:c>
      <x:c r="L263" s="11" t="str">
        <x:v>63151da049f846e65fb361d1f314df65c2d468a7</x:v>
      </x:c>
      <x:c r="M263" s="11" t="str">
        <x:v>E09 / targets.juicefs.results</x:v>
      </x:c>
      <x:c r="N263" s="11" t="str">
        <x:v>入口结果见原始 JSON；通过不表示任意规模均正确</x:v>
      </x:c>
    </x:row>
    <x:row r="264" ht="74" customHeight="1">
      <x:c r="A264" s="10" t="str">
        <x:v>STRICT-20261010-juicefs</x:v>
      </x:c>
      <x:c r="B264" s="10" t="str">
        <x:v>NATIVE-025</x:v>
      </x:c>
      <x:c r="C264" s="10" t="str">
        <x:v>rename_open_test</x:v>
      </x:c>
      <x:c r="D264" s="10" t="str">
        <x:v>winfsp-tests</x:v>
      </x:c>
      <x:c r="E264" s="10" t="str">
        <x:v>本地</x:v>
      </x:c>
      <x:c r="F264" s="10" t="str">
        <x:v>同步</x:v>
      </x:c>
      <x:c r="G264" s="19" t="d">
        <x:v>2026-10-10T00:00:00.000Z</x:v>
      </x:c>
      <x:c r="H264" s="10" t="str">
        <x:v>已通过</x:v>
      </x:c>
      <x:c r="I264" s="21" t="n">
        <x:v>0.191</x:v>
      </x:c>
      <x:c r="J264" s="10" t="str">
        <x:v>JuiceFS 1.3.0 / WinFsp 2.1.25156 / rclone 1.75.0-onemount</x:v>
      </x:c>
      <x:c r="K264" s="10" t="str">
        <x:v>原版全外部；无 FUSE 筛选或名称比较放宽</x:v>
      </x:c>
      <x:c r="L264" s="10" t="str">
        <x:v>63151da049f846e65fb361d1f314df65c2d468a7</x:v>
      </x:c>
      <x:c r="M264" s="10" t="str">
        <x:v>E09 / targets.juicefs.results</x:v>
      </x:c>
      <x:c r="N264" s="10" t="str">
        <x:v>入口结果见原始 JSON；通过不表示任意规模均正确</x:v>
      </x:c>
    </x:row>
    <x:row r="265" ht="74" customHeight="1">
      <x:c r="A265" s="11" t="str">
        <x:v>STRICT-20261010-juicefs</x:v>
      </x:c>
      <x:c r="B265" s="11" t="str">
        <x:v>NATIVE-026</x:v>
      </x:c>
      <x:c r="C265" s="11" t="str">
        <x:v>rename_caseins_test</x:v>
      </x:c>
      <x:c r="D265" s="11" t="str">
        <x:v>winfsp-tests</x:v>
      </x:c>
      <x:c r="E265" s="11" t="str">
        <x:v>本地</x:v>
      </x:c>
      <x:c r="F265" s="11" t="str">
        <x:v>同步</x:v>
      </x:c>
      <x:c r="G265" s="20" t="d">
        <x:v>2026-10-10T00:00:00.000Z</x:v>
      </x:c>
      <x:c r="H265" s="11" t="str">
        <x:v>已通过</x:v>
      </x:c>
      <x:c r="I265" s="22" t="n">
        <x:v>0.189</x:v>
      </x:c>
      <x:c r="J265" s="11" t="str">
        <x:v>JuiceFS 1.3.0 / WinFsp 2.1.25156 / rclone 1.75.0-onemount</x:v>
      </x:c>
      <x:c r="K265" s="11" t="str">
        <x:v>原版全外部；无 FUSE 筛选或名称比较放宽</x:v>
      </x:c>
      <x:c r="L265" s="11" t="str">
        <x:v>63151da049f846e65fb361d1f314df65c2d468a7</x:v>
      </x:c>
      <x:c r="M265" s="11" t="str">
        <x:v>E09 / targets.juicefs.results</x:v>
      </x:c>
      <x:c r="N265" s="11" t="str">
        <x:v>入口结果见原始 JSON；通过不表示任意规模均正确</x:v>
      </x:c>
    </x:row>
    <x:row r="266" ht="74" customHeight="1">
      <x:c r="A266" s="10" t="str">
        <x:v>STRICT-20261010-juicefs</x:v>
      </x:c>
      <x:c r="B266" s="10" t="str">
        <x:v>NATIVE-027</x:v>
      </x:c>
      <x:c r="C266" s="10" t="str">
        <x:v>rename_flipflop_test</x:v>
      </x:c>
      <x:c r="D266" s="10" t="str">
        <x:v>winfsp-tests</x:v>
      </x:c>
      <x:c r="E266" s="10" t="str">
        <x:v>本地</x:v>
      </x:c>
      <x:c r="F266" s="10" t="str">
        <x:v>同步</x:v>
      </x:c>
      <x:c r="G266" s="19" t="d">
        <x:v>2026-10-10T00:00:00.000Z</x:v>
      </x:c>
      <x:c r="H266" s="10" t="str">
        <x:v>已通过</x:v>
      </x:c>
      <x:c r="I266" s="21" t="n">
        <x:v>0.363</x:v>
      </x:c>
      <x:c r="J266" s="10" t="str">
        <x:v>JuiceFS 1.3.0 / WinFsp 2.1.25156 / rclone 1.75.0-onemount</x:v>
      </x:c>
      <x:c r="K266" s="10" t="str">
        <x:v>原版全外部；无 FUSE 筛选或名称比较放宽</x:v>
      </x:c>
      <x:c r="L266" s="10" t="str">
        <x:v>63151da049f846e65fb361d1f314df65c2d468a7</x:v>
      </x:c>
      <x:c r="M266" s="10" t="str">
        <x:v>E09 / targets.juicefs.results</x:v>
      </x:c>
      <x:c r="N266" s="10" t="str">
        <x:v>入口结果见原始 JSON；通过不表示任意规模均正确</x:v>
      </x:c>
    </x:row>
    <x:row r="267" ht="74" customHeight="1">
      <x:c r="A267" s="11" t="str">
        <x:v>STRICT-20261010-juicefs</x:v>
      </x:c>
      <x:c r="B267" s="11" t="str">
        <x:v>NATIVE-028</x:v>
      </x:c>
      <x:c r="C267" s="11" t="str">
        <x:v>rename_mmap_test</x:v>
      </x:c>
      <x:c r="D267" s="11" t="str">
        <x:v>winfsp-tests</x:v>
      </x:c>
      <x:c r="E267" s="11" t="str">
        <x:v>本地</x:v>
      </x:c>
      <x:c r="F267" s="11" t="str">
        <x:v>同步</x:v>
      </x:c>
      <x:c r="G267" s="20" t="d">
        <x:v>2026-10-10T00:00:00.000Z</x:v>
      </x:c>
      <x:c r="H267" s="11" t="str">
        <x:v>已通过</x:v>
      </x:c>
      <x:c r="I267" s="22" t="n">
        <x:v>0.186</x:v>
      </x:c>
      <x:c r="J267" s="11" t="str">
        <x:v>JuiceFS 1.3.0 / WinFsp 2.1.25156 / rclone 1.75.0-onemount</x:v>
      </x:c>
      <x:c r="K267" s="11" t="str">
        <x:v>原版全外部；无 FUSE 筛选或名称比较放宽</x:v>
      </x:c>
      <x:c r="L267" s="11" t="str">
        <x:v>63151da049f846e65fb361d1f314df65c2d468a7</x:v>
      </x:c>
      <x:c r="M267" s="11" t="str">
        <x:v>E09 / targets.juicefs.results</x:v>
      </x:c>
      <x:c r="N267" s="11" t="str">
        <x:v>入口结果见原始 JSON；通过不表示任意规模均正确</x:v>
      </x:c>
    </x:row>
    <x:row r="268" ht="74" customHeight="1">
      <x:c r="A268" s="10" t="str">
        <x:v>STRICT-20261010-juicefs</x:v>
      </x:c>
      <x:c r="B268" s="10" t="str">
        <x:v>NATIVE-029</x:v>
      </x:c>
      <x:c r="C268" s="10" t="str">
        <x:v>rename_standby_test</x:v>
      </x:c>
      <x:c r="D268" s="10" t="str">
        <x:v>winfsp-tests</x:v>
      </x:c>
      <x:c r="E268" s="10" t="str">
        <x:v>本地</x:v>
      </x:c>
      <x:c r="F268" s="10" t="str">
        <x:v>同步</x:v>
      </x:c>
      <x:c r="G268" s="19" t="d">
        <x:v>2026-10-10T00:00:00.000Z</x:v>
      </x:c>
      <x:c r="H268" s="10" t="str">
        <x:v>已通过</x:v>
      </x:c>
      <x:c r="I268" s="21" t="n">
        <x:v>0.393</x:v>
      </x:c>
      <x:c r="J268" s="10" t="str">
        <x:v>JuiceFS 1.3.0 / WinFsp 2.1.25156 / rclone 1.75.0-onemount</x:v>
      </x:c>
      <x:c r="K268" s="10" t="str">
        <x:v>原版全外部；无 FUSE 筛选或名称比较放宽</x:v>
      </x:c>
      <x:c r="L268" s="10" t="str">
        <x:v>63151da049f846e65fb361d1f314df65c2d468a7</x:v>
      </x:c>
      <x:c r="M268" s="10" t="str">
        <x:v>E09 / targets.juicefs.results</x:v>
      </x:c>
      <x:c r="N268" s="10" t="str">
        <x:v>入口结果见原始 JSON；通过不表示任意规模均正确</x:v>
      </x:c>
    </x:row>
    <x:row r="269" ht="74" customHeight="1">
      <x:c r="A269" s="11" t="str">
        <x:v>STRICT-20261010-juicefs</x:v>
      </x:c>
      <x:c r="B269" s="11" t="str">
        <x:v>NATIVE-030</x:v>
      </x:c>
      <x:c r="C269" s="11" t="str">
        <x:v>rename_ex_test</x:v>
      </x:c>
      <x:c r="D269" s="11" t="str">
        <x:v>winfsp-tests</x:v>
      </x:c>
      <x:c r="E269" s="11" t="str">
        <x:v>本地</x:v>
      </x:c>
      <x:c r="F269" s="11" t="str">
        <x:v>同步</x:v>
      </x:c>
      <x:c r="G269" s="20" t="d">
        <x:v>2026-10-10T00:00:00.000Z</x:v>
      </x:c>
      <x:c r="H269" s="11" t="str">
        <x:v>已通过</x:v>
      </x:c>
      <x:c r="I269" s="22" t="n">
        <x:v>0.191</x:v>
      </x:c>
      <x:c r="J269" s="11" t="str">
        <x:v>JuiceFS 1.3.0 / WinFsp 2.1.25156 / rclone 1.75.0-onemount</x:v>
      </x:c>
      <x:c r="K269" s="11" t="str">
        <x:v>原版全外部；无 FUSE 筛选或名称比较放宽</x:v>
      </x:c>
      <x:c r="L269" s="11" t="str">
        <x:v>63151da049f846e65fb361d1f314df65c2d468a7</x:v>
      </x:c>
      <x:c r="M269" s="11" t="str">
        <x:v>E09 / targets.juicefs.results</x:v>
      </x:c>
      <x:c r="N269" s="11" t="str">
        <x:v>入口结果见原始 JSON；通过不表示任意规模均正确</x:v>
      </x:c>
    </x:row>
    <x:row r="270" ht="74" customHeight="1">
      <x:c r="A270" s="10" t="str">
        <x:v>STRICT-20261010-juicefs</x:v>
      </x:c>
      <x:c r="B270" s="10" t="str">
        <x:v>NATIVE-031</x:v>
      </x:c>
      <x:c r="C270" s="10" t="str">
        <x:v>getvolinfo_test</x:v>
      </x:c>
      <x:c r="D270" s="10" t="str">
        <x:v>winfsp-tests</x:v>
      </x:c>
      <x:c r="E270" s="10" t="str">
        <x:v>本地</x:v>
      </x:c>
      <x:c r="F270" s="10" t="str">
        <x:v>同步</x:v>
      </x:c>
      <x:c r="G270" s="19" t="d">
        <x:v>2026-10-10T00:00:00.000Z</x:v>
      </x:c>
      <x:c r="H270" s="10" t="str">
        <x:v>已通过</x:v>
      </x:c>
      <x:c r="I270" s="21" t="n">
        <x:v>0.184</x:v>
      </x:c>
      <x:c r="J270" s="10" t="str">
        <x:v>JuiceFS 1.3.0 / WinFsp 2.1.25156 / rclone 1.75.0-onemount</x:v>
      </x:c>
      <x:c r="K270" s="10" t="str">
        <x:v>原版全外部；无 FUSE 筛选或名称比较放宽</x:v>
      </x:c>
      <x:c r="L270" s="10" t="str">
        <x:v>63151da049f846e65fb361d1f314df65c2d468a7</x:v>
      </x:c>
      <x:c r="M270" s="10" t="str">
        <x:v>E09 / targets.juicefs.results</x:v>
      </x:c>
      <x:c r="N270" s="10" t="str">
        <x:v>入口结果见原始 JSON；通过不表示任意规模均正确</x:v>
      </x:c>
    </x:row>
    <x:row r="271" ht="74" customHeight="1">
      <x:c r="A271" s="11" t="str">
        <x:v>STRICT-20261010-juicefs</x:v>
      </x:c>
      <x:c r="B271" s="11" t="str">
        <x:v>NATIVE-032</x:v>
      </x:c>
      <x:c r="C271" s="11" t="str">
        <x:v>setvolinfo_test</x:v>
      </x:c>
      <x:c r="D271" s="11" t="str">
        <x:v>winfsp-tests</x:v>
      </x:c>
      <x:c r="E271" s="11" t="str">
        <x:v>本地</x:v>
      </x:c>
      <x:c r="F271" s="11" t="str">
        <x:v>同步</x:v>
      </x:c>
      <x:c r="G271" s="20" t="d">
        <x:v>2026-10-10T00:00:00.000Z</x:v>
      </x:c>
      <x:c r="H271" s="11" t="str">
        <x:v>已通过</x:v>
      </x:c>
      <x:c r="I271" s="22" t="n">
        <x:v>0.185</x:v>
      </x:c>
      <x:c r="J271" s="11" t="str">
        <x:v>JuiceFS 1.3.0 / WinFsp 2.1.25156 / rclone 1.75.0-onemount</x:v>
      </x:c>
      <x:c r="K271" s="11" t="str">
        <x:v>原版全外部；无 FUSE 筛选或名称比较放宽</x:v>
      </x:c>
      <x:c r="L271" s="11" t="str">
        <x:v>63151da049f846e65fb361d1f314df65c2d468a7</x:v>
      </x:c>
      <x:c r="M271" s="11" t="str">
        <x:v>E09 / targets.juicefs.results</x:v>
      </x:c>
      <x:c r="N271" s="11" t="str">
        <x:v>入口结果见原始 JSON；通过不表示任意规模均正确</x:v>
      </x:c>
    </x:row>
    <x:row r="272" ht="74" customHeight="1">
      <x:c r="A272" s="10" t="str">
        <x:v>STRICT-20261010-juicefs</x:v>
      </x:c>
      <x:c r="B272" s="10" t="str">
        <x:v>NATIVE-033</x:v>
      </x:c>
      <x:c r="C272" s="10" t="str">
        <x:v>getsecurity_test</x:v>
      </x:c>
      <x:c r="D272" s="10" t="str">
        <x:v>winfsp-tests</x:v>
      </x:c>
      <x:c r="E272" s="10" t="str">
        <x:v>本地</x:v>
      </x:c>
      <x:c r="F272" s="10" t="str">
        <x:v>同步</x:v>
      </x:c>
      <x:c r="G272" s="19" t="d">
        <x:v>2026-10-10T00:00:00.000Z</x:v>
      </x:c>
      <x:c r="H272" s="10" t="str">
        <x:v>已通过</x:v>
      </x:c>
      <x:c r="I272" s="21" t="n">
        <x:v>0.196</x:v>
      </x:c>
      <x:c r="J272" s="10" t="str">
        <x:v>JuiceFS 1.3.0 / WinFsp 2.1.25156 / rclone 1.75.0-onemount</x:v>
      </x:c>
      <x:c r="K272" s="10" t="str">
        <x:v>原版全外部；无 FUSE 筛选或名称比较放宽</x:v>
      </x:c>
      <x:c r="L272" s="10" t="str">
        <x:v>63151da049f846e65fb361d1f314df65c2d468a7</x:v>
      </x:c>
      <x:c r="M272" s="10" t="str">
        <x:v>E09 / targets.juicefs.results</x:v>
      </x:c>
      <x:c r="N272" s="10" t="str">
        <x:v>入口结果见原始 JSON；通过不表示任意规模均正确</x:v>
      </x:c>
    </x:row>
    <x:row r="273" ht="74" customHeight="1">
      <x:c r="A273" s="11" t="str">
        <x:v>STRICT-20261010-juicefs</x:v>
      </x:c>
      <x:c r="B273" s="11" t="str">
        <x:v>NATIVE-034</x:v>
      </x:c>
      <x:c r="C273" s="11" t="str">
        <x:v>setsecurity_test</x:v>
      </x:c>
      <x:c r="D273" s="11" t="str">
        <x:v>winfsp-tests</x:v>
      </x:c>
      <x:c r="E273" s="11" t="str">
        <x:v>本地</x:v>
      </x:c>
      <x:c r="F273" s="11" t="str">
        <x:v>同步</x:v>
      </x:c>
      <x:c r="G273" s="20" t="d">
        <x:v>2026-10-10T00:00:00.000Z</x:v>
      </x:c>
      <x:c r="H273" s="11" t="str">
        <x:v>已失败</x:v>
      </x:c>
      <x:c r="I273" s="22" t="n">
        <x:v>0.242</x:v>
      </x:c>
      <x:c r="J273" s="11" t="str">
        <x:v>JuiceFS 1.3.0 / WinFsp 2.1.25156 / rclone 1.75.0-onemount</x:v>
      </x:c>
      <x:c r="K273" s="11" t="str">
        <x:v>原版全外部；无 FUSE 筛选或名称比较放宽</x:v>
      </x:c>
      <x:c r="L273" s="11" t="str">
        <x:v>63151da049f846e65fb361d1f314df65c2d468a7</x:v>
      </x:c>
      <x:c r="M273" s="11" t="str">
        <x:v>E09 / targets.juicefs.results</x:v>
      </x:c>
      <x:c r="N273" s="11" t="str">
        <x:v>    ASSERT(0 == wcscmp(L"D:P(A;;FA;;;SY)(A;;FA;;;BA)", ConvertedSddl)) failed at security-test.c:231:setsecurity_dotest (err=c0000023:0)</x:v>
      </x:c>
    </x:row>
    <x:row r="274" ht="74" customHeight="1">
      <x:c r="A274" s="10" t="str">
        <x:v>STRICT-20261010-juicefs</x:v>
      </x:c>
      <x:c r="B274" s="10" t="str">
        <x:v>NATIVE-035</x:v>
      </x:c>
      <x:c r="C274" s="10" t="str">
        <x:v>security_stress_meta_test</x:v>
      </x:c>
      <x:c r="D274" s="10" t="str">
        <x:v>winfsp-tests</x:v>
      </x:c>
      <x:c r="E274" s="10" t="str">
        <x:v>本地</x:v>
      </x:c>
      <x:c r="F274" s="10" t="str">
        <x:v>同步</x:v>
      </x:c>
      <x:c r="G274" s="19" t="d">
        <x:v>2026-10-10T00:00:00.000Z</x:v>
      </x:c>
      <x:c r="H274" s="10" t="str">
        <x:v>已通过</x:v>
      </x:c>
      <x:c r="I274" s="21" t="n">
        <x:v>2.022</x:v>
      </x:c>
      <x:c r="J274" s="10" t="str">
        <x:v>JuiceFS 1.3.0 / WinFsp 2.1.25156 / rclone 1.75.0-onemount</x:v>
      </x:c>
      <x:c r="K274" s="10" t="str">
        <x:v>原版全外部；无 FUSE 筛选或名称比较放宽</x:v>
      </x:c>
      <x:c r="L274" s="10" t="str">
        <x:v>63151da049f846e65fb361d1f314df65c2d468a7</x:v>
      </x:c>
      <x:c r="M274" s="10" t="str">
        <x:v>E09 / targets.juicefs.results</x:v>
      </x:c>
      <x:c r="N274" s="10" t="str">
        <x:v>入口结果见原始 JSON；通过不表示任意规模均正确</x:v>
      </x:c>
    </x:row>
    <x:row r="275" ht="74" customHeight="1">
      <x:c r="A275" s="11" t="str">
        <x:v>STRICT-20261010-juicefs</x:v>
      </x:c>
      <x:c r="B275" s="11" t="str">
        <x:v>NATIVE-036</x:v>
      </x:c>
      <x:c r="C275" s="11" t="str">
        <x:v>rdwr_noncached_test</x:v>
      </x:c>
      <x:c r="D275" s="11" t="str">
        <x:v>winfsp-tests</x:v>
      </x:c>
      <x:c r="E275" s="11" t="str">
        <x:v>本地</x:v>
      </x:c>
      <x:c r="F275" s="11" t="str">
        <x:v>同步</x:v>
      </x:c>
      <x:c r="G275" s="20" t="d">
        <x:v>2026-10-10T00:00:00.000Z</x:v>
      </x:c>
      <x:c r="H275" s="11" t="str">
        <x:v>已通过</x:v>
      </x:c>
      <x:c r="I275" s="22" t="n">
        <x:v>0.598</x:v>
      </x:c>
      <x:c r="J275" s="11" t="str">
        <x:v>JuiceFS 1.3.0 / WinFsp 2.1.25156 / rclone 1.75.0-onemount</x:v>
      </x:c>
      <x:c r="K275" s="11" t="str">
        <x:v>原版全外部；无 FUSE 筛选或名称比较放宽</x:v>
      </x:c>
      <x:c r="L275" s="11" t="str">
        <x:v>63151da049f846e65fb361d1f314df65c2d468a7</x:v>
      </x:c>
      <x:c r="M275" s="11" t="str">
        <x:v>E09 / targets.juicefs.results</x:v>
      </x:c>
      <x:c r="N275" s="11" t="str">
        <x:v>入口结果见原始 JSON；通过不表示任意规模均正确</x:v>
      </x:c>
    </x:row>
    <x:row r="276" ht="74" customHeight="1">
      <x:c r="A276" s="10" t="str">
        <x:v>STRICT-20261010-juicefs</x:v>
      </x:c>
      <x:c r="B276" s="10" t="str">
        <x:v>NATIVE-037</x:v>
      </x:c>
      <x:c r="C276" s="10" t="str">
        <x:v>rdwr_noncached_overlapped_test</x:v>
      </x:c>
      <x:c r="D276" s="10" t="str">
        <x:v>winfsp-tests</x:v>
      </x:c>
      <x:c r="E276" s="10" t="str">
        <x:v>本地</x:v>
      </x:c>
      <x:c r="F276" s="10" t="str">
        <x:v>同步</x:v>
      </x:c>
      <x:c r="G276" s="19" t="d">
        <x:v>2026-10-10T00:00:00.000Z</x:v>
      </x:c>
      <x:c r="H276" s="10" t="str">
        <x:v>已通过</x:v>
      </x:c>
      <x:c r="I276" s="21" t="n">
        <x:v>0.211</x:v>
      </x:c>
      <x:c r="J276" s="10" t="str">
        <x:v>JuiceFS 1.3.0 / WinFsp 2.1.25156 / rclone 1.75.0-onemount</x:v>
      </x:c>
      <x:c r="K276" s="10" t="str">
        <x:v>原版全外部；无 FUSE 筛选或名称比较放宽</x:v>
      </x:c>
      <x:c r="L276" s="10" t="str">
        <x:v>63151da049f846e65fb361d1f314df65c2d468a7</x:v>
      </x:c>
      <x:c r="M276" s="10" t="str">
        <x:v>E09 / targets.juicefs.results</x:v>
      </x:c>
      <x:c r="N276" s="10" t="str">
        <x:v>入口结果见原始 JSON；通过不表示任意规模均正确</x:v>
      </x:c>
    </x:row>
    <x:row r="277" ht="74" customHeight="1">
      <x:c r="A277" s="11" t="str">
        <x:v>STRICT-20261010-juicefs</x:v>
      </x:c>
      <x:c r="B277" s="11" t="str">
        <x:v>NATIVE-038</x:v>
      </x:c>
      <x:c r="C277" s="11" t="str">
        <x:v>rdwr_cached_test</x:v>
      </x:c>
      <x:c r="D277" s="11" t="str">
        <x:v>winfsp-tests</x:v>
      </x:c>
      <x:c r="E277" s="11" t="str">
        <x:v>本地</x:v>
      </x:c>
      <x:c r="F277" s="11" t="str">
        <x:v>同步</x:v>
      </x:c>
      <x:c r="G277" s="20" t="d">
        <x:v>2026-10-10T00:00:00.000Z</x:v>
      </x:c>
      <x:c r="H277" s="11" t="str">
        <x:v>已通过</x:v>
      </x:c>
      <x:c r="I277" s="22" t="n">
        <x:v>0.202</x:v>
      </x:c>
      <x:c r="J277" s="11" t="str">
        <x:v>JuiceFS 1.3.0 / WinFsp 2.1.25156 / rclone 1.75.0-onemount</x:v>
      </x:c>
      <x:c r="K277" s="11" t="str">
        <x:v>原版全外部；无 FUSE 筛选或名称比较放宽</x:v>
      </x:c>
      <x:c r="L277" s="11" t="str">
        <x:v>63151da049f846e65fb361d1f314df65c2d468a7</x:v>
      </x:c>
      <x:c r="M277" s="11" t="str">
        <x:v>E09 / targets.juicefs.results</x:v>
      </x:c>
      <x:c r="N277" s="11" t="str">
        <x:v>入口结果见原始 JSON；通过不表示任意规模均正确</x:v>
      </x:c>
    </x:row>
    <x:row r="278" ht="74" customHeight="1">
      <x:c r="A278" s="10" t="str">
        <x:v>STRICT-20261010-juicefs</x:v>
      </x:c>
      <x:c r="B278" s="10" t="str">
        <x:v>NATIVE-039</x:v>
      </x:c>
      <x:c r="C278" s="10" t="str">
        <x:v>rdwr_cached_append_test</x:v>
      </x:c>
      <x:c r="D278" s="10" t="str">
        <x:v>winfsp-tests</x:v>
      </x:c>
      <x:c r="E278" s="10" t="str">
        <x:v>本地</x:v>
      </x:c>
      <x:c r="F278" s="10" t="str">
        <x:v>同步</x:v>
      </x:c>
      <x:c r="G278" s="19" t="d">
        <x:v>2026-10-10T00:00:00.000Z</x:v>
      </x:c>
      <x:c r="H278" s="10" t="str">
        <x:v>已通过</x:v>
      </x:c>
      <x:c r="I278" s="21" t="n">
        <x:v>0.193</x:v>
      </x:c>
      <x:c r="J278" s="10" t="str">
        <x:v>JuiceFS 1.3.0 / WinFsp 2.1.25156 / rclone 1.75.0-onemount</x:v>
      </x:c>
      <x:c r="K278" s="10" t="str">
        <x:v>原版全外部；无 FUSE 筛选或名称比较放宽</x:v>
      </x:c>
      <x:c r="L278" s="10" t="str">
        <x:v>63151da049f846e65fb361d1f314df65c2d468a7</x:v>
      </x:c>
      <x:c r="M278" s="10" t="str">
        <x:v>E09 / targets.juicefs.results</x:v>
      </x:c>
      <x:c r="N278" s="10" t="str">
        <x:v>入口结果见原始 JSON；通过不表示任意规模均正确</x:v>
      </x:c>
    </x:row>
    <x:row r="279" ht="74" customHeight="1">
      <x:c r="A279" s="11" t="str">
        <x:v>STRICT-20261010-juicefs</x:v>
      </x:c>
      <x:c r="B279" s="11" t="str">
        <x:v>NATIVE-040</x:v>
      </x:c>
      <x:c r="C279" s="11" t="str">
        <x:v>rdwr_cached_overlapped_test</x:v>
      </x:c>
      <x:c r="D279" s="11" t="str">
        <x:v>winfsp-tests</x:v>
      </x:c>
      <x:c r="E279" s="11" t="str">
        <x:v>本地</x:v>
      </x:c>
      <x:c r="F279" s="11" t="str">
        <x:v>同步</x:v>
      </x:c>
      <x:c r="G279" s="20" t="d">
        <x:v>2026-10-10T00:00:00.000Z</x:v>
      </x:c>
      <x:c r="H279" s="11" t="str">
        <x:v>已通过</x:v>
      </x:c>
      <x:c r="I279" s="22" t="n">
        <x:v>0.219</x:v>
      </x:c>
      <x:c r="J279" s="11" t="str">
        <x:v>JuiceFS 1.3.0 / WinFsp 2.1.25156 / rclone 1.75.0-onemount</x:v>
      </x:c>
      <x:c r="K279" s="11" t="str">
        <x:v>原版全外部；无 FUSE 筛选或名称比较放宽</x:v>
      </x:c>
      <x:c r="L279" s="11" t="str">
        <x:v>63151da049f846e65fb361d1f314df65c2d468a7</x:v>
      </x:c>
      <x:c r="M279" s="11" t="str">
        <x:v>E09 / targets.juicefs.results</x:v>
      </x:c>
      <x:c r="N279" s="11" t="str">
        <x:v>入口结果见原始 JSON；通过不表示任意规模均正确</x:v>
      </x:c>
    </x:row>
    <x:row r="280" ht="74" customHeight="1">
      <x:c r="A280" s="10" t="str">
        <x:v>STRICT-20261010-juicefs</x:v>
      </x:c>
      <x:c r="B280" s="10" t="str">
        <x:v>NATIVE-041</x:v>
      </x:c>
      <x:c r="C280" s="10" t="str">
        <x:v>rdwr_writethru_test</x:v>
      </x:c>
      <x:c r="D280" s="10" t="str">
        <x:v>winfsp-tests</x:v>
      </x:c>
      <x:c r="E280" s="10" t="str">
        <x:v>本地</x:v>
      </x:c>
      <x:c r="F280" s="10" t="str">
        <x:v>同步</x:v>
      </x:c>
      <x:c r="G280" s="19" t="d">
        <x:v>2026-10-10T00:00:00.000Z</x:v>
      </x:c>
      <x:c r="H280" s="10" t="str">
        <x:v>已通过</x:v>
      </x:c>
      <x:c r="I280" s="21" t="n">
        <x:v>0.205</x:v>
      </x:c>
      <x:c r="J280" s="10" t="str">
        <x:v>JuiceFS 1.3.0 / WinFsp 2.1.25156 / rclone 1.75.0-onemount</x:v>
      </x:c>
      <x:c r="K280" s="10" t="str">
        <x:v>原版全外部；无 FUSE 筛选或名称比较放宽</x:v>
      </x:c>
      <x:c r="L280" s="10" t="str">
        <x:v>63151da049f846e65fb361d1f314df65c2d468a7</x:v>
      </x:c>
      <x:c r="M280" s="10" t="str">
        <x:v>E09 / targets.juicefs.results</x:v>
      </x:c>
      <x:c r="N280" s="10" t="str">
        <x:v>入口结果见原始 JSON；通过不表示任意规模均正确</x:v>
      </x:c>
    </x:row>
    <x:row r="281" ht="74" customHeight="1">
      <x:c r="A281" s="11" t="str">
        <x:v>STRICT-20261010-juicefs</x:v>
      </x:c>
      <x:c r="B281" s="11" t="str">
        <x:v>NATIVE-042</x:v>
      </x:c>
      <x:c r="C281" s="11" t="str">
        <x:v>rdwr_writethru_append_test</x:v>
      </x:c>
      <x:c r="D281" s="11" t="str">
        <x:v>winfsp-tests</x:v>
      </x:c>
      <x:c r="E281" s="11" t="str">
        <x:v>本地</x:v>
      </x:c>
      <x:c r="F281" s="11" t="str">
        <x:v>同步</x:v>
      </x:c>
      <x:c r="G281" s="20" t="d">
        <x:v>2026-10-10T00:00:00.000Z</x:v>
      </x:c>
      <x:c r="H281" s="11" t="str">
        <x:v>已通过</x:v>
      </x:c>
      <x:c r="I281" s="22" t="n">
        <x:v>0.199</x:v>
      </x:c>
      <x:c r="J281" s="11" t="str">
        <x:v>JuiceFS 1.3.0 / WinFsp 2.1.25156 / rclone 1.75.0-onemount</x:v>
      </x:c>
      <x:c r="K281" s="11" t="str">
        <x:v>原版全外部；无 FUSE 筛选或名称比较放宽</x:v>
      </x:c>
      <x:c r="L281" s="11" t="str">
        <x:v>63151da049f846e65fb361d1f314df65c2d468a7</x:v>
      </x:c>
      <x:c r="M281" s="11" t="str">
        <x:v>E09 / targets.juicefs.results</x:v>
      </x:c>
      <x:c r="N281" s="11" t="str">
        <x:v>入口结果见原始 JSON；通过不表示任意规模均正确</x:v>
      </x:c>
    </x:row>
    <x:row r="282" ht="74" customHeight="1">
      <x:c r="A282" s="10" t="str">
        <x:v>STRICT-20261010-juicefs</x:v>
      </x:c>
      <x:c r="B282" s="10" t="str">
        <x:v>NATIVE-043</x:v>
      </x:c>
      <x:c r="C282" s="10" t="str">
        <x:v>rdwr_writethru_overlapped_test</x:v>
      </x:c>
      <x:c r="D282" s="10" t="str">
        <x:v>winfsp-tests</x:v>
      </x:c>
      <x:c r="E282" s="10" t="str">
        <x:v>本地</x:v>
      </x:c>
      <x:c r="F282" s="10" t="str">
        <x:v>同步</x:v>
      </x:c>
      <x:c r="G282" s="19" t="d">
        <x:v>2026-10-10T00:00:00.000Z</x:v>
      </x:c>
      <x:c r="H282" s="10" t="str">
        <x:v>已通过</x:v>
      </x:c>
      <x:c r="I282" s="21" t="n">
        <x:v>0.203</x:v>
      </x:c>
      <x:c r="J282" s="10" t="str">
        <x:v>JuiceFS 1.3.0 / WinFsp 2.1.25156 / rclone 1.75.0-onemount</x:v>
      </x:c>
      <x:c r="K282" s="10" t="str">
        <x:v>原版全外部；无 FUSE 筛选或名称比较放宽</x:v>
      </x:c>
      <x:c r="L282" s="10" t="str">
        <x:v>63151da049f846e65fb361d1f314df65c2d468a7</x:v>
      </x:c>
      <x:c r="M282" s="10" t="str">
        <x:v>E09 / targets.juicefs.results</x:v>
      </x:c>
      <x:c r="N282" s="10" t="str">
        <x:v>入口结果见原始 JSON；通过不表示任意规模均正确</x:v>
      </x:c>
    </x:row>
    <x:row r="283" ht="74" customHeight="1">
      <x:c r="A283" s="11" t="str">
        <x:v>STRICT-20261010-juicefs</x:v>
      </x:c>
      <x:c r="B283" s="11" t="str">
        <x:v>NATIVE-044</x:v>
      </x:c>
      <x:c r="C283" s="11" t="str">
        <x:v>rdwr_mmap_test</x:v>
      </x:c>
      <x:c r="D283" s="11" t="str">
        <x:v>winfsp-tests</x:v>
      </x:c>
      <x:c r="E283" s="11" t="str">
        <x:v>本地</x:v>
      </x:c>
      <x:c r="F283" s="11" t="str">
        <x:v>同步</x:v>
      </x:c>
      <x:c r="G283" s="20" t="d">
        <x:v>2026-10-10T00:00:00.000Z</x:v>
      </x:c>
      <x:c r="H283" s="11" t="str">
        <x:v>已通过</x:v>
      </x:c>
      <x:c r="I283" s="22" t="n">
        <x:v>0.322</x:v>
      </x:c>
      <x:c r="J283" s="11" t="str">
        <x:v>JuiceFS 1.3.0 / WinFsp 2.1.25156 / rclone 1.75.0-onemount</x:v>
      </x:c>
      <x:c r="K283" s="11" t="str">
        <x:v>原版全外部；无 FUSE 筛选或名称比较放宽</x:v>
      </x:c>
      <x:c r="L283" s="11" t="str">
        <x:v>63151da049f846e65fb361d1f314df65c2d468a7</x:v>
      </x:c>
      <x:c r="M283" s="11" t="str">
        <x:v>E09 / targets.juicefs.results</x:v>
      </x:c>
      <x:c r="N283" s="11" t="str">
        <x:v>入口结果见原始 JSON；通过不表示任意规模均正确</x:v>
      </x:c>
    </x:row>
    <x:row r="284" ht="74" customHeight="1">
      <x:c r="A284" s="10" t="str">
        <x:v>STRICT-20261010-juicefs</x:v>
      </x:c>
      <x:c r="B284" s="10" t="str">
        <x:v>NATIVE-045</x:v>
      </x:c>
      <x:c r="C284" s="10" t="str">
        <x:v>rdwr_mixed_test</x:v>
      </x:c>
      <x:c r="D284" s="10" t="str">
        <x:v>winfsp-tests</x:v>
      </x:c>
      <x:c r="E284" s="10" t="str">
        <x:v>本地</x:v>
      </x:c>
      <x:c r="F284" s="10" t="str">
        <x:v>同步</x:v>
      </x:c>
      <x:c r="G284" s="19" t="d">
        <x:v>2026-10-10T00:00:00.000Z</x:v>
      </x:c>
      <x:c r="H284" s="10" t="str">
        <x:v>已通过</x:v>
      </x:c>
      <x:c r="I284" s="21" t="n">
        <x:v>0.204</x:v>
      </x:c>
      <x:c r="J284" s="10" t="str">
        <x:v>JuiceFS 1.3.0 / WinFsp 2.1.25156 / rclone 1.75.0-onemount</x:v>
      </x:c>
      <x:c r="K284" s="10" t="str">
        <x:v>原版全外部；无 FUSE 筛选或名称比较放宽</x:v>
      </x:c>
      <x:c r="L284" s="10" t="str">
        <x:v>63151da049f846e65fb361d1f314df65c2d468a7</x:v>
      </x:c>
      <x:c r="M284" s="10" t="str">
        <x:v>E09 / targets.juicefs.results</x:v>
      </x:c>
      <x:c r="N284" s="10" t="str">
        <x:v>入口结果见原始 JSON；通过不表示任意规模均正确</x:v>
      </x:c>
    </x:row>
    <x:row r="285" ht="74" customHeight="1">
      <x:c r="A285" s="11" t="str">
        <x:v>STRICT-20261010-juicefs</x:v>
      </x:c>
      <x:c r="B285" s="11" t="str">
        <x:v>NATIVE-046</x:v>
      </x:c>
      <x:c r="C285" s="11" t="str">
        <x:v>flush_test</x:v>
      </x:c>
      <x:c r="D285" s="11" t="str">
        <x:v>winfsp-tests</x:v>
      </x:c>
      <x:c r="E285" s="11" t="str">
        <x:v>本地</x:v>
      </x:c>
      <x:c r="F285" s="11" t="str">
        <x:v>同步</x:v>
      </x:c>
      <x:c r="G285" s="20" t="d">
        <x:v>2026-10-10T00:00:00.000Z</x:v>
      </x:c>
      <x:c r="H285" s="11" t="str">
        <x:v>已通过</x:v>
      </x:c>
      <x:c r="I285" s="22" t="n">
        <x:v>0.254</x:v>
      </x:c>
      <x:c r="J285" s="11" t="str">
        <x:v>JuiceFS 1.3.0 / WinFsp 2.1.25156 / rclone 1.75.0-onemount</x:v>
      </x:c>
      <x:c r="K285" s="11" t="str">
        <x:v>原版全外部；无 FUSE 筛选或名称比较放宽</x:v>
      </x:c>
      <x:c r="L285" s="11" t="str">
        <x:v>63151da049f846e65fb361d1f314df65c2d468a7</x:v>
      </x:c>
      <x:c r="M285" s="11" t="str">
        <x:v>E09 / targets.juicefs.results</x:v>
      </x:c>
      <x:c r="N285" s="11" t="str">
        <x:v>入口结果见原始 JSON；通过不表示任意规模均正确</x:v>
      </x:c>
    </x:row>
    <x:row r="286" ht="74" customHeight="1">
      <x:c r="A286" s="10" t="str">
        <x:v>STRICT-20261010-juicefs</x:v>
      </x:c>
      <x:c r="B286" s="10" t="str">
        <x:v>NATIVE-047</x:v>
      </x:c>
      <x:c r="C286" s="10" t="str">
        <x:v>flush_volume_test</x:v>
      </x:c>
      <x:c r="D286" s="10" t="str">
        <x:v>winfsp-tests</x:v>
      </x:c>
      <x:c r="E286" s="10" t="str">
        <x:v>本地</x:v>
      </x:c>
      <x:c r="F286" s="10" t="str">
        <x:v>同步</x:v>
      </x:c>
      <x:c r="G286" s="19" t="d">
        <x:v>2026-10-10T00:00:00.000Z</x:v>
      </x:c>
      <x:c r="H286" s="10" t="str">
        <x:v>已通过</x:v>
      </x:c>
      <x:c r="I286" s="21" t="n">
        <x:v>0.187</x:v>
      </x:c>
      <x:c r="J286" s="10" t="str">
        <x:v>JuiceFS 1.3.0 / WinFsp 2.1.25156 / rclone 1.75.0-onemount</x:v>
      </x:c>
      <x:c r="K286" s="10" t="str">
        <x:v>原版全外部；无 FUSE 筛选或名称比较放宽</x:v>
      </x:c>
      <x:c r="L286" s="10" t="str">
        <x:v>63151da049f846e65fb361d1f314df65c2d468a7</x:v>
      </x:c>
      <x:c r="M286" s="10" t="str">
        <x:v>E09 / targets.juicefs.results</x:v>
      </x:c>
      <x:c r="N286" s="10" t="str">
        <x:v>入口结果见原始 JSON；通过不表示任意规模均正确</x:v>
      </x:c>
    </x:row>
    <x:row r="287" ht="74" customHeight="1">
      <x:c r="A287" s="11" t="str">
        <x:v>STRICT-20261010-juicefs</x:v>
      </x:c>
      <x:c r="B287" s="11" t="str">
        <x:v>NATIVE-048</x:v>
      </x:c>
      <x:c r="C287" s="11" t="str">
        <x:v>lock_noncached_test</x:v>
      </x:c>
      <x:c r="D287" s="11" t="str">
        <x:v>winfsp-tests</x:v>
      </x:c>
      <x:c r="E287" s="11" t="str">
        <x:v>本地</x:v>
      </x:c>
      <x:c r="F287" s="11" t="str">
        <x:v>同步</x:v>
      </x:c>
      <x:c r="G287" s="20" t="d">
        <x:v>2026-10-10T00:00:00.000Z</x:v>
      </x:c>
      <x:c r="H287" s="11" t="str">
        <x:v>已通过</x:v>
      </x:c>
      <x:c r="I287" s="22" t="n">
        <x:v>0.212</x:v>
      </x:c>
      <x:c r="J287" s="11" t="str">
        <x:v>JuiceFS 1.3.0 / WinFsp 2.1.25156 / rclone 1.75.0-onemount</x:v>
      </x:c>
      <x:c r="K287" s="11" t="str">
        <x:v>原版全外部；无 FUSE 筛选或名称比较放宽</x:v>
      </x:c>
      <x:c r="L287" s="11" t="str">
        <x:v>63151da049f846e65fb361d1f314df65c2d468a7</x:v>
      </x:c>
      <x:c r="M287" s="11" t="str">
        <x:v>E09 / targets.juicefs.results</x:v>
      </x:c>
      <x:c r="N287" s="11" t="str">
        <x:v>入口结果见原始 JSON；通过不表示任意规模均正确</x:v>
      </x:c>
    </x:row>
    <x:row r="288" ht="74" customHeight="1">
      <x:c r="A288" s="10" t="str">
        <x:v>STRICT-20261010-juicefs</x:v>
      </x:c>
      <x:c r="B288" s="10" t="str">
        <x:v>NATIVE-049</x:v>
      </x:c>
      <x:c r="C288" s="10" t="str">
        <x:v>lock_noncached_overlapped_test</x:v>
      </x:c>
      <x:c r="D288" s="10" t="str">
        <x:v>winfsp-tests</x:v>
      </x:c>
      <x:c r="E288" s="10" t="str">
        <x:v>本地</x:v>
      </x:c>
      <x:c r="F288" s="10" t="str">
        <x:v>同步</x:v>
      </x:c>
      <x:c r="G288" s="19" t="d">
        <x:v>2026-10-10T00:00:00.000Z</x:v>
      </x:c>
      <x:c r="H288" s="10" t="str">
        <x:v>已通过</x:v>
      </x:c>
      <x:c r="I288" s="21" t="n">
        <x:v>0.213</x:v>
      </x:c>
      <x:c r="J288" s="10" t="str">
        <x:v>JuiceFS 1.3.0 / WinFsp 2.1.25156 / rclone 1.75.0-onemount</x:v>
      </x:c>
      <x:c r="K288" s="10" t="str">
        <x:v>原版全外部；无 FUSE 筛选或名称比较放宽</x:v>
      </x:c>
      <x:c r="L288" s="10" t="str">
        <x:v>63151da049f846e65fb361d1f314df65c2d468a7</x:v>
      </x:c>
      <x:c r="M288" s="10" t="str">
        <x:v>E09 / targets.juicefs.results</x:v>
      </x:c>
      <x:c r="N288" s="10" t="str">
        <x:v>入口结果见原始 JSON；通过不表示任意规模均正确</x:v>
      </x:c>
    </x:row>
    <x:row r="289" ht="74" customHeight="1">
      <x:c r="A289" s="11" t="str">
        <x:v>STRICT-20261010-juicefs</x:v>
      </x:c>
      <x:c r="B289" s="11" t="str">
        <x:v>NATIVE-050</x:v>
      </x:c>
      <x:c r="C289" s="11" t="str">
        <x:v>lock_cached_test</x:v>
      </x:c>
      <x:c r="D289" s="11" t="str">
        <x:v>winfsp-tests</x:v>
      </x:c>
      <x:c r="E289" s="11" t="str">
        <x:v>本地</x:v>
      </x:c>
      <x:c r="F289" s="11" t="str">
        <x:v>同步</x:v>
      </x:c>
      <x:c r="G289" s="20" t="d">
        <x:v>2026-10-10T00:00:00.000Z</x:v>
      </x:c>
      <x:c r="H289" s="11" t="str">
        <x:v>已通过</x:v>
      </x:c>
      <x:c r="I289" s="22" t="n">
        <x:v>0.205</x:v>
      </x:c>
      <x:c r="J289" s="11" t="str">
        <x:v>JuiceFS 1.3.0 / WinFsp 2.1.25156 / rclone 1.75.0-onemount</x:v>
      </x:c>
      <x:c r="K289" s="11" t="str">
        <x:v>原版全外部；无 FUSE 筛选或名称比较放宽</x:v>
      </x:c>
      <x:c r="L289" s="11" t="str">
        <x:v>63151da049f846e65fb361d1f314df65c2d468a7</x:v>
      </x:c>
      <x:c r="M289" s="11" t="str">
        <x:v>E09 / targets.juicefs.results</x:v>
      </x:c>
      <x:c r="N289" s="11" t="str">
        <x:v>入口结果见原始 JSON；通过不表示任意规模均正确</x:v>
      </x:c>
    </x:row>
    <x:row r="290" ht="74" customHeight="1">
      <x:c r="A290" s="10" t="str">
        <x:v>STRICT-20261010-juicefs</x:v>
      </x:c>
      <x:c r="B290" s="10" t="str">
        <x:v>NATIVE-051</x:v>
      </x:c>
      <x:c r="C290" s="10" t="str">
        <x:v>lock_cached_overlapped_test</x:v>
      </x:c>
      <x:c r="D290" s="10" t="str">
        <x:v>winfsp-tests</x:v>
      </x:c>
      <x:c r="E290" s="10" t="str">
        <x:v>本地</x:v>
      </x:c>
      <x:c r="F290" s="10" t="str">
        <x:v>同步</x:v>
      </x:c>
      <x:c r="G290" s="19" t="d">
        <x:v>2026-10-10T00:00:00.000Z</x:v>
      </x:c>
      <x:c r="H290" s="10" t="str">
        <x:v>已通过</x:v>
      </x:c>
      <x:c r="I290" s="21" t="n">
        <x:v>0.202</x:v>
      </x:c>
      <x:c r="J290" s="10" t="str">
        <x:v>JuiceFS 1.3.0 / WinFsp 2.1.25156 / rclone 1.75.0-onemount</x:v>
      </x:c>
      <x:c r="K290" s="10" t="str">
        <x:v>原版全外部；无 FUSE 筛选或名称比较放宽</x:v>
      </x:c>
      <x:c r="L290" s="10" t="str">
        <x:v>63151da049f846e65fb361d1f314df65c2d468a7</x:v>
      </x:c>
      <x:c r="M290" s="10" t="str">
        <x:v>E09 / targets.juicefs.results</x:v>
      </x:c>
      <x:c r="N290" s="10" t="str">
        <x:v>入口结果见原始 JSON；通过不表示任意规模均正确</x:v>
      </x:c>
    </x:row>
    <x:row r="291" ht="74" customHeight="1">
      <x:c r="A291" s="11" t="str">
        <x:v>STRICT-20261010-juicefs</x:v>
      </x:c>
      <x:c r="B291" s="11" t="str">
        <x:v>NATIVE-052</x:v>
      </x:c>
      <x:c r="C291" s="11" t="str">
        <x:v>querydir_test</x:v>
      </x:c>
      <x:c r="D291" s="11" t="str">
        <x:v>winfsp-tests</x:v>
      </x:c>
      <x:c r="E291" s="11" t="str">
        <x:v>本地</x:v>
      </x:c>
      <x:c r="F291" s="11" t="str">
        <x:v>同步</x:v>
      </x:c>
      <x:c r="G291" s="20" t="d">
        <x:v>2026-10-10T00:00:00.000Z</x:v>
      </x:c>
      <x:c r="H291" s="11" t="str">
        <x:v>已通过</x:v>
      </x:c>
      <x:c r="I291" s="22" t="n">
        <x:v>8.06</x:v>
      </x:c>
      <x:c r="J291" s="11" t="str">
        <x:v>JuiceFS 1.3.0 / WinFsp 2.1.25156 / rclone 1.75.0-onemount</x:v>
      </x:c>
      <x:c r="K291" s="11" t="str">
        <x:v>原版全外部；无 FUSE 筛选或名称比较放宽</x:v>
      </x:c>
      <x:c r="L291" s="11" t="str">
        <x:v>63151da049f846e65fb361d1f314df65c2d468a7</x:v>
      </x:c>
      <x:c r="M291" s="11" t="str">
        <x:v>E09 / targets.juicefs.results</x:v>
      </x:c>
      <x:c r="N291" s="11" t="str">
        <x:v>入口结果见原始 JSON；通过不表示任意规模均正确</x:v>
      </x:c>
    </x:row>
    <x:row r="292" ht="74" customHeight="1">
      <x:c r="A292" s="10" t="str">
        <x:v>STRICT-20261010-juicefs</x:v>
      </x:c>
      <x:c r="B292" s="10" t="str">
        <x:v>NATIVE-053</x:v>
      </x:c>
      <x:c r="C292" s="10" t="str">
        <x:v>querydir_nodup_test</x:v>
      </x:c>
      <x:c r="D292" s="10" t="str">
        <x:v>winfsp-tests</x:v>
      </x:c>
      <x:c r="E292" s="10" t="str">
        <x:v>本地</x:v>
      </x:c>
      <x:c r="F292" s="10" t="str">
        <x:v>同步</x:v>
      </x:c>
      <x:c r="G292" s="19" t="d">
        <x:v>2026-10-10T00:00:00.000Z</x:v>
      </x:c>
      <x:c r="H292" s="10" t="str">
        <x:v>已通过</x:v>
      </x:c>
      <x:c r="I292" s="21" t="n">
        <x:v>11.841</x:v>
      </x:c>
      <x:c r="J292" s="10" t="str">
        <x:v>JuiceFS 1.3.0 / WinFsp 2.1.25156 / rclone 1.75.0-onemount</x:v>
      </x:c>
      <x:c r="K292" s="10" t="str">
        <x:v>原版全外部；无 FUSE 筛选或名称比较放宽</x:v>
      </x:c>
      <x:c r="L292" s="10" t="str">
        <x:v>63151da049f846e65fb361d1f314df65c2d468a7</x:v>
      </x:c>
      <x:c r="M292" s="10" t="str">
        <x:v>E09 / targets.juicefs.results</x:v>
      </x:c>
      <x:c r="N292" s="10" t="str">
        <x:v>入口结果见原始 JSON；通过不表示任意规模均正确</x:v>
      </x:c>
    </x:row>
    <x:row r="293" ht="74" customHeight="1">
      <x:c r="A293" s="11" t="str">
        <x:v>STRICT-20261010-juicefs</x:v>
      </x:c>
      <x:c r="B293" s="11" t="str">
        <x:v>NATIVE-054</x:v>
      </x:c>
      <x:c r="C293" s="11" t="str">
        <x:v>querydir_single_test</x:v>
      </x:c>
      <x:c r="D293" s="11" t="str">
        <x:v>winfsp-tests</x:v>
      </x:c>
      <x:c r="E293" s="11" t="str">
        <x:v>本地</x:v>
      </x:c>
      <x:c r="F293" s="11" t="str">
        <x:v>同步</x:v>
      </x:c>
      <x:c r="G293" s="20" t="d">
        <x:v>2026-10-10T00:00:00.000Z</x:v>
      </x:c>
      <x:c r="H293" s="11" t="str">
        <x:v>已通过</x:v>
      </x:c>
      <x:c r="I293" s="22" t="n">
        <x:v>21.163</x:v>
      </x:c>
      <x:c r="J293" s="11" t="str">
        <x:v>JuiceFS 1.3.0 / WinFsp 2.1.25156 / rclone 1.75.0-onemount</x:v>
      </x:c>
      <x:c r="K293" s="11" t="str">
        <x:v>原版全外部；无 FUSE 筛选或名称比较放宽</x:v>
      </x:c>
      <x:c r="L293" s="11" t="str">
        <x:v>63151da049f846e65fb361d1f314df65c2d468a7</x:v>
      </x:c>
      <x:c r="M293" s="11" t="str">
        <x:v>E09 / targets.juicefs.results</x:v>
      </x:c>
      <x:c r="N293" s="11" t="str">
        <x:v>入口结果见原始 JSON；通过不表示任意规模均正确</x:v>
      </x:c>
    </x:row>
    <x:row r="294" ht="74" customHeight="1">
      <x:c r="A294" s="10" t="str">
        <x:v>STRICT-20261010-juicefs</x:v>
      </x:c>
      <x:c r="B294" s="10" t="str">
        <x:v>NATIVE-055</x:v>
      </x:c>
      <x:c r="C294" s="10" t="str">
        <x:v>querydir_expire_cache_test</x:v>
      </x:c>
      <x:c r="D294" s="10" t="str">
        <x:v>winfsp-tests</x:v>
      </x:c>
      <x:c r="E294" s="10" t="str">
        <x:v>本地</x:v>
      </x:c>
      <x:c r="F294" s="10" t="str">
        <x:v>同步</x:v>
      </x:c>
      <x:c r="G294" s="19" t="d">
        <x:v>2026-10-10T00:00:00.000Z</x:v>
      </x:c>
      <x:c r="H294" s="10" t="str">
        <x:v>已通过</x:v>
      </x:c>
      <x:c r="I294" s="21" t="n">
        <x:v>0.182</x:v>
      </x:c>
      <x:c r="J294" s="10" t="str">
        <x:v>JuiceFS 1.3.0 / WinFsp 2.1.25156 / rclone 1.75.0-onemount</x:v>
      </x:c>
      <x:c r="K294" s="10" t="str">
        <x:v>原版全外部；无 FUSE 筛选或名称比较放宽</x:v>
      </x:c>
      <x:c r="L294" s="10" t="str">
        <x:v>63151da049f846e65fb361d1f314df65c2d468a7</x:v>
      </x:c>
      <x:c r="M294" s="10" t="str">
        <x:v>E09 / targets.juicefs.results</x:v>
      </x:c>
      <x:c r="N294" s="10" t="str">
        <x:v>入口结果见原始 JSON；通过不表示任意规模均正确</x:v>
      </x:c>
    </x:row>
    <x:row r="295" ht="74" customHeight="1">
      <x:c r="A295" s="11" t="str">
        <x:v>STRICT-20261010-juicefs</x:v>
      </x:c>
      <x:c r="B295" s="11" t="str">
        <x:v>NATIVE-056</x:v>
      </x:c>
      <x:c r="C295" s="11" t="str">
        <x:v>querydir_buffer_overflow_test</x:v>
      </x:c>
      <x:c r="D295" s="11" t="str">
        <x:v>winfsp-tests</x:v>
      </x:c>
      <x:c r="E295" s="11" t="str">
        <x:v>本地</x:v>
      </x:c>
      <x:c r="F295" s="11" t="str">
        <x:v>同步</x:v>
      </x:c>
      <x:c r="G295" s="20" t="d">
        <x:v>2026-10-10T00:00:00.000Z</x:v>
      </x:c>
      <x:c r="H295" s="11" t="str">
        <x:v>已通过</x:v>
      </x:c>
      <x:c r="I295" s="22" t="n">
        <x:v>0.18</x:v>
      </x:c>
      <x:c r="J295" s="11" t="str">
        <x:v>JuiceFS 1.3.0 / WinFsp 2.1.25156 / rclone 1.75.0-onemount</x:v>
      </x:c>
      <x:c r="K295" s="11" t="str">
        <x:v>原版全外部；无 FUSE 筛选或名称比较放宽</x:v>
      </x:c>
      <x:c r="L295" s="11" t="str">
        <x:v>63151da049f846e65fb361d1f314df65c2d468a7</x:v>
      </x:c>
      <x:c r="M295" s="11" t="str">
        <x:v>E09 / targets.juicefs.results</x:v>
      </x:c>
      <x:c r="N295" s="11" t="str">
        <x:v>入口结果见原始 JSON；通过不表示任意规模均正确</x:v>
      </x:c>
    </x:row>
    <x:row r="296" ht="74" customHeight="1">
      <x:c r="A296" s="10" t="str">
        <x:v>STRICT-20261010-juicefs</x:v>
      </x:c>
      <x:c r="B296" s="10" t="str">
        <x:v>NATIVE-057</x:v>
      </x:c>
      <x:c r="C296" s="10" t="str">
        <x:v>querydir_namelen_test</x:v>
      </x:c>
      <x:c r="D296" s="10" t="str">
        <x:v>winfsp-tests</x:v>
      </x:c>
      <x:c r="E296" s="10" t="str">
        <x:v>本地</x:v>
      </x:c>
      <x:c r="F296" s="10" t="str">
        <x:v>同步</x:v>
      </x:c>
      <x:c r="G296" s="19" t="d">
        <x:v>2026-10-10T00:00:00.000Z</x:v>
      </x:c>
      <x:c r="H296" s="10" t="str">
        <x:v>已失败</x:v>
      </x:c>
      <x:c r="I296" s="21" t="n">
        <x:v>0.237</x:v>
      </x:c>
      <x:c r="J296" s="10" t="str">
        <x:v>JuiceFS 1.3.0 / WinFsp 2.1.25156 / rclone 1.75.0-onemount</x:v>
      </x:c>
      <x:c r="K296" s="10" t="str">
        <x:v>原版全外部；无 FUSE 筛选或名称比较放宽</x:v>
      </x:c>
      <x:c r="L296" s="10" t="str">
        <x:v>63151da049f846e65fb361d1f314df65c2d468a7</x:v>
      </x:c>
      <x:c r="M296" s="10" t="str">
        <x:v>E09 / targets.juicefs.results</x:v>
      </x:c>
      <x:c r="N296" s="10" t="str">
        <x:v>    ASSERT(INVALID_HANDLE_VALUE != Handle) failed at dirctl-test.c:808:querydir_namelen_dotest (err=c0000106:206)</x:v>
      </x:c>
    </x:row>
    <x:row r="297" ht="74" customHeight="1">
      <x:c r="A297" s="11" t="str">
        <x:v>STRICT-20261010-juicefs</x:v>
      </x:c>
      <x:c r="B297" s="11" t="str">
        <x:v>NATIVE-058</x:v>
      </x:c>
      <x:c r="C297" s="11" t="str">
        <x:v>dirnotify_test</x:v>
      </x:c>
      <x:c r="D297" s="11" t="str">
        <x:v>winfsp-tests</x:v>
      </x:c>
      <x:c r="E297" s="11" t="str">
        <x:v>本地</x:v>
      </x:c>
      <x:c r="F297" s="11" t="str">
        <x:v>同步</x:v>
      </x:c>
      <x:c r="G297" s="20" t="d">
        <x:v>2026-10-10T00:00:00.000Z</x:v>
      </x:c>
      <x:c r="H297" s="11" t="str">
        <x:v>已通过</x:v>
      </x:c>
      <x:c r="I297" s="22" t="n">
        <x:v>1.191</x:v>
      </x:c>
      <x:c r="J297" s="11" t="str">
        <x:v>JuiceFS 1.3.0 / WinFsp 2.1.25156 / rclone 1.75.0-onemount</x:v>
      </x:c>
      <x:c r="K297" s="11" t="str">
        <x:v>原版全外部；无 FUSE 筛选或名称比较放宽</x:v>
      </x:c>
      <x:c r="L297" s="11" t="str">
        <x:v>63151da049f846e65fb361d1f314df65c2d468a7</x:v>
      </x:c>
      <x:c r="M297" s="11" t="str">
        <x:v>E09 / targets.juicefs.results</x:v>
      </x:c>
      <x:c r="N297" s="11" t="str">
        <x:v>入口结果见原始 JSON；通过不表示任意规模均正确</x:v>
      </x:c>
    </x:row>
    <x:row r="298" ht="74" customHeight="1">
      <x:c r="A298" s="10" t="str">
        <x:v>STRICT-20261010-juicefs</x:v>
      </x:c>
      <x:c r="B298" s="10" t="str">
        <x:v>NATIVE-059</x:v>
      </x:c>
      <x:c r="C298" s="10" t="str">
        <x:v>exec_test</x:v>
      </x:c>
      <x:c r="D298" s="10" t="str">
        <x:v>winfsp-tests</x:v>
      </x:c>
      <x:c r="E298" s="10" t="str">
        <x:v>本地</x:v>
      </x:c>
      <x:c r="F298" s="10" t="str">
        <x:v>同步</x:v>
      </x:c>
      <x:c r="G298" s="19" t="d">
        <x:v>2026-10-10T00:00:00.000Z</x:v>
      </x:c>
      <x:c r="H298" s="10" t="str">
        <x:v>已通过</x:v>
      </x:c>
      <x:c r="I298" s="21" t="n">
        <x:v>0.195</x:v>
      </x:c>
      <x:c r="J298" s="10" t="str">
        <x:v>JuiceFS 1.3.0 / WinFsp 2.1.25156 / rclone 1.75.0-onemount</x:v>
      </x:c>
      <x:c r="K298" s="10" t="str">
        <x:v>原版全外部；无 FUSE 筛选或名称比较放宽</x:v>
      </x:c>
      <x:c r="L298" s="10" t="str">
        <x:v>63151da049f846e65fb361d1f314df65c2d468a7</x:v>
      </x:c>
      <x:c r="M298" s="10" t="str">
        <x:v>E09 / targets.juicefs.results</x:v>
      </x:c>
      <x:c r="N298" s="10" t="str">
        <x:v>入口结果见原始 JSON；通过不表示任意规模均正确</x:v>
      </x:c>
    </x:row>
    <x:row r="299" ht="74" customHeight="1">
      <x:c r="A299" s="11" t="str">
        <x:v>STRICT-20261010-juicefs</x:v>
      </x:c>
      <x:c r="B299" s="11" t="str">
        <x:v>NATIVE-060</x:v>
      </x:c>
      <x:c r="C299" s="11" t="str">
        <x:v>exec_delete_test</x:v>
      </x:c>
      <x:c r="D299" s="11" t="str">
        <x:v>winfsp-tests</x:v>
      </x:c>
      <x:c r="E299" s="11" t="str">
        <x:v>本地</x:v>
      </x:c>
      <x:c r="F299" s="11" t="str">
        <x:v>同步</x:v>
      </x:c>
      <x:c r="G299" s="20" t="d">
        <x:v>2026-10-10T00:00:00.000Z</x:v>
      </x:c>
      <x:c r="H299" s="11" t="str">
        <x:v>已通过</x:v>
      </x:c>
      <x:c r="I299" s="22" t="n">
        <x:v>1.207</x:v>
      </x:c>
      <x:c r="J299" s="11" t="str">
        <x:v>JuiceFS 1.3.0 / WinFsp 2.1.25156 / rclone 1.75.0-onemount</x:v>
      </x:c>
      <x:c r="K299" s="11" t="str">
        <x:v>原版全外部；无 FUSE 筛选或名称比较放宽</x:v>
      </x:c>
      <x:c r="L299" s="11" t="str">
        <x:v>63151da049f846e65fb361d1f314df65c2d468a7</x:v>
      </x:c>
      <x:c r="M299" s="11" t="str">
        <x:v>E09 / targets.juicefs.results</x:v>
      </x:c>
      <x:c r="N299" s="11" t="str">
        <x:v>入口结果见原始 JSON；通过不表示任意规模均正确</x:v>
      </x:c>
    </x:row>
    <x:row r="300" ht="74" customHeight="1">
      <x:c r="A300" s="10" t="str">
        <x:v>STRICT-20261010-juicefs</x:v>
      </x:c>
      <x:c r="B300" s="10" t="str">
        <x:v>NATIVE-061</x:v>
      </x:c>
      <x:c r="C300" s="10" t="str">
        <x:v>exec_rename_test</x:v>
      </x:c>
      <x:c r="D300" s="10" t="str">
        <x:v>winfsp-tests</x:v>
      </x:c>
      <x:c r="E300" s="10" t="str">
        <x:v>本地</x:v>
      </x:c>
      <x:c r="F300" s="10" t="str">
        <x:v>同步</x:v>
      </x:c>
      <x:c r="G300" s="19" t="d">
        <x:v>2026-10-10T00:00:00.000Z</x:v>
      </x:c>
      <x:c r="H300" s="10" t="str">
        <x:v>已通过</x:v>
      </x:c>
      <x:c r="I300" s="21" t="n">
        <x:v>1.209</x:v>
      </x:c>
      <x:c r="J300" s="10" t="str">
        <x:v>JuiceFS 1.3.0 / WinFsp 2.1.25156 / rclone 1.75.0-onemount</x:v>
      </x:c>
      <x:c r="K300" s="10" t="str">
        <x:v>原版全外部；无 FUSE 筛选或名称比较放宽</x:v>
      </x:c>
      <x:c r="L300" s="10" t="str">
        <x:v>63151da049f846e65fb361d1f314df65c2d468a7</x:v>
      </x:c>
      <x:c r="M300" s="10" t="str">
        <x:v>E09 / targets.juicefs.results</x:v>
      </x:c>
      <x:c r="N300" s="10" t="str">
        <x:v>入口结果见原始 JSON；通过不表示任意规模均正确</x:v>
      </x:c>
    </x:row>
    <x:row r="301" ht="74" customHeight="1">
      <x:c r="A301" s="11" t="str">
        <x:v>STRICT-20261010-juicefs</x:v>
      </x:c>
      <x:c r="B301" s="11" t="str">
        <x:v>NATIVE-062</x:v>
      </x:c>
      <x:c r="C301" s="11" t="str">
        <x:v>exec_rename_dir_test</x:v>
      </x:c>
      <x:c r="D301" s="11" t="str">
        <x:v>winfsp-tests</x:v>
      </x:c>
      <x:c r="E301" s="11" t="str">
        <x:v>本地</x:v>
      </x:c>
      <x:c r="F301" s="11" t="str">
        <x:v>同步</x:v>
      </x:c>
      <x:c r="G301" s="20" t="d">
        <x:v>2026-10-10T00:00:00.000Z</x:v>
      </x:c>
      <x:c r="H301" s="11" t="str">
        <x:v>已通过</x:v>
      </x:c>
      <x:c r="I301" s="22" t="n">
        <x:v>2.215</x:v>
      </x:c>
      <x:c r="J301" s="11" t="str">
        <x:v>JuiceFS 1.3.0 / WinFsp 2.1.25156 / rclone 1.75.0-onemount</x:v>
      </x:c>
      <x:c r="K301" s="11" t="str">
        <x:v>原版全外部；无 FUSE 筛选或名称比较放宽</x:v>
      </x:c>
      <x:c r="L301" s="11" t="str">
        <x:v>63151da049f846e65fb361d1f314df65c2d468a7</x:v>
      </x:c>
      <x:c r="M301" s="11" t="str">
        <x:v>E09 / targets.juicefs.results</x:v>
      </x:c>
      <x:c r="N301" s="11" t="str">
        <x:v>入口结果见原始 JSON；通过不表示任意规模均正确</x:v>
      </x:c>
    </x:row>
    <x:row r="302" ht="74" customHeight="1">
      <x:c r="A302" s="10" t="str">
        <x:v>STRICT-20261010-juicefs</x:v>
      </x:c>
      <x:c r="B302" s="10" t="str">
        <x:v>NATIVE-063</x:v>
      </x:c>
      <x:c r="C302" s="10" t="str">
        <x:v>reparse_guid_test</x:v>
      </x:c>
      <x:c r="D302" s="10" t="str">
        <x:v>winfsp-tests</x:v>
      </x:c>
      <x:c r="E302" s="10" t="str">
        <x:v>本地</x:v>
      </x:c>
      <x:c r="F302" s="10" t="str">
        <x:v>同步</x:v>
      </x:c>
      <x:c r="G302" s="19" t="d">
        <x:v>2026-10-10T00:00:00.000Z</x:v>
      </x:c>
      <x:c r="H302" s="10" t="str">
        <x:v>已失败</x:v>
      </x:c>
      <x:c r="I302" s="21" t="n">
        <x:v>0.236</x:v>
      </x:c>
      <x:c r="J302" s="10" t="str">
        <x:v>JuiceFS 1.3.0 / WinFsp 2.1.25156 / rclone 1.75.0-onemount</x:v>
      </x:c>
      <x:c r="K302" s="10" t="str">
        <x:v>原版全外部；无 FUSE 筛选或名称比较放宽</x:v>
      </x:c>
      <x:c r="L302" s="10" t="str">
        <x:v>63151da049f846e65fb361d1f314df65c2d468a7</x:v>
      </x:c>
      <x:c r="M302" s="10" t="str">
        <x:v>E09 / targets.juicefs.results</x:v>
      </x:c>
      <x:c r="N302" s="10" t="str">
        <x:v>    ASSERT(Success) failed at reparse-test.c:65:reparse_guid_dotest (err=c0000277:4394)</x:v>
      </x:c>
    </x:row>
    <x:row r="303" ht="74" customHeight="1">
      <x:c r="A303" s="11" t="str">
        <x:v>STRICT-20261010-juicefs</x:v>
      </x:c>
      <x:c r="B303" s="11" t="str">
        <x:v>NATIVE-064</x:v>
      </x:c>
      <x:c r="C303" s="11" t="str">
        <x:v>reparse_nfs_test</x:v>
      </x:c>
      <x:c r="D303" s="11" t="str">
        <x:v>winfsp-tests</x:v>
      </x:c>
      <x:c r="E303" s="11" t="str">
        <x:v>本地</x:v>
      </x:c>
      <x:c r="F303" s="11" t="str">
        <x:v>同步</x:v>
      </x:c>
      <x:c r="G303" s="20" t="d">
        <x:v>2026-10-10T00:00:00.000Z</x:v>
      </x:c>
      <x:c r="H303" s="11" t="str">
        <x:v>已失败</x:v>
      </x:c>
      <x:c r="I303" s="22" t="n">
        <x:v>0.243</x:v>
      </x:c>
      <x:c r="J303" s="11" t="str">
        <x:v>JuiceFS 1.3.0 / WinFsp 2.1.25156 / rclone 1.75.0-onemount</x:v>
      </x:c>
      <x:c r="K303" s="11" t="str">
        <x:v>原版全外部；无 FUSE 筛选或名称比较放宽</x:v>
      </x:c>
      <x:c r="L303" s="11" t="str">
        <x:v>63151da049f846e65fb361d1f314df65c2d468a7</x:v>
      </x:c>
      <x:c r="M303" s="11" t="str">
        <x:v>E09 / targets.juicefs.results</x:v>
      </x:c>
      <x:c r="N303" s="11" t="str">
        <x:v>    ASSERT(Success) failed at reparse-test.c:205:reparse_nfs_dotest (err=c0000022:5)</x:v>
      </x:c>
    </x:row>
    <x:row r="304" ht="74" customHeight="1">
      <x:c r="A304" s="10" t="str">
        <x:v>STRICT-20261010-juicefs</x:v>
      </x:c>
      <x:c r="B304" s="10" t="str">
        <x:v>NATIVE-065</x:v>
      </x:c>
      <x:c r="C304" s="10" t="str">
        <x:v>reparse_symlink_test</x:v>
      </x:c>
      <x:c r="D304" s="10" t="str">
        <x:v>winfsp-tests</x:v>
      </x:c>
      <x:c r="E304" s="10" t="str">
        <x:v>本地</x:v>
      </x:c>
      <x:c r="F304" s="10" t="str">
        <x:v>同步</x:v>
      </x:c>
      <x:c r="G304" s="19" t="d">
        <x:v>2026-10-10T00:00:00.000Z</x:v>
      </x:c>
      <x:c r="H304" s="10" t="str">
        <x:v>已失败</x:v>
      </x:c>
      <x:c r="I304" s="21" t="n">
        <x:v>0.24</x:v>
      </x:c>
      <x:c r="J304" s="10" t="str">
        <x:v>JuiceFS 1.3.0 / WinFsp 2.1.25156 / rclone 1.75.0-onemount</x:v>
      </x:c>
      <x:c r="K304" s="10" t="str">
        <x:v>原版全外部；无 FUSE 筛选或名称比较放宽</x:v>
      </x:c>
      <x:c r="L304" s="10" t="str">
        <x:v>63151da049f846e65fb361d1f314df65c2d468a7</x:v>
      </x:c>
      <x:c r="M304" s="10" t="str">
        <x:v>E09 / targets.juicefs.results</x:v>
      </x:c>
      <x:c r="N304" s="10" t="str">
        <x:v>    ASSERT(ERROR_PRIVILEGE_NOT_HELD == GetLastError()) failed at reparse-test.c:295:reparse_symlink_dotest0 (err=c0000010:1)</x:v>
      </x:c>
    </x:row>
    <x:row r="305" ht="74" customHeight="1">
      <x:c r="A305" s="11" t="str">
        <x:v>STRICT-20261010-juicefs</x:v>
      </x:c>
      <x:c r="B305" s="11" t="str">
        <x:v>NATIVE-066</x:v>
      </x:c>
      <x:c r="C305" s="11" t="str">
        <x:v>reparse_symlink_relative_test</x:v>
      </x:c>
      <x:c r="D305" s="11" t="str">
        <x:v>winfsp-tests</x:v>
      </x:c>
      <x:c r="E305" s="11" t="str">
        <x:v>本地</x:v>
      </x:c>
      <x:c r="F305" s="11" t="str">
        <x:v>同步</x:v>
      </x:c>
      <x:c r="G305" s="20" t="d">
        <x:v>2026-10-10T00:00:00.000Z</x:v>
      </x:c>
      <x:c r="H305" s="11" t="str">
        <x:v>已失败</x:v>
      </x:c>
      <x:c r="I305" s="22" t="n">
        <x:v>0.231</x:v>
      </x:c>
      <x:c r="J305" s="11" t="str">
        <x:v>JuiceFS 1.3.0 / WinFsp 2.1.25156 / rclone 1.75.0-onemount</x:v>
      </x:c>
      <x:c r="K305" s="11" t="str">
        <x:v>原版全外部；无 FUSE 筛选或名称比较放宽</x:v>
      </x:c>
      <x:c r="L305" s="11" t="str">
        <x:v>63151da049f846e65fb361d1f314df65c2d468a7</x:v>
      </x:c>
      <x:c r="M305" s="11" t="str">
        <x:v>E09 / targets.juicefs.results</x:v>
      </x:c>
      <x:c r="N305" s="11" t="str">
        <x:v>    ASSERT(ERROR_PRIVILEGE_NOT_HELD == GetLastError()) failed at reparse-test.c:530:reparse_symlink_relative_dotest (err=c0000010:1)</x:v>
      </x:c>
    </x:row>
    <x:row r="306" ht="74" customHeight="1">
      <x:c r="A306" s="10" t="str">
        <x:v>STRICT-20261010-juicefs</x:v>
      </x:c>
      <x:c r="B306" s="10" t="str">
        <x:v>NATIVE-067</x:v>
      </x:c>
      <x:c r="C306" s="10" t="str">
        <x:v>ea_create_test</x:v>
      </x:c>
      <x:c r="D306" s="10" t="str">
        <x:v>winfsp-tests</x:v>
      </x:c>
      <x:c r="E306" s="10" t="str">
        <x:v>本地</x:v>
      </x:c>
      <x:c r="F306" s="10" t="str">
        <x:v>同步</x:v>
      </x:c>
      <x:c r="G306" s="19" t="d">
        <x:v>2026-10-10T00:00:00.000Z</x:v>
      </x:c>
      <x:c r="H306" s="10" t="str">
        <x:v>已失败</x:v>
      </x:c>
      <x:c r="I306" s="21" t="n">
        <x:v>0.238</x:v>
      </x:c>
      <x:c r="J306" s="10" t="str">
        <x:v>JuiceFS 1.3.0 / WinFsp 2.1.25156 / rclone 1.75.0-onemount</x:v>
      </x:c>
      <x:c r="K306" s="10" t="str">
        <x:v>原版全外部；无 FUSE 筛选或名称比较放宽</x:v>
      </x:c>
      <x:c r="L306" s="10" t="str">
        <x:v>63151da049f846e65fb361d1f314df65c2d468a7</x:v>
      </x:c>
      <x:c r="M306" s="10" t="str">
        <x:v>E09 / targets.juicefs.results</x:v>
      </x:c>
      <x:c r="N306" s="10" t="str">
        <x:v>    ASSERT(STATUS_INVALID_EA_NAME == Result) failed at ea-test.c:707:ea_create_dotest (err=0:0)</x:v>
      </x:c>
    </x:row>
    <x:row r="307" ht="74" customHeight="1">
      <x:c r="A307" s="11" t="str">
        <x:v>STRICT-20261010-juicefs</x:v>
      </x:c>
      <x:c r="B307" s="11" t="str">
        <x:v>NATIVE-068</x:v>
      </x:c>
      <x:c r="C307" s="11" t="str">
        <x:v>ea_overwrite_test</x:v>
      </x:c>
      <x:c r="D307" s="11" t="str">
        <x:v>winfsp-tests</x:v>
      </x:c>
      <x:c r="E307" s="11" t="str">
        <x:v>本地</x:v>
      </x:c>
      <x:c r="F307" s="11" t="str">
        <x:v>同步</x:v>
      </x:c>
      <x:c r="G307" s="20" t="d">
        <x:v>2026-10-10T00:00:00.000Z</x:v>
      </x:c>
      <x:c r="H307" s="11" t="str">
        <x:v>已失败</x:v>
      </x:c>
      <x:c r="I307" s="22" t="n">
        <x:v>0.238</x:v>
      </x:c>
      <x:c r="J307" s="11" t="str">
        <x:v>JuiceFS 1.3.0 / WinFsp 2.1.25156 / rclone 1.75.0-onemount</x:v>
      </x:c>
      <x:c r="K307" s="11" t="str">
        <x:v>原版全外部；无 FUSE 筛选或名称比较放宽</x:v>
      </x:c>
      <x:c r="L307" s="11" t="str">
        <x:v>63151da049f846e65fb361d1f314df65c2d468a7</x:v>
      </x:c>
      <x:c r="M307" s="11" t="str">
        <x:v>E09 / targets.juicefs.results</x:v>
      </x:c>
      <x:c r="N307" s="11" t="str">
        <x:v>    ASSERT(STATUS_SUCCESS == Result) failed at ea-test.c:830:ea_overwrite_dotest (err=0:0)</x:v>
      </x:c>
    </x:row>
    <x:row r="308" ht="74" customHeight="1">
      <x:c r="A308" s="10" t="str">
        <x:v>STRICT-20261010-juicefs</x:v>
      </x:c>
      <x:c r="B308" s="10" t="str">
        <x:v>NATIVE-069</x:v>
      </x:c>
      <x:c r="C308" s="10" t="str">
        <x:v>ea_getset_test</x:v>
      </x:c>
      <x:c r="D308" s="10" t="str">
        <x:v>winfsp-tests</x:v>
      </x:c>
      <x:c r="E308" s="10" t="str">
        <x:v>本地</x:v>
      </x:c>
      <x:c r="F308" s="10" t="str">
        <x:v>同步</x:v>
      </x:c>
      <x:c r="G308" s="19" t="d">
        <x:v>2026-10-10T00:00:00.000Z</x:v>
      </x:c>
      <x:c r="H308" s="10" t="str">
        <x:v>已失败</x:v>
      </x:c>
      <x:c r="I308" s="21" t="n">
        <x:v>0.235</x:v>
      </x:c>
      <x:c r="J308" s="10" t="str">
        <x:v>JuiceFS 1.3.0 / WinFsp 2.1.25156 / rclone 1.75.0-onemount</x:v>
      </x:c>
      <x:c r="K308" s="10" t="str">
        <x:v>原版全外部；无 FUSE 筛选或名称比较放宽</x:v>
      </x:c>
      <x:c r="L308" s="10" t="str">
        <x:v>63151da049f846e65fb361d1f314df65c2d468a7</x:v>
      </x:c>
      <x:c r="M308" s="10" t="str">
        <x:v>E09 / targets.juicefs.results</x:v>
      </x:c>
      <x:c r="N308" s="10" t="str">
        <x:v>    ASSERT(STATUS_INVALID_EA_NAME == Result) failed at ea-test.c:906:ea_getset_dotest (err=0:0)</x:v>
      </x:c>
    </x:row>
    <x:row r="309" ht="74" customHeight="1">
      <x:c r="A309" s="11" t="str">
        <x:v>STRICT-20261010-juicefs</x:v>
      </x:c>
      <x:c r="B309" s="11" t="str">
        <x:v>NATIVE-070</x:v>
      </x:c>
      <x:c r="C309" s="11" t="str">
        <x:v>stream_create_test</x:v>
      </x:c>
      <x:c r="D309" s="11" t="str">
        <x:v>winfsp-tests</x:v>
      </x:c>
      <x:c r="E309" s="11" t="str">
        <x:v>本地</x:v>
      </x:c>
      <x:c r="F309" s="11" t="str">
        <x:v>同步</x:v>
      </x:c>
      <x:c r="G309" s="20" t="d">
        <x:v>2026-10-10T00:00:00.000Z</x:v>
      </x:c>
      <x:c r="H309" s="11" t="str">
        <x:v>已失败</x:v>
      </x:c>
      <x:c r="I309" s="22" t="n">
        <x:v>0.227</x:v>
      </x:c>
      <x:c r="J309" s="11" t="str">
        <x:v>JuiceFS 1.3.0 / WinFsp 2.1.25156 / rclone 1.75.0-onemount</x:v>
      </x:c>
      <x:c r="K309" s="11" t="str">
        <x:v>原版全外部；无 FUSE 筛选或名称比较放宽</x:v>
      </x:c>
      <x:c r="L309" s="11" t="str">
        <x:v>63151da049f846e65fb361d1f314df65c2d468a7</x:v>
      </x:c>
      <x:c r="M309" s="11" t="str">
        <x:v>E09 / targets.juicefs.results</x:v>
      </x:c>
      <x:c r="N309" s="11" t="str">
        <x:v>    ASSERT(INVALID_HANDLE_VALUE != Handle) failed at stream-tests.c:46:stream_create_dotest (err=c0000033:123)</x:v>
      </x:c>
    </x:row>
    <x:row r="310" ht="74" customHeight="1">
      <x:c r="A310" s="10" t="str">
        <x:v>STRICT-20261010-juicefs</x:v>
      </x:c>
      <x:c r="B310" s="10" t="str">
        <x:v>NATIVE-071</x:v>
      </x:c>
      <x:c r="C310" s="10" t="str">
        <x:v>stream_create_overwrite_test</x:v>
      </x:c>
      <x:c r="D310" s="10" t="str">
        <x:v>winfsp-tests</x:v>
      </x:c>
      <x:c r="E310" s="10" t="str">
        <x:v>本地</x:v>
      </x:c>
      <x:c r="F310" s="10" t="str">
        <x:v>同步</x:v>
      </x:c>
      <x:c r="G310" s="19" t="d">
        <x:v>2026-10-10T00:00:00.000Z</x:v>
      </x:c>
      <x:c r="H310" s="10" t="str">
        <x:v>已失败</x:v>
      </x:c>
      <x:c r="I310" s="21" t="n">
        <x:v>0.225</x:v>
      </x:c>
      <x:c r="J310" s="10" t="str">
        <x:v>JuiceFS 1.3.0 / WinFsp 2.1.25156 / rclone 1.75.0-onemount</x:v>
      </x:c>
      <x:c r="K310" s="10" t="str">
        <x:v>原版全外部；无 FUSE 筛选或名称比较放宽</x:v>
      </x:c>
      <x:c r="L310" s="10" t="str">
        <x:v>63151da049f846e65fb361d1f314df65c2d468a7</x:v>
      </x:c>
      <x:c r="M310" s="10" t="str">
        <x:v>E09 / targets.juicefs.results</x:v>
      </x:c>
      <x:c r="N310" s="10" t="str">
        <x:v>    ASSERT(INVALID_HANDLE_VALUE != Handle) failed at stream-tests.c:381:stream_create_overwrite_dotest (err=c0000033:123)</x:v>
      </x:c>
    </x:row>
    <x:row r="311" ht="74" customHeight="1">
      <x:c r="A311" s="11" t="str">
        <x:v>STRICT-20261010-juicefs</x:v>
      </x:c>
      <x:c r="B311" s="11" t="str">
        <x:v>NATIVE-072</x:v>
      </x:c>
      <x:c r="C311" s="11" t="str">
        <x:v>stream_create_related_test</x:v>
      </x:c>
      <x:c r="D311" s="11" t="str">
        <x:v>winfsp-tests</x:v>
      </x:c>
      <x:c r="E311" s="11" t="str">
        <x:v>本地</x:v>
      </x:c>
      <x:c r="F311" s="11" t="str">
        <x:v>同步</x:v>
      </x:c>
      <x:c r="G311" s="20" t="d">
        <x:v>2026-10-10T00:00:00.000Z</x:v>
      </x:c>
      <x:c r="H311" s="11" t="str">
        <x:v>已失败</x:v>
      </x:c>
      <x:c r="I311" s="22" t="n">
        <x:v>0.238</x:v>
      </x:c>
      <x:c r="J311" s="11" t="str">
        <x:v>JuiceFS 1.3.0 / WinFsp 2.1.25156 / rclone 1.75.0-onemount</x:v>
      </x:c>
      <x:c r="K311" s="11" t="str">
        <x:v>原版全外部；无 FUSE 筛选或名称比较放宽</x:v>
      </x:c>
      <x:c r="L311" s="11" t="str">
        <x:v>63151da049f846e65fb361d1f314df65c2d468a7</x:v>
      </x:c>
      <x:c r="M311" s="11" t="str">
        <x:v>E09 / targets.juicefs.results</x:v>
      </x:c>
      <x:c r="N311" s="11" t="str">
        <x:v>    ASSERT(STATUS_SUCCESS == Result) failed at stream-tests.c:495:stream_create_related_dotest (err=0:0)</x:v>
      </x:c>
    </x:row>
    <x:row r="312" ht="74" customHeight="1">
      <x:c r="A312" s="10" t="str">
        <x:v>STRICT-20261010-juicefs</x:v>
      </x:c>
      <x:c r="B312" s="10" t="str">
        <x:v>NATIVE-073</x:v>
      </x:c>
      <x:c r="C312" s="10" t="str">
        <x:v>stream_create_sd_test</x:v>
      </x:c>
      <x:c r="D312" s="10" t="str">
        <x:v>winfsp-tests</x:v>
      </x:c>
      <x:c r="E312" s="10" t="str">
        <x:v>本地</x:v>
      </x:c>
      <x:c r="F312" s="10" t="str">
        <x:v>同步</x:v>
      </x:c>
      <x:c r="G312" s="19" t="d">
        <x:v>2026-10-10T00:00:00.000Z</x:v>
      </x:c>
      <x:c r="H312" s="10" t="str">
        <x:v>已失败</x:v>
      </x:c>
      <x:c r="I312" s="21" t="n">
        <x:v>0.226</x:v>
      </x:c>
      <x:c r="J312" s="10" t="str">
        <x:v>JuiceFS 1.3.0 / WinFsp 2.1.25156 / rclone 1.75.0-onemount</x:v>
      </x:c>
      <x:c r="K312" s="10" t="str">
        <x:v>原版全外部；无 FUSE 筛选或名称比较放宽</x:v>
      </x:c>
      <x:c r="L312" s="10" t="str">
        <x:v>63151da049f846e65fb361d1f314df65c2d468a7</x:v>
      </x:c>
      <x:c r="M312" s="10" t="str">
        <x:v>E09 / targets.juicefs.results</x:v>
      </x:c>
      <x:c r="N312" s="10" t="str">
        <x:v>    ASSERT(INVALID_HANDLE_VALUE != Handle) failed at stream-tests.c:553:stream_create_sd_dotest (err=c0000033:123)</x:v>
      </x:c>
    </x:row>
    <x:row r="313" ht="74" customHeight="1">
      <x:c r="A313" s="11" t="str">
        <x:v>STRICT-20261010-juicefs</x:v>
      </x:c>
      <x:c r="B313" s="11" t="str">
        <x:v>NATIVE-074</x:v>
      </x:c>
      <x:c r="C313" s="11" t="str">
        <x:v>stream_create_share_test</x:v>
      </x:c>
      <x:c r="D313" s="11" t="str">
        <x:v>winfsp-tests</x:v>
      </x:c>
      <x:c r="E313" s="11" t="str">
        <x:v>本地</x:v>
      </x:c>
      <x:c r="F313" s="11" t="str">
        <x:v>同步</x:v>
      </x:c>
      <x:c r="G313" s="20" t="d">
        <x:v>2026-10-10T00:00:00.000Z</x:v>
      </x:c>
      <x:c r="H313" s="11" t="str">
        <x:v>已失败</x:v>
      </x:c>
      <x:c r="I313" s="22" t="n">
        <x:v>0.233</x:v>
      </x:c>
      <x:c r="J313" s="11" t="str">
        <x:v>JuiceFS 1.3.0 / WinFsp 2.1.25156 / rclone 1.75.0-onemount</x:v>
      </x:c>
      <x:c r="K313" s="11" t="str">
        <x:v>原版全外部；无 FUSE 筛选或名称比较放宽</x:v>
      </x:c>
      <x:c r="L313" s="11" t="str">
        <x:v>63151da049f846e65fb361d1f314df65c2d468a7</x:v>
      </x:c>
      <x:c r="M313" s="11" t="str">
        <x:v>E09 / targets.juicefs.results</x:v>
      </x:c>
      <x:c r="N313" s="11" t="str">
        <x:v>    ASSERT(INVALID_HANDLE_VALUE != Handle1) failed at stream-tests.c:627:stream_create_share_dotest (err=c0000033:123)</x:v>
      </x:c>
    </x:row>
    <x:row r="314" ht="74" customHeight="1">
      <x:c r="A314" s="10" t="str">
        <x:v>STRICT-20261010-juicefs</x:v>
      </x:c>
      <x:c r="B314" s="10" t="str">
        <x:v>NATIVE-075</x:v>
      </x:c>
      <x:c r="C314" s="10" t="str">
        <x:v>stream_getfileinfo_test</x:v>
      </x:c>
      <x:c r="D314" s="10" t="str">
        <x:v>winfsp-tests</x:v>
      </x:c>
      <x:c r="E314" s="10" t="str">
        <x:v>本地</x:v>
      </x:c>
      <x:c r="F314" s="10" t="str">
        <x:v>同步</x:v>
      </x:c>
      <x:c r="G314" s="19" t="d">
        <x:v>2026-10-10T00:00:00.000Z</x:v>
      </x:c>
      <x:c r="H314" s="10" t="str">
        <x:v>已失败</x:v>
      </x:c>
      <x:c r="I314" s="21" t="n">
        <x:v>0.23</x:v>
      </x:c>
      <x:c r="J314" s="10" t="str">
        <x:v>JuiceFS 1.3.0 / WinFsp 2.1.25156 / rclone 1.75.0-onemount</x:v>
      </x:c>
      <x:c r="K314" s="10" t="str">
        <x:v>原版全外部；无 FUSE 筛选或名称比较放宽</x:v>
      </x:c>
      <x:c r="L314" s="10" t="str">
        <x:v>63151da049f846e65fb361d1f314df65c2d468a7</x:v>
      </x:c>
      <x:c r="M314" s="10" t="str">
        <x:v>E09 / targets.juicefs.results</x:v>
      </x:c>
      <x:c r="N314" s="10" t="str">
        <x:v>    ASSERT(INVALID_HANDLE_VALUE != Handle) failed at stream-tests.c:957:stream_getfileinfo_dotest (err=c0000033:123)</x:v>
      </x:c>
    </x:row>
    <x:row r="315" ht="74" customHeight="1">
      <x:c r="A315" s="11" t="str">
        <x:v>STRICT-20261010-juicefs</x:v>
      </x:c>
      <x:c r="B315" s="11" t="str">
        <x:v>NATIVE-076</x:v>
      </x:c>
      <x:c r="C315" s="11" t="str">
        <x:v>stream_setfileinfo_test</x:v>
      </x:c>
      <x:c r="D315" s="11" t="str">
        <x:v>winfsp-tests</x:v>
      </x:c>
      <x:c r="E315" s="11" t="str">
        <x:v>本地</x:v>
      </x:c>
      <x:c r="F315" s="11" t="str">
        <x:v>同步</x:v>
      </x:c>
      <x:c r="G315" s="20" t="d">
        <x:v>2026-10-10T00:00:00.000Z</x:v>
      </x:c>
      <x:c r="H315" s="11" t="str">
        <x:v>已失败</x:v>
      </x:c>
      <x:c r="I315" s="22" t="n">
        <x:v>0.23</x:v>
      </x:c>
      <x:c r="J315" s="11" t="str">
        <x:v>JuiceFS 1.3.0 / WinFsp 2.1.25156 / rclone 1.75.0-onemount</x:v>
      </x:c>
      <x:c r="K315" s="11" t="str">
        <x:v>原版全外部；无 FUSE 筛选或名称比较放宽</x:v>
      </x:c>
      <x:c r="L315" s="11" t="str">
        <x:v>63151da049f846e65fb361d1f314df65c2d468a7</x:v>
      </x:c>
      <x:c r="M315" s="11" t="str">
        <x:v>E09 / targets.juicefs.results</x:v>
      </x:c>
      <x:c r="N315" s="11" t="str">
        <x:v>    ASSERT(INVALID_HANDLE_VALUE != StreamHandle) failed at stream-tests.c:1188:stream_setfileinfo_dotest (err=c0000033:123)</x:v>
      </x:c>
    </x:row>
    <x:row r="316" ht="74" customHeight="1">
      <x:c r="A316" s="10" t="str">
        <x:v>STRICT-20261010-juicefs</x:v>
      </x:c>
      <x:c r="B316" s="10" t="str">
        <x:v>NATIVE-077</x:v>
      </x:c>
      <x:c r="C316" s="10" t="str">
        <x:v>stream_delete_test</x:v>
      </x:c>
      <x:c r="D316" s="10" t="str">
        <x:v>winfsp-tests</x:v>
      </x:c>
      <x:c r="E316" s="10" t="str">
        <x:v>本地</x:v>
      </x:c>
      <x:c r="F316" s="10" t="str">
        <x:v>同步</x:v>
      </x:c>
      <x:c r="G316" s="19" t="d">
        <x:v>2026-10-10T00:00:00.000Z</x:v>
      </x:c>
      <x:c r="H316" s="10" t="str">
        <x:v>已失败</x:v>
      </x:c>
      <x:c r="I316" s="21" t="n">
        <x:v>0.237</x:v>
      </x:c>
      <x:c r="J316" s="10" t="str">
        <x:v>JuiceFS 1.3.0 / WinFsp 2.1.25156 / rclone 1.75.0-onemount</x:v>
      </x:c>
      <x:c r="K316" s="10" t="str">
        <x:v>原版全外部；无 FUSE 筛选或名称比较放宽</x:v>
      </x:c>
      <x:c r="L316" s="10" t="str">
        <x:v>63151da049f846e65fb361d1f314df65c2d468a7</x:v>
      </x:c>
      <x:c r="M316" s="10" t="str">
        <x:v>E09 / targets.juicefs.results</x:v>
      </x:c>
      <x:c r="N316" s="10" t="str">
        <x:v>    ASSERT(INVALID_HANDLE_VALUE != Handle) failed at stream-tests.c:1329:stream_delete_dotest (err=c0000033:123)</x:v>
      </x:c>
    </x:row>
    <x:row r="317" ht="74" customHeight="1">
      <x:c r="A317" s="11" t="str">
        <x:v>STRICT-20261010-juicefs</x:v>
      </x:c>
      <x:c r="B317" s="11" t="str">
        <x:v>NATIVE-078</x:v>
      </x:c>
      <x:c r="C317" s="11" t="str">
        <x:v>stream_delete_pending_test</x:v>
      </x:c>
      <x:c r="D317" s="11" t="str">
        <x:v>winfsp-tests</x:v>
      </x:c>
      <x:c r="E317" s="11" t="str">
        <x:v>本地</x:v>
      </x:c>
      <x:c r="F317" s="11" t="str">
        <x:v>同步</x:v>
      </x:c>
      <x:c r="G317" s="20" t="d">
        <x:v>2026-10-10T00:00:00.000Z</x:v>
      </x:c>
      <x:c r="H317" s="11" t="str">
        <x:v>已失败</x:v>
      </x:c>
      <x:c r="I317" s="22" t="n">
        <x:v>0.235</x:v>
      </x:c>
      <x:c r="J317" s="11" t="str">
        <x:v>JuiceFS 1.3.0 / WinFsp 2.1.25156 / rclone 1.75.0-onemount</x:v>
      </x:c>
      <x:c r="K317" s="11" t="str">
        <x:v>原版全外部；无 FUSE 筛选或名称比较放宽</x:v>
      </x:c>
      <x:c r="L317" s="11" t="str">
        <x:v>63151da049f846e65fb361d1f314df65c2d468a7</x:v>
      </x:c>
      <x:c r="M317" s="11" t="str">
        <x:v>E09 / targets.juicefs.results</x:v>
      </x:c>
      <x:c r="N317" s="11" t="str">
        <x:v>    ASSERT(INVALID_HANDLE_VALUE != Handle) failed at stream-tests.c:1413:stream_delete_pending_dotest (err=c0000033:123)</x:v>
      </x:c>
    </x:row>
    <x:row r="318" ht="74" customHeight="1">
      <x:c r="A318" s="10" t="str">
        <x:v>STRICT-20261010-juicefs</x:v>
      </x:c>
      <x:c r="B318" s="10" t="str">
        <x:v>NATIVE-079</x:v>
      </x:c>
      <x:c r="C318" s="10" t="str">
        <x:v>stream_rename_flipflop_test</x:v>
      </x:c>
      <x:c r="D318" s="10" t="str">
        <x:v>winfsp-tests</x:v>
      </x:c>
      <x:c r="E318" s="10" t="str">
        <x:v>本地</x:v>
      </x:c>
      <x:c r="F318" s="10" t="str">
        <x:v>同步</x:v>
      </x:c>
      <x:c r="G318" s="19" t="d">
        <x:v>2026-10-10T00:00:00.000Z</x:v>
      </x:c>
      <x:c r="H318" s="10" t="str">
        <x:v>已失败</x:v>
      </x:c>
      <x:c r="I318" s="21" t="n">
        <x:v>0.238</x:v>
      </x:c>
      <x:c r="J318" s="10" t="str">
        <x:v>JuiceFS 1.3.0 / WinFsp 2.1.25156 / rclone 1.75.0-onemount</x:v>
      </x:c>
      <x:c r="K318" s="10" t="str">
        <x:v>原版全外部；无 FUSE 筛选或名称比较放宽</x:v>
      </x:c>
      <x:c r="L318" s="10" t="str">
        <x:v>63151da049f846e65fb361d1f314df65c2d468a7</x:v>
      </x:c>
      <x:c r="M318" s="10" t="str">
        <x:v>E09 / targets.juicefs.results</x:v>
      </x:c>
      <x:c r="N318" s="10" t="str">
        <x:v>    ASSERT(INVALID_HANDLE_VALUE != Handle) failed at stream-tests.c:1523:stream_rename_flipflop_dotest (err=c0000033:123)</x:v>
      </x:c>
    </x:row>
    <x:row r="319" ht="74" customHeight="1">
      <x:c r="A319" s="11" t="str">
        <x:v>STRICT-20261010-juicefs</x:v>
      </x:c>
      <x:c r="B319" s="11" t="str">
        <x:v>NATIVE-080</x:v>
      </x:c>
      <x:c r="C319" s="11" t="str">
        <x:v>stream_getsecurity_test</x:v>
      </x:c>
      <x:c r="D319" s="11" t="str">
        <x:v>winfsp-tests</x:v>
      </x:c>
      <x:c r="E319" s="11" t="str">
        <x:v>本地</x:v>
      </x:c>
      <x:c r="F319" s="11" t="str">
        <x:v>同步</x:v>
      </x:c>
      <x:c r="G319" s="20" t="d">
        <x:v>2026-10-10T00:00:00.000Z</x:v>
      </x:c>
      <x:c r="H319" s="11" t="str">
        <x:v>已失败</x:v>
      </x:c>
      <x:c r="I319" s="22" t="n">
        <x:v>0.23</x:v>
      </x:c>
      <x:c r="J319" s="11" t="str">
        <x:v>JuiceFS 1.3.0 / WinFsp 2.1.25156 / rclone 1.75.0-onemount</x:v>
      </x:c>
      <x:c r="K319" s="11" t="str">
        <x:v>原版全外部；无 FUSE 筛选或名称比较放宽</x:v>
      </x:c>
      <x:c r="L319" s="11" t="str">
        <x:v>63151da049f846e65fb361d1f314df65c2d468a7</x:v>
      </x:c>
      <x:c r="M319" s="11" t="str">
        <x:v>E09 / targets.juicefs.results</x:v>
      </x:c>
      <x:c r="N319" s="11" t="str">
        <x:v>    ASSERT(INVALID_HANDLE_VALUE != Handle) failed at stream-tests.c:1659:stream_getsecurity_dotest (err=c0000033:123)</x:v>
      </x:c>
    </x:row>
    <x:row r="320" ht="74" customHeight="1">
      <x:c r="A320" s="10" t="str">
        <x:v>STRICT-20261010-juicefs</x:v>
      </x:c>
      <x:c r="B320" s="10" t="str">
        <x:v>NATIVE-081</x:v>
      </x:c>
      <x:c r="C320" s="10" t="str">
        <x:v>stream_setsecurity_test</x:v>
      </x:c>
      <x:c r="D320" s="10" t="str">
        <x:v>winfsp-tests</x:v>
      </x:c>
      <x:c r="E320" s="10" t="str">
        <x:v>本地</x:v>
      </x:c>
      <x:c r="F320" s="10" t="str">
        <x:v>同步</x:v>
      </x:c>
      <x:c r="G320" s="19" t="d">
        <x:v>2026-10-10T00:00:00.000Z</x:v>
      </x:c>
      <x:c r="H320" s="10" t="str">
        <x:v>已失败</x:v>
      </x:c>
      <x:c r="I320" s="21" t="n">
        <x:v>0.232</x:v>
      </x:c>
      <x:c r="J320" s="10" t="str">
        <x:v>JuiceFS 1.3.0 / WinFsp 2.1.25156 / rclone 1.75.0-onemount</x:v>
      </x:c>
      <x:c r="K320" s="10" t="str">
        <x:v>原版全外部；无 FUSE 筛选或名称比较放宽</x:v>
      </x:c>
      <x:c r="L320" s="10" t="str">
        <x:v>63151da049f846e65fb361d1f314df65c2d468a7</x:v>
      </x:c>
      <x:c r="M320" s="10" t="str">
        <x:v>E09 / targets.juicefs.results</x:v>
      </x:c>
      <x:c r="N320" s="10" t="str">
        <x:v>    ASSERT(INVALID_HANDLE_VALUE != StreamHandle) failed at stream-tests.c:1830:stream_setsecurity_dotest (err=c0000033:123)</x:v>
      </x:c>
    </x:row>
    <x:row r="321" ht="74" customHeight="1">
      <x:c r="A321" s="11" t="str">
        <x:v>STRICT-20261010-juicefs</x:v>
      </x:c>
      <x:c r="B321" s="11" t="str">
        <x:v>NATIVE-082</x:v>
      </x:c>
      <x:c r="C321" s="11" t="str">
        <x:v>stream_getstreaminfo_test</x:v>
      </x:c>
      <x:c r="D321" s="11" t="str">
        <x:v>winfsp-tests</x:v>
      </x:c>
      <x:c r="E321" s="11" t="str">
        <x:v>本地</x:v>
      </x:c>
      <x:c r="F321" s="11" t="str">
        <x:v>同步</x:v>
      </x:c>
      <x:c r="G321" s="20" t="d">
        <x:v>2026-10-10T00:00:00.000Z</x:v>
      </x:c>
      <x:c r="H321" s="11" t="str">
        <x:v>已失败</x:v>
      </x:c>
      <x:c r="I321" s="22" t="n">
        <x:v>0.262</x:v>
      </x:c>
      <x:c r="J321" s="11" t="str">
        <x:v>JuiceFS 1.3.0 / WinFsp 2.1.25156 / rclone 1.75.0-onemount</x:v>
      </x:c>
      <x:c r="K321" s="11" t="str">
        <x:v>原版全外部；无 FUSE 筛选或名称比较放宽</x:v>
      </x:c>
      <x:c r="L321" s="11" t="str">
        <x:v>63151da049f846e65fb361d1f314df65c2d468a7</x:v>
      </x:c>
      <x:c r="M321" s="11" t="str">
        <x:v>E09 / targets.juicefs.results</x:v>
      </x:c>
      <x:c r="N321" s="11" t="str">
        <x:v>    ASSERT(INVALID_HANDLE_VALUE != Handle) failed at stream-tests.c:1966:stream_getstreaminfo_dotest (err=c0000033:123)</x:v>
      </x:c>
    </x:row>
    <x:row r="322" ht="74" customHeight="1">
      <x:c r="A322" s="10" t="str">
        <x:v>STRICT-20261010-juicefs</x:v>
      </x:c>
      <x:c r="B322" s="10" t="str">
        <x:v>NATIVE-083</x:v>
      </x:c>
      <x:c r="C322" s="10" t="str">
        <x:v>stream_getstreaminfo_expire_cache_test</x:v>
      </x:c>
      <x:c r="D322" s="10" t="str">
        <x:v>winfsp-tests</x:v>
      </x:c>
      <x:c r="E322" s="10" t="str">
        <x:v>本地</x:v>
      </x:c>
      <x:c r="F322" s="10" t="str">
        <x:v>同步</x:v>
      </x:c>
      <x:c r="G322" s="19" t="d">
        <x:v>2026-10-10T00:00:00.000Z</x:v>
      </x:c>
      <x:c r="H322" s="10" t="str">
        <x:v>已通过</x:v>
      </x:c>
      <x:c r="I322" s="21" t="n">
        <x:v>0.18</x:v>
      </x:c>
      <x:c r="J322" s="10" t="str">
        <x:v>JuiceFS 1.3.0 / WinFsp 2.1.25156 / rclone 1.75.0-onemount</x:v>
      </x:c>
      <x:c r="K322" s="10" t="str">
        <x:v>原版全外部；无 FUSE 筛选或名称比较放宽</x:v>
      </x:c>
      <x:c r="L322" s="10" t="str">
        <x:v>63151da049f846e65fb361d1f314df65c2d468a7</x:v>
      </x:c>
      <x:c r="M322" s="10" t="str">
        <x:v>E09 / targets.juicefs.results</x:v>
      </x:c>
      <x:c r="N322" s="10" t="str">
        <x:v>入口结果见原始 JSON；通过不表示任意规模均正确</x:v>
      </x:c>
    </x:row>
    <x:row r="323" ht="74" customHeight="1">
      <x:c r="A323" s="11" t="str">
        <x:v>STRICT-20261010-juicefs</x:v>
      </x:c>
      <x:c r="B323" s="11" t="str">
        <x:v>NATIVE-084</x:v>
      </x:c>
      <x:c r="C323" s="11" t="str">
        <x:v>stream_dirnotify_test</x:v>
      </x:c>
      <x:c r="D323" s="11" t="str">
        <x:v>winfsp-tests</x:v>
      </x:c>
      <x:c r="E323" s="11" t="str">
        <x:v>本地</x:v>
      </x:c>
      <x:c r="F323" s="11" t="str">
        <x:v>同步</x:v>
      </x:c>
      <x:c r="G323" s="20" t="d">
        <x:v>2026-10-10T00:00:00.000Z</x:v>
      </x:c>
      <x:c r="H323" s="11" t="str">
        <x:v>已超时</x:v>
      </x:c>
      <x:c r="I323" s="22" t="n">
        <x:v>90.089</x:v>
      </x:c>
      <x:c r="J323" s="11" t="str">
        <x:v>JuiceFS 1.3.0 / WinFsp 2.1.25156 / rclone 1.75.0-onemount</x:v>
      </x:c>
      <x:c r="K323" s="11" t="str">
        <x:v>原版全外部；无 FUSE 筛选或名称比较放宽</x:v>
      </x:c>
      <x:c r="L323" s="11" t="str">
        <x:v>63151da049f846e65fb361d1f314df65c2d468a7</x:v>
      </x:c>
      <x:c r="M323" s="11" t="str">
        <x:v>E09 / targets.juicefs.results</x:v>
      </x:c>
      <x:c r="N323" s="11" t="str">
        <x:v>入口结果见原始 JSON；通过不表示任意规模均正确</x:v>
      </x:c>
    </x:row>
    <x:row r="324" ht="74" customHeight="1">
      <x:c r="A324" s="10" t="str">
        <x:v>STRICT-20261010-juicefs</x:v>
      </x:c>
      <x:c r="B324" s="10" t="str">
        <x:v>NATIVE-085</x:v>
      </x:c>
      <x:c r="C324" s="10" t="str">
        <x:v>oplock_level1_test</x:v>
      </x:c>
      <x:c r="D324" s="10" t="str">
        <x:v>winfsp-tests</x:v>
      </x:c>
      <x:c r="E324" s="10" t="str">
        <x:v>本地</x:v>
      </x:c>
      <x:c r="F324" s="10" t="str">
        <x:v>同步</x:v>
      </x:c>
      <x:c r="G324" s="19" t="d">
        <x:v>2026-10-10T00:00:00.000Z</x:v>
      </x:c>
      <x:c r="H324" s="10" t="str">
        <x:v>已通过</x:v>
      </x:c>
      <x:c r="I324" s="21" t="n">
        <x:v>1.423</x:v>
      </x:c>
      <x:c r="J324" s="10" t="str">
        <x:v>JuiceFS 1.3.0 / WinFsp 2.1.25156 / rclone 1.75.0-onemount</x:v>
      </x:c>
      <x:c r="K324" s="10" t="str">
        <x:v>原版全外部；无 FUSE 筛选或名称比较放宽</x:v>
      </x:c>
      <x:c r="L324" s="10" t="str">
        <x:v>63151da049f846e65fb361d1f314df65c2d468a7</x:v>
      </x:c>
      <x:c r="M324" s="10" t="str">
        <x:v>E09 / targets.juicefs.results</x:v>
      </x:c>
      <x:c r="N324" s="10" t="str">
        <x:v>入口结果见原始 JSON；通过不表示任意规模均正确</x:v>
      </x:c>
    </x:row>
    <x:row r="325" ht="74" customHeight="1">
      <x:c r="A325" s="11" t="str">
        <x:v>STRICT-20261010-juicefs</x:v>
      </x:c>
      <x:c r="B325" s="11" t="str">
        <x:v>NATIVE-086</x:v>
      </x:c>
      <x:c r="C325" s="11" t="str">
        <x:v>oplock_level2_test</x:v>
      </x:c>
      <x:c r="D325" s="11" t="str">
        <x:v>winfsp-tests</x:v>
      </x:c>
      <x:c r="E325" s="11" t="str">
        <x:v>本地</x:v>
      </x:c>
      <x:c r="F325" s="11" t="str">
        <x:v>同步</x:v>
      </x:c>
      <x:c r="G325" s="20" t="d">
        <x:v>2026-10-10T00:00:00.000Z</x:v>
      </x:c>
      <x:c r="H325" s="11" t="str">
        <x:v>已通过</x:v>
      </x:c>
      <x:c r="I325" s="22" t="n">
        <x:v>2.643</x:v>
      </x:c>
      <x:c r="J325" s="11" t="str">
        <x:v>JuiceFS 1.3.0 / WinFsp 2.1.25156 / rclone 1.75.0-onemount</x:v>
      </x:c>
      <x:c r="K325" s="11" t="str">
        <x:v>原版全外部；无 FUSE 筛选或名称比较放宽</x:v>
      </x:c>
      <x:c r="L325" s="11" t="str">
        <x:v>63151da049f846e65fb361d1f314df65c2d468a7</x:v>
      </x:c>
      <x:c r="M325" s="11" t="str">
        <x:v>E09 / targets.juicefs.results</x:v>
      </x:c>
      <x:c r="N325" s="11" t="str">
        <x:v>入口结果见原始 JSON；通过不表示任意规模均正确</x:v>
      </x:c>
    </x:row>
    <x:row r="326" ht="74" customHeight="1">
      <x:c r="A326" s="10" t="str">
        <x:v>STRICT-20261010-juicefs</x:v>
      </x:c>
      <x:c r="B326" s="10" t="str">
        <x:v>NATIVE-087</x:v>
      </x:c>
      <x:c r="C326" s="10" t="str">
        <x:v>oplock_batch_test</x:v>
      </x:c>
      <x:c r="D326" s="10" t="str">
        <x:v>winfsp-tests</x:v>
      </x:c>
      <x:c r="E326" s="10" t="str">
        <x:v>本地</x:v>
      </x:c>
      <x:c r="F326" s="10" t="str">
        <x:v>同步</x:v>
      </x:c>
      <x:c r="G326" s="19" t="d">
        <x:v>2026-10-10T00:00:00.000Z</x:v>
      </x:c>
      <x:c r="H326" s="10" t="str">
        <x:v>已通过</x:v>
      </x:c>
      <x:c r="I326" s="21" t="n">
        <x:v>1.426</x:v>
      </x:c>
      <x:c r="J326" s="10" t="str">
        <x:v>JuiceFS 1.3.0 / WinFsp 2.1.25156 / rclone 1.75.0-onemount</x:v>
      </x:c>
      <x:c r="K326" s="10" t="str">
        <x:v>原版全外部；无 FUSE 筛选或名称比较放宽</x:v>
      </x:c>
      <x:c r="L326" s="10" t="str">
        <x:v>63151da049f846e65fb361d1f314df65c2d468a7</x:v>
      </x:c>
      <x:c r="M326" s="10" t="str">
        <x:v>E09 / targets.juicefs.results</x:v>
      </x:c>
      <x:c r="N326" s="10" t="str">
        <x:v>入口结果见原始 JSON；通过不表示任意规模均正确</x:v>
      </x:c>
    </x:row>
    <x:row r="327" ht="74" customHeight="1">
      <x:c r="A327" s="11" t="str">
        <x:v>STRICT-20261010-juicefs</x:v>
      </x:c>
      <x:c r="B327" s="11" t="str">
        <x:v>NATIVE-088</x:v>
      </x:c>
      <x:c r="C327" s="11" t="str">
        <x:v>oplock_filter_test</x:v>
      </x:c>
      <x:c r="D327" s="11" t="str">
        <x:v>winfsp-tests</x:v>
      </x:c>
      <x:c r="E327" s="11" t="str">
        <x:v>本地</x:v>
      </x:c>
      <x:c r="F327" s="11" t="str">
        <x:v>同步</x:v>
      </x:c>
      <x:c r="G327" s="20" t="d">
        <x:v>2026-10-10T00:00:00.000Z</x:v>
      </x:c>
      <x:c r="H327" s="11" t="str">
        <x:v>已通过</x:v>
      </x:c>
      <x:c r="I327" s="22" t="n">
        <x:v>1.431</x:v>
      </x:c>
      <x:c r="J327" s="11" t="str">
        <x:v>JuiceFS 1.3.0 / WinFsp 2.1.25156 / rclone 1.75.0-onemount</x:v>
      </x:c>
      <x:c r="K327" s="11" t="str">
        <x:v>原版全外部；无 FUSE 筛选或名称比较放宽</x:v>
      </x:c>
      <x:c r="L327" s="11" t="str">
        <x:v>63151da049f846e65fb361d1f314df65c2d468a7</x:v>
      </x:c>
      <x:c r="M327" s="11" t="str">
        <x:v>E09 / targets.juicefs.results</x:v>
      </x:c>
      <x:c r="N327" s="11" t="str">
        <x:v>入口结果见原始 JSON；通过不表示任意规模均正确</x:v>
      </x:c>
    </x:row>
    <x:row r="328" ht="74" customHeight="1">
      <x:c r="A328" s="10" t="str">
        <x:v>STRICT-20261010-juicefs</x:v>
      </x:c>
      <x:c r="B328" s="10" t="str">
        <x:v>NATIVE-089</x:v>
      </x:c>
      <x:c r="C328" s="10" t="str">
        <x:v>oplock_rwh_test</x:v>
      </x:c>
      <x:c r="D328" s="10" t="str">
        <x:v>winfsp-tests</x:v>
      </x:c>
      <x:c r="E328" s="10" t="str">
        <x:v>本地</x:v>
      </x:c>
      <x:c r="F328" s="10" t="str">
        <x:v>同步</x:v>
      </x:c>
      <x:c r="G328" s="19" t="d">
        <x:v>2026-10-10T00:00:00.000Z</x:v>
      </x:c>
      <x:c r="H328" s="10" t="str">
        <x:v>已通过</x:v>
      </x:c>
      <x:c r="I328" s="21" t="n">
        <x:v>1.495</x:v>
      </x:c>
      <x:c r="J328" s="10" t="str">
        <x:v>JuiceFS 1.3.0 / WinFsp 2.1.25156 / rclone 1.75.0-onemount</x:v>
      </x:c>
      <x:c r="K328" s="10" t="str">
        <x:v>原版全外部；无 FUSE 筛选或名称比较放宽</x:v>
      </x:c>
      <x:c r="L328" s="10" t="str">
        <x:v>63151da049f846e65fb361d1f314df65c2d468a7</x:v>
      </x:c>
      <x:c r="M328" s="10" t="str">
        <x:v>E09 / targets.juicefs.results</x:v>
      </x:c>
      <x:c r="N328" s="10" t="str">
        <x:v>入口结果见原始 JSON；通过不表示任意规模均正确</x:v>
      </x:c>
    </x:row>
    <x:row r="329" ht="74" customHeight="1">
      <x:c r="A329" s="11" t="str">
        <x:v>STRICT-20261010-juicefs</x:v>
      </x:c>
      <x:c r="B329" s="11" t="str">
        <x:v>NATIVE-090</x:v>
      </x:c>
      <x:c r="C329" s="11" t="str">
        <x:v>oplock_rw_test</x:v>
      </x:c>
      <x:c r="D329" s="11" t="str">
        <x:v>winfsp-tests</x:v>
      </x:c>
      <x:c r="E329" s="11" t="str">
        <x:v>本地</x:v>
      </x:c>
      <x:c r="F329" s="11" t="str">
        <x:v>同步</x:v>
      </x:c>
      <x:c r="G329" s="20" t="d">
        <x:v>2026-10-10T00:00:00.000Z</x:v>
      </x:c>
      <x:c r="H329" s="11" t="str">
        <x:v>已通过</x:v>
      </x:c>
      <x:c r="I329" s="22" t="n">
        <x:v>1.414</x:v>
      </x:c>
      <x:c r="J329" s="11" t="str">
        <x:v>JuiceFS 1.3.0 / WinFsp 2.1.25156 / rclone 1.75.0-onemount</x:v>
      </x:c>
      <x:c r="K329" s="11" t="str">
        <x:v>原版全外部；无 FUSE 筛选或名称比较放宽</x:v>
      </x:c>
      <x:c r="L329" s="11" t="str">
        <x:v>63151da049f846e65fb361d1f314df65c2d468a7</x:v>
      </x:c>
      <x:c r="M329" s="11" t="str">
        <x:v>E09 / targets.juicefs.results</x:v>
      </x:c>
      <x:c r="N329" s="11" t="str">
        <x:v>入口结果见原始 JSON；通过不表示任意规模均正确</x:v>
      </x:c>
    </x:row>
    <x:row r="330" ht="74" customHeight="1">
      <x:c r="A330" s="10" t="str">
        <x:v>STRICT-20261010-juicefs</x:v>
      </x:c>
      <x:c r="B330" s="10" t="str">
        <x:v>NATIVE-091</x:v>
      </x:c>
      <x:c r="C330" s="10" t="str">
        <x:v>oplock_rh_test</x:v>
      </x:c>
      <x:c r="D330" s="10" t="str">
        <x:v>winfsp-tests</x:v>
      </x:c>
      <x:c r="E330" s="10" t="str">
        <x:v>本地</x:v>
      </x:c>
      <x:c r="F330" s="10" t="str">
        <x:v>同步</x:v>
      </x:c>
      <x:c r="G330" s="19" t="d">
        <x:v>2026-10-10T00:00:00.000Z</x:v>
      </x:c>
      <x:c r="H330" s="10" t="str">
        <x:v>已通过</x:v>
      </x:c>
      <x:c r="I330" s="21" t="n">
        <x:v>2.622</x:v>
      </x:c>
      <x:c r="J330" s="10" t="str">
        <x:v>JuiceFS 1.3.0 / WinFsp 2.1.25156 / rclone 1.75.0-onemount</x:v>
      </x:c>
      <x:c r="K330" s="10" t="str">
        <x:v>原版全外部；无 FUSE 筛选或名称比较放宽</x:v>
      </x:c>
      <x:c r="L330" s="10" t="str">
        <x:v>63151da049f846e65fb361d1f314df65c2d468a7</x:v>
      </x:c>
      <x:c r="M330" s="10" t="str">
        <x:v>E09 / targets.juicefs.results</x:v>
      </x:c>
      <x:c r="N330" s="10" t="str">
        <x:v>入口结果见原始 JSON；通过不表示任意规模均正确</x:v>
      </x:c>
    </x:row>
    <x:row r="331" ht="74" customHeight="1">
      <x:c r="A331" s="11" t="str">
        <x:v>STRICT-20261010-juicefs</x:v>
      </x:c>
      <x:c r="B331" s="11" t="str">
        <x:v>NATIVE-092</x:v>
      </x:c>
      <x:c r="C331" s="11" t="str">
        <x:v>oplock_r_test</x:v>
      </x:c>
      <x:c r="D331" s="11" t="str">
        <x:v>winfsp-tests</x:v>
      </x:c>
      <x:c r="E331" s="11" t="str">
        <x:v>本地</x:v>
      </x:c>
      <x:c r="F331" s="11" t="str">
        <x:v>同步</x:v>
      </x:c>
      <x:c r="G331" s="20" t="d">
        <x:v>2026-10-10T00:00:00.000Z</x:v>
      </x:c>
      <x:c r="H331" s="11" t="str">
        <x:v>已通过</x:v>
      </x:c>
      <x:c r="I331" s="22" t="n">
        <x:v>2.642</x:v>
      </x:c>
      <x:c r="J331" s="11" t="str">
        <x:v>JuiceFS 1.3.0 / WinFsp 2.1.25156 / rclone 1.75.0-onemount</x:v>
      </x:c>
      <x:c r="K331" s="11" t="str">
        <x:v>原版全外部；无 FUSE 筛选或名称比较放宽</x:v>
      </x:c>
      <x:c r="L331" s="11" t="str">
        <x:v>63151da049f846e65fb361d1f314df65c2d468a7</x:v>
      </x:c>
      <x:c r="M331" s="11" t="str">
        <x:v>E09 / targets.juicefs.results</x:v>
      </x:c>
      <x:c r="N331" s="11" t="str">
        <x:v>入口结果见原始 JSON；通过不表示任意规模均正确</x:v>
      </x:c>
    </x:row>
    <x:row r="332" ht="74" customHeight="1">
      <x:c r="A332" s="10" t="str">
        <x:v>STRICT-20261010-juicefs</x:v>
      </x:c>
      <x:c r="B332" s="10" t="str">
        <x:v>NATIVE-093</x:v>
      </x:c>
      <x:c r="C332" s="10" t="str">
        <x:v>oplock_not_granted_test</x:v>
      </x:c>
      <x:c r="D332" s="10" t="str">
        <x:v>winfsp-tests</x:v>
      </x:c>
      <x:c r="E332" s="10" t="str">
        <x:v>本地</x:v>
      </x:c>
      <x:c r="F332" s="10" t="str">
        <x:v>同步</x:v>
      </x:c>
      <x:c r="G332" s="19" t="d">
        <x:v>2026-10-10T00:00:00.000Z</x:v>
      </x:c>
      <x:c r="H332" s="10" t="str">
        <x:v>已通过</x:v>
      </x:c>
      <x:c r="I332" s="21" t="n">
        <x:v>0.176</x:v>
      </x:c>
      <x:c r="J332" s="10" t="str">
        <x:v>JuiceFS 1.3.0 / WinFsp 2.1.25156 / rclone 1.75.0-onemount</x:v>
      </x:c>
      <x:c r="K332" s="10" t="str">
        <x:v>原版全外部；无 FUSE 筛选或名称比较放宽</x:v>
      </x:c>
      <x:c r="L332" s="10" t="str">
        <x:v>63151da049f846e65fb361d1f314df65c2d468a7</x:v>
      </x:c>
      <x:c r="M332" s="10" t="str">
        <x:v>E09 / targets.juicefs.results</x:v>
      </x:c>
      <x:c r="N332" s="10" t="str">
        <x:v>入口结果见原始 JSON；通过不表示任意规模均正确</x:v>
      </x:c>
    </x:row>
    <x:row r="333" ht="74" customHeight="1">
      <x:c r="A333" s="11" t="str">
        <x:v>STRICT-20261010-juicefs</x:v>
      </x:c>
      <x:c r="B333" s="11" t="str">
        <x:v>NATIVE-094</x:v>
      </x:c>
      <x:c r="C333" s="11" t="str">
        <x:v>wsl_stat_test</x:v>
      </x:c>
      <x:c r="D333" s="11" t="str">
        <x:v>winfsp-tests</x:v>
      </x:c>
      <x:c r="E333" s="11" t="str">
        <x:v>本地</x:v>
      </x:c>
      <x:c r="F333" s="11" t="str">
        <x:v>同步</x:v>
      </x:c>
      <x:c r="G333" s="20" t="d">
        <x:v>2026-10-10T00:00:00.000Z</x:v>
      </x:c>
      <x:c r="H333" s="11" t="str">
        <x:v>已失败</x:v>
      </x:c>
      <x:c r="I333" s="22" t="n">
        <x:v>0.229</x:v>
      </x:c>
      <x:c r="J333" s="11" t="str">
        <x:v>JuiceFS 1.3.0 / WinFsp 2.1.25156 / rclone 1.75.0-onemount</x:v>
      </x:c>
      <x:c r="K333" s="11" t="str">
        <x:v>原版全外部；无 FUSE 筛选或名称比较放宽</x:v>
      </x:c>
      <x:c r="L333" s="11" t="str">
        <x:v>63151da049f846e65fb361d1f314df65c2d468a7</x:v>
      </x:c>
      <x:c r="M333" s="11" t="str">
        <x:v>E09 / targets.juicefs.results</x:v>
      </x:c>
      <x:c r="N333" s="11" t="str">
        <x:v>    ASSERT(STATUS_INVALID_INFO_CLASS == Result || STATUS_NOT_IMPLEMENTED == Result) failed at wsl-test.c:161:wsl_stat_dotest (err=0:0)</x:v>
      </x:c>
    </x:row>
    <x:row r="334" ht="218" customHeight="1">
      <x:c r="A334" s="10" t="str">
        <x:v>STRICT-20261010-juicefs</x:v>
      </x:c>
      <x:c r="B334" s="10" t="str">
        <x:v>NATIVE-095</x:v>
      </x:c>
      <x:c r="C334" s="10" t="str">
        <x:v>winfstest-base/00.t</x:v>
      </x:c>
      <x:c r="D334" s="10" t="str">
        <x:v>winfstest</x:v>
      </x:c>
      <x:c r="E334" s="10" t="str">
        <x:v>本地</x:v>
      </x:c>
      <x:c r="F334" s="10" t="str">
        <x:v>同步</x:v>
      </x:c>
      <x:c r="G334" s="19" t="d">
        <x:v>2026-10-10T00:00:00.000Z</x:v>
      </x:c>
      <x:c r="H334" s="10" t="str">
        <x:v>已通过</x:v>
      </x:c>
      <x:c r="I334" s="21" t="n">
        <x:v>0.233</x:v>
      </x:c>
      <x:c r="J334" s="10" t="str">
        <x:v>JuiceFS 1.3.0 / WinFsp 2.1.25156 / rclone 1.75.0-onemount</x:v>
      </x:c>
      <x:c r="K334" s="10" t="str">
        <x:v>原版全外部；无 FUSE 筛选或名称比较放宽</x:v>
      </x:c>
      <x:c r="L334" s="10" t="str">
        <x:v>63151da049f846e65fb361d1f314df65c2d468a7</x:v>
      </x:c>
      <x:c r="M334" s="10" t="str">
        <x:v>E09 / targets.juicefs.results</x:v>
      </x:c>
      <x:c r="N334" s="10" t="str">
        <x:v>ok 2 - expect "CreateFile 74772088 GENERIC_WRITE 0 0 CREATE_NEW FILE_ATTRIBUTE_NORMAL 0" ERROR_FILE_EXISTS
ok 4 - expect "DeleteFile 74772088" ERROR_FILE_NOT_FOUND
ok 7 - expect "-e CreateFile 74772088 GENERIC_WRITE 0 0 CREATE_ALWAYS FILE_ATTRIBUTE_NORMAL 0" ERROR_ALREADY_EXISTS
ok 11 - expect "-e CreateFile 74772088 GENERIC_WRITE 0 0 OPEN_ALWAYS FILE_ATTRIBUTE_NORMAL 0" ERROR_ALREADY_EXISTS
ok 13 - expect "CreateFile 74772088 GENERIC_WRITE 0 0 OPEN_EXISTING FILE_ATTRIBUTE_NORMAL 0" ERROR_FILE_NOT_FOUND
ok 17 - expect "CreateFile 74772088 GENERIC_WRITE 0 0 TRUNCATE_EXISTING FILE_ATTRIBUTE_NORMAL 0" ERROR_FILE_NOT_FOUND
ok 21 - expect "CreateFile 74772088\bar GENERIC_WRITE 0 0 CREATE_NEW FILE_ATTRIBUTE_NORMAL 0" ERROR_PATH_NOT_FOUND</x:v>
      </x:c>
    </x:row>
    <x:row r="335" ht="74" customHeight="1">
      <x:c r="A335" s="11" t="str">
        <x:v>STRICT-20261010-juicefs</x:v>
      </x:c>
      <x:c r="B335" s="11" t="str">
        <x:v>NATIVE-096</x:v>
      </x:c>
      <x:c r="C335" s="11" t="str">
        <x:v>winfstest-base/01.t</x:v>
      </x:c>
      <x:c r="D335" s="11" t="str">
        <x:v>winfstest</x:v>
      </x:c>
      <x:c r="E335" s="11" t="str">
        <x:v>本地</x:v>
      </x:c>
      <x:c r="F335" s="11" t="str">
        <x:v>同步</x:v>
      </x:c>
      <x:c r="G335" s="20" t="d">
        <x:v>2026-10-10T00:00:00.000Z</x:v>
      </x:c>
      <x:c r="H335" s="11" t="str">
        <x:v>已通过</x:v>
      </x:c>
      <x:c r="I335" s="22" t="n">
        <x:v>0.192</x:v>
      </x:c>
      <x:c r="J335" s="11" t="str">
        <x:v>JuiceFS 1.3.0 / WinFsp 2.1.25156 / rclone 1.75.0-onemount</x:v>
      </x:c>
      <x:c r="K335" s="11" t="str">
        <x:v>原版全外部；无 FUSE 筛选或名称比较放宽</x:v>
      </x:c>
      <x:c r="L335" s="11" t="str">
        <x:v>63151da049f846e65fb361d1f314df65c2d468a7</x:v>
      </x:c>
      <x:c r="M335" s="11" t="str">
        <x:v>E09 / targets.juicefs.results</x:v>
      </x:c>
      <x:c r="N335" s="11" t="str">
        <x:v>ok 13 - expect "DeleteFile d0e5af3d" ERROR_ACCESS_DENIED</x:v>
      </x:c>
    </x:row>
    <x:row r="336" ht="122" customHeight="1">
      <x:c r="A336" s="10" t="str">
        <x:v>STRICT-20261010-juicefs</x:v>
      </x:c>
      <x:c r="B336" s="10" t="str">
        <x:v>NATIVE-097</x:v>
      </x:c>
      <x:c r="C336" s="10" t="str">
        <x:v>winfstest-base/02.t</x:v>
      </x:c>
      <x:c r="D336" s="10" t="str">
        <x:v>winfstest</x:v>
      </x:c>
      <x:c r="E336" s="10" t="str">
        <x:v>本地</x:v>
      </x:c>
      <x:c r="F336" s="10" t="str">
        <x:v>同步</x:v>
      </x:c>
      <x:c r="G336" s="19" t="d">
        <x:v>2026-10-10T00:00:00.000Z</x:v>
      </x:c>
      <x:c r="H336" s="10" t="str">
        <x:v>已通过</x:v>
      </x:c>
      <x:c r="I336" s="21" t="n">
        <x:v>0.164</x:v>
      </x:c>
      <x:c r="J336" s="10" t="str">
        <x:v>JuiceFS 1.3.0 / WinFsp 2.1.25156 / rclone 1.75.0-onemount</x:v>
      </x:c>
      <x:c r="K336" s="10" t="str">
        <x:v>原版全外部；无 FUSE 筛选或名称比较放宽</x:v>
      </x:c>
      <x:c r="L336" s="10" t="str">
        <x:v>63151da049f846e65fb361d1f314df65c2d468a7</x:v>
      </x:c>
      <x:c r="M336" s="10" t="str">
        <x:v>E09 / targets.juicefs.results</x:v>
      </x:c>
      <x:c r="N336" s="10" t="str">
        <x:v>ok 2 - expect "CreateDirectory 6e08a1bd 0" ERROR_ALREADY_EXISTS
ok 3 - expect "RemoveDirectory 6e08a1bd" ERROR_DIRECTORY
ok 6 - expect "CreateDirectory 6e08a1bd 0" ERROR_ALREADY_EXISTS
ok 8 - expect "DeleteFile 6e08a1bd" ERROR_ACCESS_DENIED
ok 10 - expect "RemoveDirectory 6e08a1bd" ERROR_FILE_NOT_FOUND
ok 12 - expect "CreateFile 6e08a1bd GENERIC_WRITE 0 0 CREATE_NEW FILE_ATTRIBUTE_NORMAL 0" ERROR_ACCESS_DENIED</x:v>
      </x:c>
    </x:row>
    <x:row r="337" ht="74" customHeight="1">
      <x:c r="A337" s="11" t="str">
        <x:v>STRICT-20261010-juicefs</x:v>
      </x:c>
      <x:c r="B337" s="11" t="str">
        <x:v>NATIVE-098</x:v>
      </x:c>
      <x:c r="C337" s="11" t="str">
        <x:v>winfstest-base/03.t</x:v>
      </x:c>
      <x:c r="D337" s="11" t="str">
        <x:v>winfstest</x:v>
      </x:c>
      <x:c r="E337" s="11" t="str">
        <x:v>本地</x:v>
      </x:c>
      <x:c r="F337" s="11" t="str">
        <x:v>同步</x:v>
      </x:c>
      <x:c r="G337" s="20" t="d">
        <x:v>2026-10-10T00:00:00.000Z</x:v>
      </x:c>
      <x:c r="H337" s="11" t="str">
        <x:v>已通过</x:v>
      </x:c>
      <x:c r="I337" s="22" t="n">
        <x:v>0.171</x:v>
      </x:c>
      <x:c r="J337" s="11" t="str">
        <x:v>JuiceFS 1.3.0 / WinFsp 2.1.25156 / rclone 1.75.0-onemount</x:v>
      </x:c>
      <x:c r="K337" s="11" t="str">
        <x:v>原版全外部；无 FUSE 筛选或名称比较放宽</x:v>
      </x:c>
      <x:c r="L337" s="11" t="str">
        <x:v>63151da049f846e65fb361d1f314df65c2d468a7</x:v>
      </x:c>
      <x:c r="M337" s="11" t="str">
        <x:v>E09 / targets.juicefs.results</x:v>
      </x:c>
      <x:c r="N337" s="11" t="str">
        <x:v>ok 3 - expect "RemoveDirectory 0ab1abfd" ERROR_DIR_NOT_EMPTY
ok 4 - expect "RemoveDirectory 0ab1abfd\foo" ERROR_DIRECTORY</x:v>
      </x:c>
    </x:row>
    <x:row r="338" ht="170" customHeight="1">
      <x:c r="A338" s="10" t="str">
        <x:v>STRICT-20261010-juicefs</x:v>
      </x:c>
      <x:c r="B338" s="10" t="str">
        <x:v>NATIVE-099</x:v>
      </x:c>
      <x:c r="C338" s="10" t="str">
        <x:v>winfstest-base/04.t</x:v>
      </x:c>
      <x:c r="D338" s="10" t="str">
        <x:v>winfstest</x:v>
      </x:c>
      <x:c r="E338" s="10" t="str">
        <x:v>本地</x:v>
      </x:c>
      <x:c r="F338" s="10" t="str">
        <x:v>同步</x:v>
      </x:c>
      <x:c r="G338" s="19" t="d">
        <x:v>2026-10-10T00:00:00.000Z</x:v>
      </x:c>
      <x:c r="H338" s="10" t="str">
        <x:v>已通过</x:v>
      </x:c>
      <x:c r="I338" s="21" t="n">
        <x:v>0.62</x:v>
      </x:c>
      <x:c r="J338" s="10" t="str">
        <x:v>JuiceFS 1.3.0 / WinFsp 2.1.25156 / rclone 1.75.0-onemount</x:v>
      </x:c>
      <x:c r="K338" s="10" t="str">
        <x:v>原版全外部；无 FUSE 筛选或名称比较放宽</x:v>
      </x:c>
      <x:c r="L338" s="10" t="str">
        <x:v>63151da049f846e65fb361d1f314df65c2d468a7</x:v>
      </x:c>
      <x:c r="M338" s="10" t="str">
        <x:v>E09 / targets.juicefs.results</x:v>
      </x:c>
      <x:c r="N338" s="10" t="str">
        <x:v>ok 5 - expect "GetFileInformation 03cb7530\foo" ERROR_FILE_NOT_FOUND
ok 7 - expect "MoveFileEx 03cb7530\bar 03cb7530\baz 0" ERROR_ALREADY_EXISTS
ok 10 - expect "MoveFileEx 03cb7530\bar 03cb7530\baz MOVEFILE_REPLACE_EXISTING" ERROR_ACCESS_DENIED
ok 13 - expect "GetFileInformation 03cb7530\bar" ERROR_FILE_NOT_FOUND
ok 21 - expect "GetFileInformation 03cb7530\foo" ERROR_FILE_NOT_FOUND
ok 23 - expect "MoveFileEx 03cb7530\bar 03cb7530\baz 0" ERROR_ALREADY_EXISTS
ok 26 - expect "MoveFileEx 03cb7530\bar 03cb7530\baz MOVEFILE_REPLACE_EXISTING" ERROR_ACCESS_DENIED
ok 31 - expect "GetFileInformation 03cb7530\bar" ERROR_FILE_NOT_FOUND</x:v>
      </x:c>
    </x:row>
    <x:row r="339" ht="74" customHeight="1">
      <x:c r="A339" s="11" t="str">
        <x:v>STRICT-20261010-juicefs</x:v>
      </x:c>
      <x:c r="B339" s="11" t="str">
        <x:v>NATIVE-100</x:v>
      </x:c>
      <x:c r="C339" s="11" t="str">
        <x:v>winfstest-base/05.t</x:v>
      </x:c>
      <x:c r="D339" s="11" t="str">
        <x:v>winfstest</x:v>
      </x:c>
      <x:c r="E339" s="11" t="str">
        <x:v>本地</x:v>
      </x:c>
      <x:c r="F339" s="11" t="str">
        <x:v>同步</x:v>
      </x:c>
      <x:c r="G339" s="20" t="d">
        <x:v>2026-10-10T00:00:00.000Z</x:v>
      </x:c>
      <x:c r="H339" s="11" t="str">
        <x:v>已通过</x:v>
      </x:c>
      <x:c r="I339" s="22" t="n">
        <x:v>0.185</x:v>
      </x:c>
      <x:c r="J339" s="11" t="str">
        <x:v>JuiceFS 1.3.0 / WinFsp 2.1.25156 / rclone 1.75.0-onemount</x:v>
      </x:c>
      <x:c r="K339" s="11" t="str">
        <x:v>原版全外部；无 FUSE 筛选或名称比较放宽</x:v>
      </x:c>
      <x:c r="L339" s="11" t="str">
        <x:v>63151da049f846e65fb361d1f314df65c2d468a7</x:v>
      </x:c>
      <x:c r="M339" s="11" t="str">
        <x:v>E09 / targets.juicefs.results</x:v>
      </x:c>
      <x:c r="N339" s="11" t="str">
        <x:v>入口结果见原始 JSON；通过不表示任意规模均正确</x:v>
      </x:c>
    </x:row>
    <x:row r="340" ht="74" customHeight="1">
      <x:c r="A340" s="10" t="str">
        <x:v>STRICT-20261010-juicefs</x:v>
      </x:c>
      <x:c r="B340" s="10" t="str">
        <x:v>NATIVE-101</x:v>
      </x:c>
      <x:c r="C340" s="10" t="str">
        <x:v>winfstest-base/06.t</x:v>
      </x:c>
      <x:c r="D340" s="10" t="str">
        <x:v>winfstest</x:v>
      </x:c>
      <x:c r="E340" s="10" t="str">
        <x:v>本地</x:v>
      </x:c>
      <x:c r="F340" s="10" t="str">
        <x:v>同步</x:v>
      </x:c>
      <x:c r="G340" s="19" t="d">
        <x:v>2026-10-10T00:00:00.000Z</x:v>
      </x:c>
      <x:c r="H340" s="10" t="str">
        <x:v>已失败</x:v>
      </x:c>
      <x:c r="I340" s="21" t="n">
        <x:v>0.107</x:v>
      </x:c>
      <x:c r="J340" s="10" t="str">
        <x:v>JuiceFS 1.3.0 / WinFsp 2.1.25156 / rclone 1.75.0-onemount</x:v>
      </x:c>
      <x:c r="K340" s="10" t="str">
        <x:v>原版全外部；无 FUSE 筛选或名称比较放宽</x:v>
      </x:c>
      <x:c r="L340" s="10" t="str">
        <x:v>63151da049f846e65fb361d1f314df65c2d468a7</x:v>
      </x:c>
      <x:c r="M340" s="10" t="str">
        <x:v>E09 / targets.juicefs.results</x:v>
      </x:c>
      <x:c r="N340" s="10" t="str">
        <x:v>not ok 5 - testeval("2134-01-01T00:00:00Z" == r[0]["CreationTime"])</x:v>
      </x:c>
    </x:row>
    <x:row r="341" ht="74" customHeight="1">
      <x:c r="A341" s="11" t="str">
        <x:v>STRICT-20261010-juicefs</x:v>
      </x:c>
      <x:c r="B341" s="11" t="str">
        <x:v>NATIVE-102</x:v>
      </x:c>
      <x:c r="C341" s="11" t="str">
        <x:v>winfstest-base/07.t</x:v>
      </x:c>
      <x:c r="D341" s="11" t="str">
        <x:v>winfstest</x:v>
      </x:c>
      <x:c r="E341" s="11" t="str">
        <x:v>本地</x:v>
      </x:c>
      <x:c r="F341" s="11" t="str">
        <x:v>同步</x:v>
      </x:c>
      <x:c r="G341" s="20" t="d">
        <x:v>2026-10-10T00:00:00.000Z</x:v>
      </x:c>
      <x:c r="H341" s="11" t="str">
        <x:v>已通过</x:v>
      </x:c>
      <x:c r="I341" s="22" t="n">
        <x:v>0.152</x:v>
      </x:c>
      <x:c r="J341" s="11" t="str">
        <x:v>JuiceFS 1.3.0 / WinFsp 2.1.25156 / rclone 1.75.0-onemount</x:v>
      </x:c>
      <x:c r="K341" s="11" t="str">
        <x:v>原版全外部；无 FUSE 筛选或名称比较放宽</x:v>
      </x:c>
      <x:c r="L341" s="11" t="str">
        <x:v>63151da049f846e65fb361d1f314df65c2d468a7</x:v>
      </x:c>
      <x:c r="M341" s="11" t="str">
        <x:v>E09 / targets.juicefs.results</x:v>
      </x:c>
      <x:c r="N341" s="11" t="str">
        <x:v>入口结果见原始 JSON；通过不表示任意规模均正确</x:v>
      </x:c>
    </x:row>
    <x:row r="342" ht="74" customHeight="1">
      <x:c r="A342" s="10" t="str">
        <x:v>STRICT-20261010-juicefs</x:v>
      </x:c>
      <x:c r="B342" s="10" t="str">
        <x:v>NATIVE-103</x:v>
      </x:c>
      <x:c r="C342" s="10" t="str">
        <x:v>winfstest-base/08.t</x:v>
      </x:c>
      <x:c r="D342" s="10" t="str">
        <x:v>winfstest</x:v>
      </x:c>
      <x:c r="E342" s="10" t="str">
        <x:v>本地</x:v>
      </x:c>
      <x:c r="F342" s="10" t="str">
        <x:v>同步</x:v>
      </x:c>
      <x:c r="G342" s="19" t="d">
        <x:v>2026-10-10T00:00:00.000Z</x:v>
      </x:c>
      <x:c r="H342" s="10" t="str">
        <x:v>已失败</x:v>
      </x:c>
      <x:c r="I342" s="21" t="n">
        <x:v>0.152</x:v>
      </x:c>
      <x:c r="J342" s="10" t="str">
        <x:v>JuiceFS 1.3.0 / WinFsp 2.1.25156 / rclone 1.75.0-onemount</x:v>
      </x:c>
      <x:c r="K342" s="10" t="str">
        <x:v>原版全外部；无 FUSE 筛选或名称比较放宽</x:v>
      </x:c>
      <x:c r="L342" s="10" t="str">
        <x:v>63151da049f846e65fb361d1f314df65c2d468a7</x:v>
      </x:c>
      <x:c r="M342" s="10" t="str">
        <x:v>E09 / targets.juicefs.results</x:v>
      </x:c>
      <x:c r="N342" s="10" t="str">
        <x:v>not ok 4 - expect "CreateFile 478adcd7 GENERIC_READ FILE_SHARE_READ+FILE_SHARE_WRITE+FILE_SHARE_DELETE 0 OPEN_EXISTING 0 0" ERROR_ACCESS_DENIED - got ERROR_FILE_NOT_FOUND
not ok 9 - testeval(len(s) == 3)
not ok 12 - testeval("foo" in s)</x:v>
      </x:c>
    </x:row>
    <x:row r="343" ht="266" customHeight="1">
      <x:c r="A343" s="11" t="str">
        <x:v>STRICT-20261010-juicefs</x:v>
      </x:c>
      <x:c r="B343" s="11" t="str">
        <x:v>NATIVE-104</x:v>
      </x:c>
      <x:c r="C343" s="11" t="str">
        <x:v>winfstest-base/09.t</x:v>
      </x:c>
      <x:c r="D343" s="11" t="str">
        <x:v>winfstest</x:v>
      </x:c>
      <x:c r="E343" s="11" t="str">
        <x:v>本地</x:v>
      </x:c>
      <x:c r="F343" s="11" t="str">
        <x:v>同步</x:v>
      </x:c>
      <x:c r="G343" s="20" t="d">
        <x:v>2026-10-10T00:00:00.000Z</x:v>
      </x:c>
      <x:c r="H343" s="11" t="str">
        <x:v>已通过</x:v>
      </x:c>
      <x:c r="I343" s="22" t="n">
        <x:v>0.208</x:v>
      </x:c>
      <x:c r="J343" s="11" t="str">
        <x:v>JuiceFS 1.3.0 / WinFsp 2.1.25156 / rclone 1.75.0-onemount</x:v>
      </x:c>
      <x:c r="K343" s="11" t="str">
        <x:v>原版全外部；无 FUSE 筛选或名称比较放宽</x:v>
      </x:c>
      <x:c r="L343" s="11" t="str">
        <x:v>63151da049f846e65fb361d1f314df65c2d468a7</x:v>
      </x:c>
      <x:c r="M343" s="11" t="str">
        <x:v>E09 / targets.juicefs.results</x:v>
      </x:c>
      <x:c r="N343" s="11" t="str">
        <x:v>ok 2 - expect "CreateFile 79c2973c GENERIC_READ FILE_SHARE_READ 0 OPEN_EXISTING 0 0" ERROR_SHARING_VIOLATION
ok 4 - expect "CreateFile 79c2973c DELETE FILE_SHARE_DELETE 0 OPEN_EXISTING 0 0" ERROR_SHARING_VIOLATION
ok 5 - expect "CreateFile 79c2973c DELETE FILE_SHARE_WRITE 0 OPEN_EXISTING 0 0" ERROR_SHARING_VIOLATION
ok 7 - expect "CreateFile 79c2973c GENERIC_WRITE FILE_SHARE_WRITE 0 OPEN_EXISTING 0 0" ERROR_SHARING_VIOLATION
ok 9 - expect "CreateFile 79c2973c DELETE FILE_SHARE_DELETE 0 OPEN_EXISTING 0 0" ERROR_SHARING_VIOLATION
ok 10 - expect "CreateFile 79c2973c DELETE FILE_SHARE_WRITE 0 OPEN_EXISTING 0 0" ERROR_SHARING_VIOLATION
ok 12 - expect "CreateFile 79c2973c GENERIC_WRITE FILE_SHARE_DELETE 0 OPEN_EXISTING 0 0" ERROR_SHARING_VIOLATION
ok 13 - expect "CreateFile 79c2973c DELETE FILE_SHARE_WRITE 0 OPEN_EXISTING 0 0" ERROR_SHARING_VIOLATION</x:v>
      </x:c>
    </x:row>
    <x:row r="344" ht="298" customHeight="1">
      <x:c r="A344" s="10" t="str">
        <x:v>STRICT-20261010-juicefs</x:v>
      </x:c>
      <x:c r="B344" s="10" t="str">
        <x:v>NATIVE-105</x:v>
      </x:c>
      <x:c r="C344" s="10" t="str">
        <x:v>winfstest-base/10.t</x:v>
      </x:c>
      <x:c r="D344" s="10" t="str">
        <x:v>winfstest</x:v>
      </x:c>
      <x:c r="E344" s="10" t="str">
        <x:v>本地</x:v>
      </x:c>
      <x:c r="F344" s="10" t="str">
        <x:v>同步</x:v>
      </x:c>
      <x:c r="G344" s="19" t="d">
        <x:v>2026-10-10T00:00:00.000Z</x:v>
      </x:c>
      <x:c r="H344" s="10" t="str">
        <x:v>已失败</x:v>
      </x:c>
      <x:c r="I344" s="21" t="n">
        <x:v>0.254</x:v>
      </x:c>
      <x:c r="J344" s="10" t="str">
        <x:v>JuiceFS 1.3.0 / WinFsp 2.1.25156 / rclone 1.75.0-onemount</x:v>
      </x:c>
      <x:c r="K344" s="10" t="str">
        <x:v>原版全外部；无 FUSE 筛选或名称比较放宽</x:v>
      </x:c>
      <x:c r="L344" s="10" t="str">
        <x:v>63151da049f846e65fb361d1f314df65c2d468a7</x:v>
      </x:c>
      <x:c r="M344" s="10" t="str">
        <x:v>E09 / targets.juicefs.results</x:v>
      </x:c>
      <x:c r="N344" s="10" t="str">
        <x:v>not ok 2 - expect "GetFileSecurity 0b9f6f77 DACL_SECURITY_INFORMATION" &lt;lambda&gt; - result [{'Sddl': 'D:P(A;;0x1f01bf;;;LA)(A;;0x1201af;;;S-1-5-21-1643835476-1616584234-1346609752-513)(A;;0x1201af;;;WD)'}]
not ok 4 - expect "GetFileSecurity 0b9f6f77 DACL_SECURITY_INFORMATION" &lt;lambda&gt; - result [{'Sddl': 'D:P(A;;0x1f01bf;;;LA)(A;;0x1201af;;;S-1-5-21-1643835476-1616584234-1346609752-513)(A;;0x1201af;;;WD)'}]
ok 9 - expect "CreateFile 0b9f6f77 GENERIC_READ 0 0 OPEN_EXISTING 0 0" ERROR_ACCESS_DENIED
not ok 12 - expect "GetFileSecurity 0b9f6f77 DACL_SECURITY_INFORMATION" &lt;lambda&gt; - result [{'Sddl': 'D:P(A;;FA;;;LA)(A;;0x1201ef;;;S-1-5-21-1643835476-1616584234-1346609752-513)(A;;0x1201ef;;;WD)'}]
not ok 14 - expect "GetFileSecurity 0b9f6f77 DACL_SECURITY_INFORMATION" &lt;lambda&gt; - result [{'Sddl': 'D:P(A;;FA;;;LA)(A;;0x1201ef;;;S-1-5-21-1643835476-1616584234-1346609752-513)(A;;0x1201ef;;;WD)'}]
ok 17 - expect "CreateFile 0b9f6f77\foobar GENERIC_READ 0 D:P(A;;FR;;;WD) CREATE_NEW 0 0" ERROR_ACCESS_DENIED
not ok 21 - expect "DeleteFile 0b9f6f77\foobar" ERROR_ACCESS_DENIED - got 0
not ok 23 - expect "DeleteFile 0b9f6f77\foobar" 0 - got ERROR_FILE_NOT_FOUND</x:v>
      </x:c>
    </x:row>
    <x:row r="345" ht="266" customHeight="1">
      <x:c r="A345" s="11" t="str">
        <x:v>STRICT-20261010-juicefs</x:v>
      </x:c>
      <x:c r="B345" s="11" t="str">
        <x:v>NATIVE-106</x:v>
      </x:c>
      <x:c r="C345" s="11" t="str">
        <x:v>winfstest-reparse/00.t</x:v>
      </x:c>
      <x:c r="D345" s="11" t="str">
        <x:v>winfstest</x:v>
      </x:c>
      <x:c r="E345" s="11" t="str">
        <x:v>本地</x:v>
      </x:c>
      <x:c r="F345" s="11" t="str">
        <x:v>同步</x:v>
      </x:c>
      <x:c r="G345" s="20" t="d">
        <x:v>2026-10-10T00:00:00.000Z</x:v>
      </x:c>
      <x:c r="H345" s="11" t="str">
        <x:v>已失败</x:v>
      </x:c>
      <x:c r="I345" s="22" t="n">
        <x:v>0.389</x:v>
      </x:c>
      <x:c r="J345" s="11" t="str">
        <x:v>JuiceFS 1.3.0 / WinFsp 2.1.25156 / rclone 1.75.0-onemount</x:v>
      </x:c>
      <x:c r="K345" s="11" t="str">
        <x:v>原版全外部；无 FUSE 筛选或名称比较放宽</x:v>
      </x:c>
      <x:c r="L345" s="11" t="str">
        <x:v>63151da049f846e65fb361d1f314df65c2d468a7</x:v>
      </x:c>
      <x:c r="M345" s="11" t="str">
        <x:v>E09 / targets.juicefs.results</x:v>
      </x:c>
      <x:c r="N345" s="11" t="str">
        <x:v>not ok 3 - expect "SetReparsePoint 06c60a5c 42 {92A23BD8-99F5-4FD6-807C-C56F3A063C52} 1A 2B 3C 4D 5F" 0 - got ERROR(4394)
not ok 4 - expect "GetFileInformation 06c60a5c" &lt;lambda&gt; - result [{'VolumeSerialNumber': 375523455, 'FileIndex': 2065, 'NumberOfLinks': 1, 'CreationTime': '2026-10-10T11:28:43Z', 'LastAccessTime': '2026-10-10T11:28:43Z', 'FileSize': 0, 'LastWriteTime': '2026-10-10T11:28:43Z', 'FileAttributes': 32}]
not ok 5 - expect "GetReparsePoint 06c60a5c" 0 - got ERROR(4390)
not ok 6 - expect "SetReparsePoint 06c60a5c 42 {92A23BD8-99F5-4FD6-807C-C56F3A063C52} A1 B2 C3 D4 F5 1A 2B 3C 4D 5F" 0 - got ERROR(4394)
not ok 7 - expect "GetReparsePoint 06c60a5c" 0 - got ERROR(4390)
ok 8 - expect "SetReparsePoint 06c60a5c 43 {92A23BD8-99F5-4FD6-807C-C56F3A063C52} A1 B2 C3 D4 F5 1A 2B 3C 4D 5F" ERROR(4394)
not ok 9 - expect "SetReparsePoint 06c60a5c 42 {02A23BD8-99F5-4FD6-807C-C56F3A063C52} A1 B2 C3 D4 F5 1A 2B 3C 4D 5F" ERROR(4391) - got ERROR(4394)
not ok 13 - expect "SetReparsePoint 06c60a5c 42 {92A23BD8-99F5-4FD6-807C-C56F3A063C52} 1A 2B 3C 4D 5F" 0 - got ERROR(4394)</x:v>
      </x:c>
    </x:row>
    <x:row r="346" ht="266" customHeight="1">
      <x:c r="A346" s="10" t="str">
        <x:v>STRICT-20261010-juicefs</x:v>
      </x:c>
      <x:c r="B346" s="10" t="str">
        <x:v>NATIVE-107</x:v>
      </x:c>
      <x:c r="C346" s="10" t="str">
        <x:v>winfstest-reparse/01.t</x:v>
      </x:c>
      <x:c r="D346" s="10" t="str">
        <x:v>winfstest</x:v>
      </x:c>
      <x:c r="E346" s="10" t="str">
        <x:v>本地</x:v>
      </x:c>
      <x:c r="F346" s="10" t="str">
        <x:v>同步</x:v>
      </x:c>
      <x:c r="G346" s="19" t="d">
        <x:v>2026-10-10T00:00:00.000Z</x:v>
      </x:c>
      <x:c r="H346" s="10" t="str">
        <x:v>已失败</x:v>
      </x:c>
      <x:c r="I346" s="21" t="n">
        <x:v>0.337</x:v>
      </x:c>
      <x:c r="J346" s="10" t="str">
        <x:v>JuiceFS 1.3.0 / WinFsp 2.1.25156 / rclone 1.75.0-onemount</x:v>
      </x:c>
      <x:c r="K346" s="10" t="str">
        <x:v>原版全外部；无 FUSE 筛选或名称比较放宽</x:v>
      </x:c>
      <x:c r="L346" s="10" t="str">
        <x:v>63151da049f846e65fb361d1f314df65c2d468a7</x:v>
      </x:c>
      <x:c r="M346" s="10" t="str">
        <x:v>E09 / targets.juicefs.results</x:v>
      </x:c>
      <x:c r="N346" s="10" t="str">
        <x:v>not ok 3 - expect "SetReparsePoint 76edf151 42 {92A23BD8-99F5-4FD6-807C-C56F3A063C52} 1A 2B 3C 4D 5F" 0 - got ERROR(4394)
not ok 4 - expect "GetFileInformation 76edf151" &lt;lambda&gt; - result [{'VolumeSerialNumber': 375523455, 'FileIndex': 2072, 'NumberOfLinks': 1, 'CreationTime': '2026-10-10T11:28:44Z', 'LastAccessTime': '2026-10-10T11:28:44Z', 'FileSize': 4096, 'LastWriteTime': '2026-10-10T11:28:44Z', 'FileAttributes': 16}]
not ok 5 - expect "GetReparsePoint 76edf151" 0 - got ERROR(4390)
not ok 6 - expect "SetReparsePoint 76edf151 42 {92A23BD8-99F5-4FD6-807C-C56F3A063C52} A1 B2 C3 D4 F5 1A 2B 3C 4D 5F" 0 - got ERROR(4394)
not ok 7 - expect "GetReparsePoint 76edf151" 0 - got ERROR(4390)
ok 8 - expect "SetReparsePoint 76edf151 43 {92A23BD8-99F5-4FD6-807C-C56F3A063C52} A1 B2 C3 D4 F5 1A 2B 3C 4D 5F" ERROR(4394)
not ok 9 - expect "SetReparsePoint 76edf151 42 {02A23BD8-99F5-4FD6-807C-C56F3A063C52} A1 B2 C3 D4 F5 1A 2B 3C 4D 5F" ERROR(4391) - got ERROR(4394)
not ok 13 - expect "SetReparsePoint 76edf151 42 {92A23BD8-99F5-4FD6-807C-C56F3A063C52} 1A 2B 3C 4D 5F" 0 - got ERROR(4394)</x:v>
      </x:c>
    </x:row>
    <x:row r="347" ht="74" customHeight="1">
      <x:c r="A347" s="11" t="str">
        <x:v>STRICT-20261010-juicefs</x:v>
      </x:c>
      <x:c r="B347" s="11" t="str">
        <x:v>NATIVE-108</x:v>
      </x:c>
      <x:c r="C347" s="11" t="str">
        <x:v>winfstest-reparse/02.t</x:v>
      </x:c>
      <x:c r="D347" s="11" t="str">
        <x:v>winfstest</x:v>
      </x:c>
      <x:c r="E347" s="11" t="str">
        <x:v>本地</x:v>
      </x:c>
      <x:c r="F347" s="11" t="str">
        <x:v>同步</x:v>
      </x:c>
      <x:c r="G347" s="20" t="d">
        <x:v>2026-10-10T00:00:00.000Z</x:v>
      </x:c>
      <x:c r="H347" s="11" t="str">
        <x:v>已失败</x:v>
      </x:c>
      <x:c r="I347" s="22" t="n">
        <x:v>0.067</x:v>
      </x:c>
      <x:c r="J347" s="11" t="str">
        <x:v>JuiceFS 1.3.0 / WinFsp 2.1.25156 / rclone 1.75.0-onemount</x:v>
      </x:c>
      <x:c r="K347" s="11" t="str">
        <x:v>原版全外部；无 FUSE 筛选或名称比较放宽</x:v>
      </x:c>
      <x:c r="L347" s="11" t="str">
        <x:v>63151da049f846e65fb361d1f314df65c2d468a7</x:v>
      </x:c>
      <x:c r="M347" s="11" t="str">
        <x:v>E09 / targets.juicefs.results</x:v>
      </x:c>
      <x:c r="N347" s="11" t="str">
        <x:v>not ok 1 - expect "CreateSymbolicLink ce9ca264 c675fd9b 0" 0 - got ERROR_INVALID_FUNCTION</x:v>
      </x:c>
    </x:row>
    <x:row r="348" ht="74" customHeight="1">
      <x:c r="A348" s="10" t="str">
        <x:v>STRICT-20261010-juicefs</x:v>
      </x:c>
      <x:c r="B348" s="10" t="str">
        <x:v>NATIVE-109</x:v>
      </x:c>
      <x:c r="C348" s="10" t="str">
        <x:v>winfstest-reparse/03.t</x:v>
      </x:c>
      <x:c r="D348" s="10" t="str">
        <x:v>winfstest</x:v>
      </x:c>
      <x:c r="E348" s="10" t="str">
        <x:v>本地</x:v>
      </x:c>
      <x:c r="F348" s="10" t="str">
        <x:v>同步</x:v>
      </x:c>
      <x:c r="G348" s="19" t="d">
        <x:v>2026-10-10T00:00:00.000Z</x:v>
      </x:c>
      <x:c r="H348" s="10" t="str">
        <x:v>已失败</x:v>
      </x:c>
      <x:c r="I348" s="21" t="n">
        <x:v>0.068</x:v>
      </x:c>
      <x:c r="J348" s="10" t="str">
        <x:v>JuiceFS 1.3.0 / WinFsp 2.1.25156 / rclone 1.75.0-onemount</x:v>
      </x:c>
      <x:c r="K348" s="10" t="str">
        <x:v>原版全外部；无 FUSE 筛选或名称比较放宽</x:v>
      </x:c>
      <x:c r="L348" s="10" t="str">
        <x:v>63151da049f846e65fb361d1f314df65c2d468a7</x:v>
      </x:c>
      <x:c r="M348" s="10" t="str">
        <x:v>E09 / targets.juicefs.results</x:v>
      </x:c>
      <x:c r="N348" s="10" t="str">
        <x:v>not ok 1 - expect "CreateSymbolicLink 1d08d15a 63ae76b2 SYMBOLIC_LINK_FLAG_DIRECTORY" 0 - got ERROR_INVALID_FUNCTION</x:v>
      </x:c>
    </x:row>
    <x:row r="349" ht="138" customHeight="1">
      <x:c r="A349" s="11" t="str">
        <x:v>STRICT-20261010-juicefs</x:v>
      </x:c>
      <x:c r="B349" s="11" t="str">
        <x:v>NATIVE-110</x:v>
      </x:c>
      <x:c r="C349" s="11" t="str">
        <x:v>winfstest-streams/00.t</x:v>
      </x:c>
      <x:c r="D349" s="11" t="str">
        <x:v>winfstest</x:v>
      </x:c>
      <x:c r="E349" s="11" t="str">
        <x:v>本地</x:v>
      </x:c>
      <x:c r="F349" s="11" t="str">
        <x:v>同步</x:v>
      </x:c>
      <x:c r="G349" s="20" t="d">
        <x:v>2026-10-10T00:00:00.000Z</x:v>
      </x:c>
      <x:c r="H349" s="11" t="str">
        <x:v>已失败</x:v>
      </x:c>
      <x:c r="I349" s="22" t="n">
        <x:v>0.098</x:v>
      </x:c>
      <x:c r="J349" s="11" t="str">
        <x:v>JuiceFS 1.3.0 / WinFsp 2.1.25156 / rclone 1.75.0-onemount</x:v>
      </x:c>
      <x:c r="K349" s="11" t="str">
        <x:v>原版全外部；无 FUSE 筛选或名称比较放宽</x:v>
      </x:c>
      <x:c r="L349" s="11" t="str">
        <x:v>63151da049f846e65fb361d1f314df65c2d468a7</x:v>
      </x:c>
      <x:c r="M349" s="11" t="str">
        <x:v>E09 / targets.juicefs.results</x:v>
      </x:c>
      <x:c r="N349" s="11" t="str">
        <x:v>not ok 1 - expect "CreateFile 64ffe36d:foo GENERIC_WRITE 0 0 CREATE_NEW FILE_ATTRIBUTE_NORMAL 0" 0 - got ERROR_INVALID_NAME
not ok 2 - expect "CreateFile 64ffe36d GENERIC_WRITE 0 0 CREATE_NEW FILE_ATTRIBUTE_NORMAL 0" ERROR_FILE_EXISTS - got 0
not ok 3 - expect "CreateFile 64ffe36d:foo GENERIC_WRITE 0 0 CREATE_NEW FILE_ATTRIBUTE_NORMAL 0" ERROR_FILE_EXISTS - got ERROR_INVALID_NAME
not ok 5 - expect "GetFileInformation 64ffe36d:foo" 0 - got ERROR_INVALID_NAME
IndexError: list index out of range</x:v>
      </x:c>
    </x:row>
    <x:row r="350" ht="154" customHeight="1">
      <x:c r="A350" s="10" t="str">
        <x:v>STRICT-20261010-juicefs</x:v>
      </x:c>
      <x:c r="B350" s="10" t="str">
        <x:v>NATIVE-111</x:v>
      </x:c>
      <x:c r="C350" s="10" t="str">
        <x:v>winfstest-streams/01.t</x:v>
      </x:c>
      <x:c r="D350" s="10" t="str">
        <x:v>winfstest</x:v>
      </x:c>
      <x:c r="E350" s="10" t="str">
        <x:v>本地</x:v>
      </x:c>
      <x:c r="F350" s="10" t="str">
        <x:v>同步</x:v>
      </x:c>
      <x:c r="G350" s="19" t="d">
        <x:v>2026-10-10T00:00:00.000Z</x:v>
      </x:c>
      <x:c r="H350" s="10" t="str">
        <x:v>已失败</x:v>
      </x:c>
      <x:c r="I350" s="21" t="n">
        <x:v>0.112</x:v>
      </x:c>
      <x:c r="J350" s="10" t="str">
        <x:v>JuiceFS 1.3.0 / WinFsp 2.1.25156 / rclone 1.75.0-onemount</x:v>
      </x:c>
      <x:c r="K350" s="10" t="str">
        <x:v>原版全外部；无 FUSE 筛选或名称比较放宽</x:v>
      </x:c>
      <x:c r="L350" s="10" t="str">
        <x:v>63151da049f846e65fb361d1f314df65c2d468a7</x:v>
      </x:c>
      <x:c r="M350" s="10" t="str">
        <x:v>E09 / targets.juicefs.results</x:v>
      </x:c>
      <x:c r="N350" s="10" t="str">
        <x:v>not ok 1 - expect "CreateDirectory 5db7e22d:foo 0" ERROR_DIRECTORY - got ERROR_INVALID_NAME
ok 3 - expect "CreateDirectory 5db7e22d 0" ERROR_ALREADY_EXISTS
not ok 4 - expect "CreateFile 5db7e22d:foo GENERIC_WRITE 0 0 CREATE_NEW FILE_ATTRIBUTE_NORMAL 0" 0 - got ERROR_INVALID_NAME
not ok 5 - expect "CreateFile 5db7e22d:foo GENERIC_WRITE 0 0 CREATE_NEW FILE_ATTRIBUTE_NORMAL 0" ERROR_FILE_EXISTS - got ERROR_INVALID_NAME
not ok 7 - expect "GetFileInformation 5db7e22d:foo" 0 - got ERROR_INVALID_NAME
IndexError: list index out of range</x:v>
      </x:c>
    </x:row>
    <x:row r="351" ht="170" customHeight="1">
      <x:c r="A351" s="11" t="str">
        <x:v>STRICT-20261010-juicefs</x:v>
      </x:c>
      <x:c r="B351" s="11" t="str">
        <x:v>NATIVE-112</x:v>
      </x:c>
      <x:c r="C351" s="11" t="str">
        <x:v>winfstest-streams/02.t</x:v>
      </x:c>
      <x:c r="D351" s="11" t="str">
        <x:v>winfstest</x:v>
      </x:c>
      <x:c r="E351" s="11" t="str">
        <x:v>本地</x:v>
      </x:c>
      <x:c r="F351" s="11" t="str">
        <x:v>同步</x:v>
      </x:c>
      <x:c r="G351" s="20" t="d">
        <x:v>2026-10-10T00:00:00.000Z</x:v>
      </x:c>
      <x:c r="H351" s="11" t="str">
        <x:v>已失败</x:v>
      </x:c>
      <x:c r="I351" s="22" t="n">
        <x:v>1.102</x:v>
      </x:c>
      <x:c r="J351" s="11" t="str">
        <x:v>JuiceFS 1.3.0 / WinFsp 2.1.25156 / rclone 1.75.0-onemount</x:v>
      </x:c>
      <x:c r="K351" s="11" t="str">
        <x:v>原版全外部；无 FUSE 筛选或名称比较放宽</x:v>
      </x:c>
      <x:c r="L351" s="11" t="str">
        <x:v>63151da049f846e65fb361d1f314df65c2d468a7</x:v>
      </x:c>
      <x:c r="M351" s="11" t="str">
        <x:v>E09 / targets.juicefs.results</x:v>
      </x:c>
      <x:c r="N351" s="11" t="str">
        <x:v>not ok 2 - expect "FindStreams aa9e5069" 0 - got ERROR_INVALID_PARAMETER
not ok 3 - testeval(len(s) == 1)
not ok 4 - testeval("::$DATA" in s)
ok 6 - expect "FindStreams aa9e5069" ERROR_FILE_NOT_FOUND
not ok 7 - expect "CreateFile aa9e5069:foo GENERIC_WRITE 0 0 CREATE_NEW FILE_ATTRIBUTE_NORMAL 0" 0 - got ERROR_INVALID_NAME
not ok 8 - expect "CreateFile aa9e5069:bar GENERIC_WRITE 0 0 CREATE_NEW FILE_ATTRIBUTE_NORMAL 0" 0 - got ERROR_INVALID_NAME
not ok 9 - expect "FindStreams aa9e5069" 0 - got ERROR_FILE_NOT_FOUND
not ok 10 - testeval(len(s) == 3)</x:v>
      </x:c>
    </x:row>
    <x:row r="352" ht="250" customHeight="1">
      <x:c r="A352" s="10" t="str">
        <x:v>STRICT-20261010-juicefs</x:v>
      </x:c>
      <x:c r="B352" s="10" t="str">
        <x:v>NATIVE-113</x:v>
      </x:c>
      <x:c r="C352" s="10" t="str">
        <x:v>winfstest-streams/03.t</x:v>
      </x:c>
      <x:c r="D352" s="10" t="str">
        <x:v>winfstest</x:v>
      </x:c>
      <x:c r="E352" s="10" t="str">
        <x:v>本地</x:v>
      </x:c>
      <x:c r="F352" s="10" t="str">
        <x:v>同步</x:v>
      </x:c>
      <x:c r="G352" s="19" t="d">
        <x:v>2026-10-10T00:00:00.000Z</x:v>
      </x:c>
      <x:c r="H352" s="10" t="str">
        <x:v>已失败</x:v>
      </x:c>
      <x:c r="I352" s="21" t="n">
        <x:v>0.367</x:v>
      </x:c>
      <x:c r="J352" s="10" t="str">
        <x:v>JuiceFS 1.3.0 / WinFsp 2.1.25156 / rclone 1.75.0-onemount</x:v>
      </x:c>
      <x:c r="K352" s="10" t="str">
        <x:v>原版全外部；无 FUSE 筛选或名称比较放宽</x:v>
      </x:c>
      <x:c r="L352" s="10" t="str">
        <x:v>63151da049f846e65fb361d1f314df65c2d468a7</x:v>
      </x:c>
      <x:c r="M352" s="10" t="str">
        <x:v>E09 / targets.juicefs.results</x:v>
      </x:c>
      <x:c r="N352" s="10" t="str">
        <x:v>not ok 1 - expect "CreateFile b77bb41e:strm GENERIC_WRITE 0 D:P(A;;GA;;;WD) CREATE_NEW FILE_ATTRIBUTE_NORMAL 0" 0 - got ERROR_INVALID_NAME
not ok 2 - expect "GetFileSecurity b77bb41e DACL_SECURITY_INFORMATION" 0 - got ERROR_FILE_NOT_FOUND
not ok 3 - expect "GetFileSecurity b77bb41e:strm DACL_SECURITY_INFORMATION" 0 - got ERROR_INVALID_NAME
not ok 4 - expect "SetFileSecurity b77bb41e:strm DACL_SECURITY_INFORMATION D:P(A;;GA;;;WD)(A;;GR;;;SY)" 0 - got ERROR_INVALID_NAME
not ok 5 - expect "GetFileSecurity b77bb41e DACL_SECURITY_INFORMATION" 0 - got ERROR_FILE_NOT_FOUND
not ok 6 - expect "GetFileSecurity b77bb41e:strm DACL_SECURITY_INFORMATION" 0 - got ERROR_INVALID_NAME
not ok 7 - expect "DeleteFile b77bb41e" 0 - got ERROR_FILE_NOT_FOUND
not ok 8 - expect "CreateFile b77bb41e:strm GENERIC_WRITE 0 D:P(A;;GA;;;WD) CREATE_NEW FILE_ATTRIBUTE_NORMAL 0" 0 - got ERROR_INVALID_NAME</x:v>
      </x:c>
    </x:row>
    <x:row r="353" ht="186" customHeight="1">
      <x:c r="A353" s="11" t="str">
        <x:v>STRICT-20261010-juicefs</x:v>
      </x:c>
      <x:c r="B353" s="11" t="str">
        <x:v>NATIVE-114</x:v>
      </x:c>
      <x:c r="C353" s="11" t="str">
        <x:v>winfstest-streams/04.t</x:v>
      </x:c>
      <x:c r="D353" s="11" t="str">
        <x:v>winfstest</x:v>
      </x:c>
      <x:c r="E353" s="11" t="str">
        <x:v>本地</x:v>
      </x:c>
      <x:c r="F353" s="11" t="str">
        <x:v>同步</x:v>
      </x:c>
      <x:c r="G353" s="20" t="d">
        <x:v>2026-10-10T00:00:00.000Z</x:v>
      </x:c>
      <x:c r="H353" s="11" t="str">
        <x:v>已失败</x:v>
      </x:c>
      <x:c r="I353" s="22" t="n">
        <x:v>0.131</x:v>
      </x:c>
      <x:c r="J353" s="11" t="str">
        <x:v>JuiceFS 1.3.0 / WinFsp 2.1.25156 / rclone 1.75.0-onemount</x:v>
      </x:c>
      <x:c r="K353" s="11" t="str">
        <x:v>原版全外部；无 FUSE 筛选或名称比较放宽</x:v>
      </x:c>
      <x:c r="L353" s="11" t="str">
        <x:v>63151da049f846e65fb361d1f314df65c2d468a7</x:v>
      </x:c>
      <x:c r="M353" s="11" t="str">
        <x:v>E09 / targets.juicefs.results</x:v>
      </x:c>
      <x:c r="N353" s="11" t="str">
        <x:v>not ok 1 - expect "CreateFile 78f3ea5c:strm GENERIC_WRITE 0 0 CREATE_NEW FILE_ATTRIBUTE_NORMAL 0" 0 - got ERROR_INVALID_NAME
not ok 2 - expect "GetFileInformation 78f3ea5c" 0 - got ERROR_FILE_NOT_FOUND
not ok 3 - expect "SetReparsePoint 78f3ea5c:strm 42 {92A23BD8-99F5-4FD6-807C-C56F3A063C52} 1A 2B 3C 4D 5F" 0 - got ERROR_INVALID_NAME
not ok 4 - expect "GetFileInformation 78f3ea5c" 0 - got ERROR_FILE_NOT_FOUND
not ok 5 - expect "GetReparsePoint 78f3ea5c" 0 - got ERROR_FILE_NOT_FOUND
not ok 6 - expect "SetReparsePoint 78f3ea5c 42 {92A23BD8-99F5-4FD6-807C-C56F3A063C52} A1 B2 C3 D4 F5 1A 2B 3C 4D 5F" 0 - got ERROR_FILE_NOT_FOUND
not ok 7 - expect "GetReparsePoint 78f3ea5c:strm" 0 - got ERROR_INVALID_NAME
not ok 8 - expect "DeleteFile 78f3ea5c" 0 - got ERROR_FILE_NOT_FOUND</x:v>
      </x:c>
    </x:row>
    <x:row r="354" ht="74" customHeight="1">
      <x:c r="A354" s="10" t="str">
        <x:v>STRICT-20261010-juicefs</x:v>
      </x:c>
      <x:c r="B354" s="10" t="str">
        <x:v>NATIVE-115</x:v>
      </x:c>
      <x:c r="C354" s="10" t="str">
        <x:v>fsx-normal</x:v>
      </x:c>
      <x:c r="D354" s="10" t="str">
        <x:v>fsx</x:v>
      </x:c>
      <x:c r="E354" s="10" t="str">
        <x:v>本地</x:v>
      </x:c>
      <x:c r="F354" s="10" t="str">
        <x:v>同步</x:v>
      </x:c>
      <x:c r="G354" s="19" t="d">
        <x:v>2026-10-10T00:00:00.000Z</x:v>
      </x:c>
      <x:c r="H354" s="10" t="str">
        <x:v>已通过</x:v>
      </x:c>
      <x:c r="I354" s="21" t="n">
        <x:v>19.913</x:v>
      </x:c>
      <x:c r="J354" s="10" t="str">
        <x:v>JuiceFS 1.3.0 / WinFsp 2.1.25156 / rclone 1.75.0-onemount</x:v>
      </x:c>
      <x:c r="K354" s="10" t="str">
        <x:v>原版全外部；无 FUSE 筛选或名称比较放宽</x:v>
      </x:c>
      <x:c r="L354" s="10" t="str">
        <x:v>63151da049f846e65fb361d1f314df65c2d468a7</x:v>
      </x:c>
      <x:c r="M354" s="10" t="str">
        <x:v>E09 / targets.juicefs.results</x:v>
      </x:c>
      <x:c r="N354" s="10" t="str">
        <x:v>入口结果见原始 JSON；通过不表示任意规模均正确</x:v>
      </x:c>
    </x:row>
    <x:row r="355" ht="74" customHeight="1">
      <x:c r="A355" s="11" t="str">
        <x:v>STRICT-20261010-juicefs</x:v>
      </x:c>
      <x:c r="B355" s="11" t="str">
        <x:v>NATIVE-116</x:v>
      </x:c>
      <x:c r="C355" s="11" t="str">
        <x:v>fsx-mixed</x:v>
      </x:c>
      <x:c r="D355" s="11" t="str">
        <x:v>fsx</x:v>
      </x:c>
      <x:c r="E355" s="11" t="str">
        <x:v>本地</x:v>
      </x:c>
      <x:c r="F355" s="11" t="str">
        <x:v>同步</x:v>
      </x:c>
      <x:c r="G355" s="20" t="d">
        <x:v>2026-10-10T00:00:00.000Z</x:v>
      </x:c>
      <x:c r="H355" s="11" t="str">
        <x:v>已通过</x:v>
      </x:c>
      <x:c r="I355" s="22" t="n">
        <x:v>18.302</x:v>
      </x:c>
      <x:c r="J355" s="11" t="str">
        <x:v>JuiceFS 1.3.0 / WinFsp 2.1.25156 / rclone 1.75.0-onemount</x:v>
      </x:c>
      <x:c r="K355" s="11" t="str">
        <x:v>原版全外部；无 FUSE 筛选或名称比较放宽</x:v>
      </x:c>
      <x:c r="L355" s="11" t="str">
        <x:v>63151da049f846e65fb361d1f314df65c2d468a7</x:v>
      </x:c>
      <x:c r="M355" s="11" t="str">
        <x:v>E09 / targets.juicefs.results</x:v>
      </x:c>
      <x:c r="N355" s="11" t="str">
        <x:v>入口结果见原始 JSON；通过不表示任意规模均正确</x:v>
      </x:c>
    </x:row>
    <x:row r="356" ht="74" customHeight="1">
      <x:c r="A356" s="10" t="str">
        <x:v>STRICT-20261010-juicefs</x:v>
      </x:c>
      <x:c r="B356" s="10" t="str">
        <x:v>NATIVE-117</x:v>
      </x:c>
      <x:c r="C356" s="10" t="str">
        <x:v>fsx-stream</x:v>
      </x:c>
      <x:c r="D356" s="10" t="str">
        <x:v>fsx</x:v>
      </x:c>
      <x:c r="E356" s="10" t="str">
        <x:v>本地</x:v>
      </x:c>
      <x:c r="F356" s="10" t="str">
        <x:v>同步</x:v>
      </x:c>
      <x:c r="G356" s="19" t="d">
        <x:v>2026-10-10T00:00:00.000Z</x:v>
      </x:c>
      <x:c r="H356" s="10" t="str">
        <x:v>已失败</x:v>
      </x:c>
      <x:c r="I356" s="21" t="n">
        <x:v>0.025</x:v>
      </x:c>
      <x:c r="J356" s="10" t="str">
        <x:v>JuiceFS 1.3.0 / WinFsp 2.1.25156 / rclone 1.75.0-onemount</x:v>
      </x:c>
      <x:c r="K356" s="10" t="str">
        <x:v>原版全外部；无 FUSE 筛选或名称比较放宽</x:v>
      </x:c>
      <x:c r="L356" s="10" t="str">
        <x:v>63151da049f846e65fb361d1f314df65c2d468a7</x:v>
      </x:c>
      <x:c r="M356" s="10" t="str">
        <x:v>E09 / targets.juicefs.results</x:v>
      </x:c>
      <x:c r="N356" s="10" t="str">
        <x:v>入口结果见原始 JSON；通过不表示任意规模均正确</x:v>
      </x:c>
    </x:row>
    <x:row r="357" ht="74" customHeight="1">
      <x:c r="A357" s="11" t="str">
        <x:v>STRICT-20261010-juicefs-writeback</x:v>
      </x:c>
      <x:c r="B357" s="11" t="str">
        <x:v>NATIVE-001</x:v>
      </x:c>
      <x:c r="C357" s="11" t="str">
        <x:v>create_test</x:v>
      </x:c>
      <x:c r="D357" s="11" t="str">
        <x:v>winfsp-tests</x:v>
      </x:c>
      <x:c r="E357" s="11" t="str">
        <x:v>本地</x:v>
      </x:c>
      <x:c r="F357" s="11" t="str">
        <x:v>后台</x:v>
      </x:c>
      <x:c r="G357" s="20" t="d">
        <x:v>2026-10-10T00:00:00.000Z</x:v>
      </x:c>
      <x:c r="H357" s="11" t="str">
        <x:v>已通过</x:v>
      </x:c>
      <x:c r="I357" s="22" t="n">
        <x:v>0.213</x:v>
      </x:c>
      <x:c r="J357" s="11" t="str">
        <x:v>JuiceFS 1.3.0 / WinFsp 2.1.25156 / rclone 1.75.0-onemount</x:v>
      </x:c>
      <x:c r="K357" s="11" t="str">
        <x:v>原版全外部；无 FUSE 筛选或名称比较放宽</x:v>
      </x:c>
      <x:c r="L357" s="11" t="str">
        <x:v>63151da049f846e65fb361d1f314df65c2d468a7</x:v>
      </x:c>
      <x:c r="M357" s="11" t="str">
        <x:v>E09 / targets.juicefs-writeback.results</x:v>
      </x:c>
      <x:c r="N357" s="11" t="str">
        <x:v>入口结果见原始 JSON；通过不表示任意规模均正确</x:v>
      </x:c>
    </x:row>
    <x:row r="358" ht="74" customHeight="1">
      <x:c r="A358" s="10" t="str">
        <x:v>STRICT-20261010-juicefs-writeback</x:v>
      </x:c>
      <x:c r="B358" s="10" t="str">
        <x:v>NATIVE-002</x:v>
      </x:c>
      <x:c r="C358" s="10" t="str">
        <x:v>create_fileattr_test</x:v>
      </x:c>
      <x:c r="D358" s="10" t="str">
        <x:v>winfsp-tests</x:v>
      </x:c>
      <x:c r="E358" s="10" t="str">
        <x:v>本地</x:v>
      </x:c>
      <x:c r="F358" s="10" t="str">
        <x:v>后台</x:v>
      </x:c>
      <x:c r="G358" s="19" t="d">
        <x:v>2026-10-10T00:00:00.000Z</x:v>
      </x:c>
      <x:c r="H358" s="10" t="str">
        <x:v>已通过</x:v>
      </x:c>
      <x:c r="I358" s="21" t="n">
        <x:v>0.21</x:v>
      </x:c>
      <x:c r="J358" s="10" t="str">
        <x:v>JuiceFS 1.3.0 / WinFsp 2.1.25156 / rclone 1.75.0-onemount</x:v>
      </x:c>
      <x:c r="K358" s="10" t="str">
        <x:v>原版全外部；无 FUSE 筛选或名称比较放宽</x:v>
      </x:c>
      <x:c r="L358" s="10" t="str">
        <x:v>63151da049f846e65fb361d1f314df65c2d468a7</x:v>
      </x:c>
      <x:c r="M358" s="10" t="str">
        <x:v>E09 / targets.juicefs-writeback.results</x:v>
      </x:c>
      <x:c r="N358" s="10" t="str">
        <x:v>入口结果见原始 JSON；通过不表示任意规模均正确</x:v>
      </x:c>
    </x:row>
    <x:row r="359" ht="74" customHeight="1">
      <x:c r="A359" s="11" t="str">
        <x:v>STRICT-20261010-juicefs-writeback</x:v>
      </x:c>
      <x:c r="B359" s="11" t="str">
        <x:v>NATIVE-003</x:v>
      </x:c>
      <x:c r="C359" s="11" t="str">
        <x:v>create_readonlydir_test</x:v>
      </x:c>
      <x:c r="D359" s="11" t="str">
        <x:v>winfsp-tests</x:v>
      </x:c>
      <x:c r="E359" s="11" t="str">
        <x:v>本地</x:v>
      </x:c>
      <x:c r="F359" s="11" t="str">
        <x:v>后台</x:v>
      </x:c>
      <x:c r="G359" s="20" t="d">
        <x:v>2026-10-10T00:00:00.000Z</x:v>
      </x:c>
      <x:c r="H359" s="11" t="str">
        <x:v>已失败</x:v>
      </x:c>
      <x:c r="I359" s="22" t="n">
        <x:v>0.395</x:v>
      </x:c>
      <x:c r="J359" s="11" t="str">
        <x:v>JuiceFS 1.3.0 / WinFsp 2.1.25156 / rclone 1.75.0-onemount</x:v>
      </x:c>
      <x:c r="K359" s="11" t="str">
        <x:v>原版全外部；无 FUSE 筛选或名称比较放宽</x:v>
      </x:c>
      <x:c r="L359" s="11" t="str">
        <x:v>63151da049f846e65fb361d1f314df65c2d468a7</x:v>
      </x:c>
      <x:c r="M359" s="11" t="str">
        <x:v>E09 / targets.juicefs-writeback.results</x:v>
      </x:c>
      <x:c r="N359" s="11" t="str">
        <x:v>    ASSERT(INVALID_HANDLE_VALUE != Handle) failed at create-test.c:381:create_readonlydir_dotest (err=c0000022:5)</x:v>
      </x:c>
    </x:row>
    <x:row r="360" ht="74" customHeight="1">
      <x:c r="A360" s="10" t="str">
        <x:v>STRICT-20261010-juicefs-writeback</x:v>
      </x:c>
      <x:c r="B360" s="10" t="str">
        <x:v>NATIVE-004</x:v>
      </x:c>
      <x:c r="C360" s="10" t="str">
        <x:v>create_related_test</x:v>
      </x:c>
      <x:c r="D360" s="10" t="str">
        <x:v>winfsp-tests</x:v>
      </x:c>
      <x:c r="E360" s="10" t="str">
        <x:v>本地</x:v>
      </x:c>
      <x:c r="F360" s="10" t="str">
        <x:v>后台</x:v>
      </x:c>
      <x:c r="G360" s="19" t="d">
        <x:v>2026-10-10T00:00:00.000Z</x:v>
      </x:c>
      <x:c r="H360" s="10" t="str">
        <x:v>已通过</x:v>
      </x:c>
      <x:c r="I360" s="21" t="n">
        <x:v>0.182</x:v>
      </x:c>
      <x:c r="J360" s="10" t="str">
        <x:v>JuiceFS 1.3.0 / WinFsp 2.1.25156 / rclone 1.75.0-onemount</x:v>
      </x:c>
      <x:c r="K360" s="10" t="str">
        <x:v>原版全外部；无 FUSE 筛选或名称比较放宽</x:v>
      </x:c>
      <x:c r="L360" s="10" t="str">
        <x:v>63151da049f846e65fb361d1f314df65c2d468a7</x:v>
      </x:c>
      <x:c r="M360" s="10" t="str">
        <x:v>E09 / targets.juicefs-writeback.results</x:v>
      </x:c>
      <x:c r="N360" s="10" t="str">
        <x:v>入口结果见原始 JSON；通过不表示任意规模均正确</x:v>
      </x:c>
    </x:row>
    <x:row r="361" ht="74" customHeight="1">
      <x:c r="A361" s="11" t="str">
        <x:v>STRICT-20261010-juicefs-writeback</x:v>
      </x:c>
      <x:c r="B361" s="11" t="str">
        <x:v>NATIVE-005</x:v>
      </x:c>
      <x:c r="C361" s="11" t="str">
        <x:v>create_allocation_test</x:v>
      </x:c>
      <x:c r="D361" s="11" t="str">
        <x:v>winfsp-tests</x:v>
      </x:c>
      <x:c r="E361" s="11" t="str">
        <x:v>本地</x:v>
      </x:c>
      <x:c r="F361" s="11" t="str">
        <x:v>后台</x:v>
      </x:c>
      <x:c r="G361" s="20" t="d">
        <x:v>2026-10-10T00:00:00.000Z</x:v>
      </x:c>
      <x:c r="H361" s="11" t="str">
        <x:v>已失败</x:v>
      </x:c>
      <x:c r="I361" s="22" t="n">
        <x:v>0.236</x:v>
      </x:c>
      <x:c r="J361" s="11" t="str">
        <x:v>JuiceFS 1.3.0 / WinFsp 2.1.25156 / rclone 1.75.0-onemount</x:v>
      </x:c>
      <x:c r="K361" s="11" t="str">
        <x:v>原版全外部；无 FUSE 筛选或名称比较放宽</x:v>
      </x:c>
      <x:c r="L361" s="11" t="str">
        <x:v>63151da049f846e65fb361d1f314df65c2d468a7</x:v>
      </x:c>
      <x:c r="M361" s="11" t="str">
        <x:v>E09 / targets.juicefs-writeback.results</x:v>
      </x:c>
      <x:c r="N361" s="11" t="str">
        <x:v>    ASSERT(65536 == StandardInfo.AllocationSize.QuadPart) failed at create-test.c:518:create_allocation_dotest (err=0:0)</x:v>
      </x:c>
    </x:row>
    <x:row r="362" ht="74" customHeight="1">
      <x:c r="A362" s="10" t="str">
        <x:v>STRICT-20261010-juicefs-writeback</x:v>
      </x:c>
      <x:c r="B362" s="10" t="str">
        <x:v>NATIVE-006</x:v>
      </x:c>
      <x:c r="C362" s="10" t="str">
        <x:v>create_sd_test</x:v>
      </x:c>
      <x:c r="D362" s="10" t="str">
        <x:v>winfsp-tests</x:v>
      </x:c>
      <x:c r="E362" s="10" t="str">
        <x:v>本地</x:v>
      </x:c>
      <x:c r="F362" s="10" t="str">
        <x:v>后台</x:v>
      </x:c>
      <x:c r="G362" s="19" t="d">
        <x:v>2026-10-10T00:00:00.000Z</x:v>
      </x:c>
      <x:c r="H362" s="10" t="str">
        <x:v>已通过</x:v>
      </x:c>
      <x:c r="I362" s="21" t="n">
        <x:v>0.184</x:v>
      </x:c>
      <x:c r="J362" s="10" t="str">
        <x:v>JuiceFS 1.3.0 / WinFsp 2.1.25156 / rclone 1.75.0-onemount</x:v>
      </x:c>
      <x:c r="K362" s="10" t="str">
        <x:v>原版全外部；无 FUSE 筛选或名称比较放宽</x:v>
      </x:c>
      <x:c r="L362" s="10" t="str">
        <x:v>63151da049f846e65fb361d1f314df65c2d468a7</x:v>
      </x:c>
      <x:c r="M362" s="10" t="str">
        <x:v>E09 / targets.juicefs-writeback.results</x:v>
      </x:c>
      <x:c r="N362" s="10" t="str">
        <x:v>入口结果见原始 JSON；通过不表示任意规模均正确</x:v>
      </x:c>
    </x:row>
    <x:row r="363" ht="74" customHeight="1">
      <x:c r="A363" s="11" t="str">
        <x:v>STRICT-20261010-juicefs-writeback</x:v>
      </x:c>
      <x:c r="B363" s="11" t="str">
        <x:v>NATIVE-007</x:v>
      </x:c>
      <x:c r="C363" s="11" t="str">
        <x:v>create_notraverse_test</x:v>
      </x:c>
      <x:c r="D363" s="11" t="str">
        <x:v>winfsp-tests</x:v>
      </x:c>
      <x:c r="E363" s="11" t="str">
        <x:v>本地</x:v>
      </x:c>
      <x:c r="F363" s="11" t="str">
        <x:v>后台</x:v>
      </x:c>
      <x:c r="G363" s="20" t="d">
        <x:v>2026-10-10T00:00:00.000Z</x:v>
      </x:c>
      <x:c r="H363" s="11" t="str">
        <x:v>已通过</x:v>
      </x:c>
      <x:c r="I363" s="22" t="n">
        <x:v>0.188</x:v>
      </x:c>
      <x:c r="J363" s="11" t="str">
        <x:v>JuiceFS 1.3.0 / WinFsp 2.1.25156 / rclone 1.75.0-onemount</x:v>
      </x:c>
      <x:c r="K363" s="11" t="str">
        <x:v>原版全外部；无 FUSE 筛选或名称比较放宽</x:v>
      </x:c>
      <x:c r="L363" s="11" t="str">
        <x:v>63151da049f846e65fb361d1f314df65c2d468a7</x:v>
      </x:c>
      <x:c r="M363" s="11" t="str">
        <x:v>E09 / targets.juicefs-writeback.results</x:v>
      </x:c>
      <x:c r="N363" s="11" t="str">
        <x:v>入口结果见原始 JSON；通过不表示任意规模均正确</x:v>
      </x:c>
    </x:row>
    <x:row r="364" ht="74" customHeight="1">
      <x:c r="A364" s="10" t="str">
        <x:v>STRICT-20261010-juicefs-writeback</x:v>
      </x:c>
      <x:c r="B364" s="10" t="str">
        <x:v>NATIVE-008</x:v>
      </x:c>
      <x:c r="C364" s="10" t="str">
        <x:v>create_backup_test</x:v>
      </x:c>
      <x:c r="D364" s="10" t="str">
        <x:v>winfsp-tests</x:v>
      </x:c>
      <x:c r="E364" s="10" t="str">
        <x:v>本地</x:v>
      </x:c>
      <x:c r="F364" s="10" t="str">
        <x:v>后台</x:v>
      </x:c>
      <x:c r="G364" s="19" t="d">
        <x:v>2026-10-10T00:00:00.000Z</x:v>
      </x:c>
      <x:c r="H364" s="10" t="str">
        <x:v>已通过</x:v>
      </x:c>
      <x:c r="I364" s="21" t="n">
        <x:v>0.187</x:v>
      </x:c>
      <x:c r="J364" s="10" t="str">
        <x:v>JuiceFS 1.3.0 / WinFsp 2.1.25156 / rclone 1.75.0-onemount</x:v>
      </x:c>
      <x:c r="K364" s="10" t="str">
        <x:v>原版全外部；无 FUSE 筛选或名称比较放宽</x:v>
      </x:c>
      <x:c r="L364" s="10" t="str">
        <x:v>63151da049f846e65fb361d1f314df65c2d468a7</x:v>
      </x:c>
      <x:c r="M364" s="10" t="str">
        <x:v>E09 / targets.juicefs-writeback.results</x:v>
      </x:c>
      <x:c r="N364" s="10" t="str">
        <x:v>入口结果见原始 JSON；通过不表示任意规模均正确</x:v>
      </x:c>
    </x:row>
    <x:row r="365" ht="74" customHeight="1">
      <x:c r="A365" s="11" t="str">
        <x:v>STRICT-20261010-juicefs-writeback</x:v>
      </x:c>
      <x:c r="B365" s="11" t="str">
        <x:v>NATIVE-009</x:v>
      </x:c>
      <x:c r="C365" s="11" t="str">
        <x:v>create_restore_test</x:v>
      </x:c>
      <x:c r="D365" s="11" t="str">
        <x:v>winfsp-tests</x:v>
      </x:c>
      <x:c r="E365" s="11" t="str">
        <x:v>本地</x:v>
      </x:c>
      <x:c r="F365" s="11" t="str">
        <x:v>后台</x:v>
      </x:c>
      <x:c r="G365" s="20" t="d">
        <x:v>2026-10-10T00:00:00.000Z</x:v>
      </x:c>
      <x:c r="H365" s="11" t="str">
        <x:v>已通过</x:v>
      </x:c>
      <x:c r="I365" s="22" t="n">
        <x:v>0.182</x:v>
      </x:c>
      <x:c r="J365" s="11" t="str">
        <x:v>JuiceFS 1.3.0 / WinFsp 2.1.25156 / rclone 1.75.0-onemount</x:v>
      </x:c>
      <x:c r="K365" s="11" t="str">
        <x:v>原版全外部；无 FUSE 筛选或名称比较放宽</x:v>
      </x:c>
      <x:c r="L365" s="11" t="str">
        <x:v>63151da049f846e65fb361d1f314df65c2d468a7</x:v>
      </x:c>
      <x:c r="M365" s="11" t="str">
        <x:v>E09 / targets.juicefs-writeback.results</x:v>
      </x:c>
      <x:c r="N365" s="11" t="str">
        <x:v>入口结果见原始 JSON；通过不表示任意规模均正确</x:v>
      </x:c>
    </x:row>
    <x:row r="366" ht="74" customHeight="1">
      <x:c r="A366" s="10" t="str">
        <x:v>STRICT-20261010-juicefs-writeback</x:v>
      </x:c>
      <x:c r="B366" s="10" t="str">
        <x:v>NATIVE-010</x:v>
      </x:c>
      <x:c r="C366" s="10" t="str">
        <x:v>create_share_test</x:v>
      </x:c>
      <x:c r="D366" s="10" t="str">
        <x:v>winfsp-tests</x:v>
      </x:c>
      <x:c r="E366" s="10" t="str">
        <x:v>本地</x:v>
      </x:c>
      <x:c r="F366" s="10" t="str">
        <x:v>后台</x:v>
      </x:c>
      <x:c r="G366" s="19" t="d">
        <x:v>2026-10-10T00:00:00.000Z</x:v>
      </x:c>
      <x:c r="H366" s="10" t="str">
        <x:v>已通过</x:v>
      </x:c>
      <x:c r="I366" s="21" t="n">
        <x:v>0.179</x:v>
      </x:c>
      <x:c r="J366" s="10" t="str">
        <x:v>JuiceFS 1.3.0 / WinFsp 2.1.25156 / rclone 1.75.0-onemount</x:v>
      </x:c>
      <x:c r="K366" s="10" t="str">
        <x:v>原版全外部；无 FUSE 筛选或名称比较放宽</x:v>
      </x:c>
      <x:c r="L366" s="10" t="str">
        <x:v>63151da049f846e65fb361d1f314df65c2d468a7</x:v>
      </x:c>
      <x:c r="M366" s="10" t="str">
        <x:v>E09 / targets.juicefs-writeback.results</x:v>
      </x:c>
      <x:c r="N366" s="10" t="str">
        <x:v>入口结果见原始 JSON；通过不表示任意规模均正确</x:v>
      </x:c>
    </x:row>
    <x:row r="367" ht="74" customHeight="1">
      <x:c r="A367" s="11" t="str">
        <x:v>STRICT-20261010-juicefs-writeback</x:v>
      </x:c>
      <x:c r="B367" s="11" t="str">
        <x:v>NATIVE-011</x:v>
      </x:c>
      <x:c r="C367" s="11" t="str">
        <x:v>create_curdir_test</x:v>
      </x:c>
      <x:c r="D367" s="11" t="str">
        <x:v>winfsp-tests</x:v>
      </x:c>
      <x:c r="E367" s="11" t="str">
        <x:v>本地</x:v>
      </x:c>
      <x:c r="F367" s="11" t="str">
        <x:v>后台</x:v>
      </x:c>
      <x:c r="G367" s="20" t="d">
        <x:v>2026-10-10T00:00:00.000Z</x:v>
      </x:c>
      <x:c r="H367" s="11" t="str">
        <x:v>已通过</x:v>
      </x:c>
      <x:c r="I367" s="22" t="n">
        <x:v>0.184</x:v>
      </x:c>
      <x:c r="J367" s="11" t="str">
        <x:v>JuiceFS 1.3.0 / WinFsp 2.1.25156 / rclone 1.75.0-onemount</x:v>
      </x:c>
      <x:c r="K367" s="11" t="str">
        <x:v>原版全外部；无 FUSE 筛选或名称比较放宽</x:v>
      </x:c>
      <x:c r="L367" s="11" t="str">
        <x:v>63151da049f846e65fb361d1f314df65c2d468a7</x:v>
      </x:c>
      <x:c r="M367" s="11" t="str">
        <x:v>E09 / targets.juicefs-writeback.results</x:v>
      </x:c>
      <x:c r="N367" s="11" t="str">
        <x:v>入口结果见原始 JSON；通过不表示任意规模均正确</x:v>
      </x:c>
    </x:row>
    <x:row r="368" ht="74" customHeight="1">
      <x:c r="A368" s="10" t="str">
        <x:v>STRICT-20261010-juicefs-writeback</x:v>
      </x:c>
      <x:c r="B368" s="10" t="str">
        <x:v>NATIVE-012</x:v>
      </x:c>
      <x:c r="C368" s="10" t="str">
        <x:v>create_namelen_test</x:v>
      </x:c>
      <x:c r="D368" s="10" t="str">
        <x:v>winfsp-tests</x:v>
      </x:c>
      <x:c r="E368" s="10" t="str">
        <x:v>本地</x:v>
      </x:c>
      <x:c r="F368" s="10" t="str">
        <x:v>后台</x:v>
      </x:c>
      <x:c r="G368" s="19" t="d">
        <x:v>2026-10-10T00:00:00.000Z</x:v>
      </x:c>
      <x:c r="H368" s="10" t="str">
        <x:v>已失败</x:v>
      </x:c>
      <x:c r="I368" s="21" t="n">
        <x:v>0.23</x:v>
      </x:c>
      <x:c r="J368" s="10" t="str">
        <x:v>JuiceFS 1.3.0 / WinFsp 2.1.25156 / rclone 1.75.0-onemount</x:v>
      </x:c>
      <x:c r="K368" s="10" t="str">
        <x:v>原版全外部；无 FUSE 筛选或名称比较放宽</x:v>
      </x:c>
      <x:c r="L368" s="10" t="str">
        <x:v>63151da049f846e65fb361d1f314df65c2d468a7</x:v>
      </x:c>
      <x:c r="M368" s="10" t="str">
        <x:v>E09 / targets.juicefs-writeback.results</x:v>
      </x:c>
      <x:c r="N368" s="10" t="str">
        <x:v>    ASSERT(INVALID_HANDLE_VALUE != Handle) failed at create-test.c:1297:create_namelen_dotest (err=c0000106:206)</x:v>
      </x:c>
    </x:row>
    <x:row r="369" ht="74" customHeight="1">
      <x:c r="A369" s="11" t="str">
        <x:v>STRICT-20261010-juicefs-writeback</x:v>
      </x:c>
      <x:c r="B369" s="11" t="str">
        <x:v>NATIVE-013</x:v>
      </x:c>
      <x:c r="C369" s="11" t="str">
        <x:v>getfileattr_test</x:v>
      </x:c>
      <x:c r="D369" s="11" t="str">
        <x:v>winfsp-tests</x:v>
      </x:c>
      <x:c r="E369" s="11" t="str">
        <x:v>本地</x:v>
      </x:c>
      <x:c r="F369" s="11" t="str">
        <x:v>后台</x:v>
      </x:c>
      <x:c r="G369" s="20" t="d">
        <x:v>2026-10-10T00:00:00.000Z</x:v>
      </x:c>
      <x:c r="H369" s="11" t="str">
        <x:v>已失败</x:v>
      </x:c>
      <x:c r="I369" s="22" t="n">
        <x:v>0.241</x:v>
      </x:c>
      <x:c r="J369" s="11" t="str">
        <x:v>JuiceFS 1.3.0 / WinFsp 2.1.25156 / rclone 1.75.0-onemount</x:v>
      </x:c>
      <x:c r="K369" s="11" t="str">
        <x:v>原版全外部；无 FUSE 筛选或名称比较放宽</x:v>
      </x:c>
      <x:c r="L369" s="11" t="str">
        <x:v>63151da049f846e65fb361d1f314df65c2d468a7</x:v>
      </x:c>
      <x:c r="M369" s="11" t="str">
        <x:v>E09 / targets.juicefs-writeback.results</x:v>
      </x:c>
      <x:c r="N369" s="11" t="str">
        <x:v>    ASSERT(INVALID_HANDLE_VALUE != Handle) failed at info-test.c:84:getfileattr_dotest (err=c0000022:5)</x:v>
      </x:c>
    </x:row>
    <x:row r="370" ht="74" customHeight="1">
      <x:c r="A370" s="10" t="str">
        <x:v>STRICT-20261010-juicefs-writeback</x:v>
      </x:c>
      <x:c r="B370" s="10" t="str">
        <x:v>NATIVE-014</x:v>
      </x:c>
      <x:c r="C370" s="10" t="str">
        <x:v>getfileinfo_test</x:v>
      </x:c>
      <x:c r="D370" s="10" t="str">
        <x:v>winfsp-tests</x:v>
      </x:c>
      <x:c r="E370" s="10" t="str">
        <x:v>本地</x:v>
      </x:c>
      <x:c r="F370" s="10" t="str">
        <x:v>后台</x:v>
      </x:c>
      <x:c r="G370" s="19" t="d">
        <x:v>2026-10-10T00:00:00.000Z</x:v>
      </x:c>
      <x:c r="H370" s="10" t="str">
        <x:v>已失败</x:v>
      </x:c>
      <x:c r="I370" s="21" t="n">
        <x:v>0.228</x:v>
      </x:c>
      <x:c r="J370" s="10" t="str">
        <x:v>JuiceFS 1.3.0 / WinFsp 2.1.25156 / rclone 1.75.0-onemount</x:v>
      </x:c>
      <x:c r="K370" s="10" t="str">
        <x:v>原版全外部；无 FUSE 筛选或名称比较放宽</x:v>
      </x:c>
      <x:c r="L370" s="10" t="str">
        <x:v>63151da049f846e65fb361d1f314df65c2d468a7</x:v>
      </x:c>
      <x:c r="M370" s="10" t="str">
        <x:v>E09 / targets.juicefs-writeback.results</x:v>
      </x:c>
      <x:c r="N370" s="10" t="str">
        <x:v>    ASSERT(PNameInfo-&gt;FileNameLength == wcslen(FilePath + 6) * sizeof(WCHAR)) failed at info-test.c:231:getfileinfo_dotest (err=80000005:234)</x:v>
      </x:c>
    </x:row>
    <x:row r="371" ht="74" customHeight="1">
      <x:c r="A371" s="11" t="str">
        <x:v>STRICT-20261010-juicefs-writeback</x:v>
      </x:c>
      <x:c r="B371" s="11" t="str">
        <x:v>NATIVE-015</x:v>
      </x:c>
      <x:c r="C371" s="11" t="str">
        <x:v>getfileinfo_name_test</x:v>
      </x:c>
      <x:c r="D371" s="11" t="str">
        <x:v>winfsp-tests</x:v>
      </x:c>
      <x:c r="E371" s="11" t="str">
        <x:v>本地</x:v>
      </x:c>
      <x:c r="F371" s="11" t="str">
        <x:v>后台</x:v>
      </x:c>
      <x:c r="G371" s="20" t="d">
        <x:v>2026-10-10T00:00:00.000Z</x:v>
      </x:c>
      <x:c r="H371" s="11" t="str">
        <x:v>已失败</x:v>
      </x:c>
      <x:c r="I371" s="22" t="n">
        <x:v>0.228</x:v>
      </x:c>
      <x:c r="J371" s="11" t="str">
        <x:v>JuiceFS 1.3.0 / WinFsp 2.1.25156 / rclone 1.75.0-onemount</x:v>
      </x:c>
      <x:c r="K371" s="11" t="str">
        <x:v>原版全外部；无 FUSE 筛选或名称比较放宽</x:v>
      </x:c>
      <x:c r="L371" s="11" t="str">
        <x:v>63151da049f846e65fb361d1f314df65c2d468a7</x:v>
      </x:c>
      <x:c r="M371" s="11" t="str">
        <x:v>E09 / targets.juicefs-writeback.results</x:v>
      </x:c>
      <x:c r="N371" s="11" t="str">
        <x:v>    ASSERT(0 == wcscmp(OrigPath, FinalPath)) failed at info-test.c:355:getfileinfo_name_dotest (err=0:0)</x:v>
      </x:c>
    </x:row>
    <x:row r="372" ht="74" customHeight="1">
      <x:c r="A372" s="10" t="str">
        <x:v>STRICT-20261010-juicefs-writeback</x:v>
      </x:c>
      <x:c r="B372" s="10" t="str">
        <x:v>NATIVE-016</x:v>
      </x:c>
      <x:c r="C372" s="10" t="str">
        <x:v>setfileinfo_test</x:v>
      </x:c>
      <x:c r="D372" s="10" t="str">
        <x:v>winfsp-tests</x:v>
      </x:c>
      <x:c r="E372" s="10" t="str">
        <x:v>本地</x:v>
      </x:c>
      <x:c r="F372" s="10" t="str">
        <x:v>后台</x:v>
      </x:c>
      <x:c r="G372" s="19" t="d">
        <x:v>2026-10-10T00:00:00.000Z</x:v>
      </x:c>
      <x:c r="H372" s="10" t="str">
        <x:v>已失败</x:v>
      </x:c>
      <x:c r="I372" s="21" t="n">
        <x:v>0.232</x:v>
      </x:c>
      <x:c r="J372" s="10" t="str">
        <x:v>JuiceFS 1.3.0 / WinFsp 2.1.25156 / rclone 1.75.0-onemount</x:v>
      </x:c>
      <x:c r="K372" s="10" t="str">
        <x:v>原版全外部；无 FUSE 筛选或名称比较放宽</x:v>
      </x:c>
      <x:c r="L372" s="10" t="str">
        <x:v>63151da049f846e65fb361d1f314df65c2d468a7</x:v>
      </x:c>
      <x:c r="M372" s="10" t="str">
        <x:v>E09 / targets.juicefs-writeback.results</x:v>
      </x:c>
      <x:c r="N372" s="10" t="str">
        <x:v>    ASSERT(*(PUINT64)&amp;FileInfo0.ftCreationTime == *(PUINT64)&amp;FileInfo.ftCreationTime) failed at info-test.c:438:setfileinfo_dotest (err=0:0)</x:v>
      </x:c>
    </x:row>
    <x:row r="373" ht="74" customHeight="1">
      <x:c r="A373" s="11" t="str">
        <x:v>STRICT-20261010-juicefs-writeback</x:v>
      </x:c>
      <x:c r="B373" s="11" t="str">
        <x:v>NATIVE-017</x:v>
      </x:c>
      <x:c r="C373" s="11" t="str">
        <x:v>delete_test</x:v>
      </x:c>
      <x:c r="D373" s="11" t="str">
        <x:v>winfsp-tests</x:v>
      </x:c>
      <x:c r="E373" s="11" t="str">
        <x:v>本地</x:v>
      </x:c>
      <x:c r="F373" s="11" t="str">
        <x:v>后台</x:v>
      </x:c>
      <x:c r="G373" s="20" t="d">
        <x:v>2026-10-10T00:00:00.000Z</x:v>
      </x:c>
      <x:c r="H373" s="11" t="str">
        <x:v>已通过</x:v>
      </x:c>
      <x:c r="I373" s="22" t="n">
        <x:v>0.188</x:v>
      </x:c>
      <x:c r="J373" s="11" t="str">
        <x:v>JuiceFS 1.3.0 / WinFsp 2.1.25156 / rclone 1.75.0-onemount</x:v>
      </x:c>
      <x:c r="K373" s="11" t="str">
        <x:v>原版全外部；无 FUSE 筛选或名称比较放宽</x:v>
      </x:c>
      <x:c r="L373" s="11" t="str">
        <x:v>63151da049f846e65fb361d1f314df65c2d468a7</x:v>
      </x:c>
      <x:c r="M373" s="11" t="str">
        <x:v>E09 / targets.juicefs-writeback.results</x:v>
      </x:c>
      <x:c r="N373" s="11" t="str">
        <x:v>入口结果见原始 JSON；通过不表示任意规模均正确</x:v>
      </x:c>
    </x:row>
    <x:row r="374" ht="74" customHeight="1">
      <x:c r="A374" s="10" t="str">
        <x:v>STRICT-20261010-juicefs-writeback</x:v>
      </x:c>
      <x:c r="B374" s="10" t="str">
        <x:v>NATIVE-018</x:v>
      </x:c>
      <x:c r="C374" s="10" t="str">
        <x:v>delete_access_test</x:v>
      </x:c>
      <x:c r="D374" s="10" t="str">
        <x:v>winfsp-tests</x:v>
      </x:c>
      <x:c r="E374" s="10" t="str">
        <x:v>本地</x:v>
      </x:c>
      <x:c r="F374" s="10" t="str">
        <x:v>后台</x:v>
      </x:c>
      <x:c r="G374" s="19" t="d">
        <x:v>2026-10-10T00:00:00.000Z</x:v>
      </x:c>
      <x:c r="H374" s="10" t="str">
        <x:v>已通过</x:v>
      </x:c>
      <x:c r="I374" s="21" t="n">
        <x:v>0.193</x:v>
      </x:c>
      <x:c r="J374" s="10" t="str">
        <x:v>JuiceFS 1.3.0 / WinFsp 2.1.25156 / rclone 1.75.0-onemount</x:v>
      </x:c>
      <x:c r="K374" s="10" t="str">
        <x:v>原版全外部；无 FUSE 筛选或名称比较放宽</x:v>
      </x:c>
      <x:c r="L374" s="10" t="str">
        <x:v>63151da049f846e65fb361d1f314df65c2d468a7</x:v>
      </x:c>
      <x:c r="M374" s="10" t="str">
        <x:v>E09 / targets.juicefs-writeback.results</x:v>
      </x:c>
      <x:c r="N374" s="10" t="str">
        <x:v>入口结果见原始 JSON；通过不表示任意规模均正确</x:v>
      </x:c>
    </x:row>
    <x:row r="375" ht="74" customHeight="1">
      <x:c r="A375" s="11" t="str">
        <x:v>STRICT-20261010-juicefs-writeback</x:v>
      </x:c>
      <x:c r="B375" s="11" t="str">
        <x:v>NATIVE-019</x:v>
      </x:c>
      <x:c r="C375" s="11" t="str">
        <x:v>delete_pending_test</x:v>
      </x:c>
      <x:c r="D375" s="11" t="str">
        <x:v>winfsp-tests</x:v>
      </x:c>
      <x:c r="E375" s="11" t="str">
        <x:v>本地</x:v>
      </x:c>
      <x:c r="F375" s="11" t="str">
        <x:v>后台</x:v>
      </x:c>
      <x:c r="G375" s="20" t="d">
        <x:v>2026-10-10T00:00:00.000Z</x:v>
      </x:c>
      <x:c r="H375" s="11" t="str">
        <x:v>已通过</x:v>
      </x:c>
      <x:c r="I375" s="22" t="n">
        <x:v>0.189</x:v>
      </x:c>
      <x:c r="J375" s="11" t="str">
        <x:v>JuiceFS 1.3.0 / WinFsp 2.1.25156 / rclone 1.75.0-onemount</x:v>
      </x:c>
      <x:c r="K375" s="11" t="str">
        <x:v>原版全外部；无 FUSE 筛选或名称比较放宽</x:v>
      </x:c>
      <x:c r="L375" s="11" t="str">
        <x:v>63151da049f846e65fb361d1f314df65c2d468a7</x:v>
      </x:c>
      <x:c r="M375" s="11" t="str">
        <x:v>E09 / targets.juicefs-writeback.results</x:v>
      </x:c>
      <x:c r="N375" s="11" t="str">
        <x:v>入口结果见原始 JSON；通过不表示任意规模均正确</x:v>
      </x:c>
    </x:row>
    <x:row r="376" ht="74" customHeight="1">
      <x:c r="A376" s="10" t="str">
        <x:v>STRICT-20261010-juicefs-writeback</x:v>
      </x:c>
      <x:c r="B376" s="10" t="str">
        <x:v>NATIVE-020</x:v>
      </x:c>
      <x:c r="C376" s="10" t="str">
        <x:v>delete_mmap_test</x:v>
      </x:c>
      <x:c r="D376" s="10" t="str">
        <x:v>winfsp-tests</x:v>
      </x:c>
      <x:c r="E376" s="10" t="str">
        <x:v>本地</x:v>
      </x:c>
      <x:c r="F376" s="10" t="str">
        <x:v>后台</x:v>
      </x:c>
      <x:c r="G376" s="19" t="d">
        <x:v>2026-10-10T00:00:00.000Z</x:v>
      </x:c>
      <x:c r="H376" s="10" t="str">
        <x:v>已通过</x:v>
      </x:c>
      <x:c r="I376" s="21" t="n">
        <x:v>0.193</x:v>
      </x:c>
      <x:c r="J376" s="10" t="str">
        <x:v>JuiceFS 1.3.0 / WinFsp 2.1.25156 / rclone 1.75.0-onemount</x:v>
      </x:c>
      <x:c r="K376" s="10" t="str">
        <x:v>原版全外部；无 FUSE 筛选或名称比较放宽</x:v>
      </x:c>
      <x:c r="L376" s="10" t="str">
        <x:v>63151da049f846e65fb361d1f314df65c2d468a7</x:v>
      </x:c>
      <x:c r="M376" s="10" t="str">
        <x:v>E09 / targets.juicefs-writeback.results</x:v>
      </x:c>
      <x:c r="N376" s="10" t="str">
        <x:v>入口结果见原始 JSON；通过不表示任意规模均正确</x:v>
      </x:c>
    </x:row>
    <x:row r="377" ht="74" customHeight="1">
      <x:c r="A377" s="11" t="str">
        <x:v>STRICT-20261010-juicefs-writeback</x:v>
      </x:c>
      <x:c r="B377" s="11" t="str">
        <x:v>NATIVE-021</x:v>
      </x:c>
      <x:c r="C377" s="11" t="str">
        <x:v>delete_standby_test</x:v>
      </x:c>
      <x:c r="D377" s="11" t="str">
        <x:v>winfsp-tests</x:v>
      </x:c>
      <x:c r="E377" s="11" t="str">
        <x:v>本地</x:v>
      </x:c>
      <x:c r="F377" s="11" t="str">
        <x:v>后台</x:v>
      </x:c>
      <x:c r="G377" s="20" t="d">
        <x:v>2026-10-10T00:00:00.000Z</x:v>
      </x:c>
      <x:c r="H377" s="11" t="str">
        <x:v>已通过</x:v>
      </x:c>
      <x:c r="I377" s="22" t="n">
        <x:v>0.288</x:v>
      </x:c>
      <x:c r="J377" s="11" t="str">
        <x:v>JuiceFS 1.3.0 / WinFsp 2.1.25156 / rclone 1.75.0-onemount</x:v>
      </x:c>
      <x:c r="K377" s="11" t="str">
        <x:v>原版全外部；无 FUSE 筛选或名称比较放宽</x:v>
      </x:c>
      <x:c r="L377" s="11" t="str">
        <x:v>63151da049f846e65fb361d1f314df65c2d468a7</x:v>
      </x:c>
      <x:c r="M377" s="11" t="str">
        <x:v>E09 / targets.juicefs-writeback.results</x:v>
      </x:c>
      <x:c r="N377" s="11" t="str">
        <x:v>入口结果见原始 JSON；通过不表示任意规模均正确</x:v>
      </x:c>
    </x:row>
    <x:row r="378" ht="74" customHeight="1">
      <x:c r="A378" s="10" t="str">
        <x:v>STRICT-20261010-juicefs-writeback</x:v>
      </x:c>
      <x:c r="B378" s="10" t="str">
        <x:v>NATIVE-022</x:v>
      </x:c>
      <x:c r="C378" s="10" t="str">
        <x:v>delete_ex_test</x:v>
      </x:c>
      <x:c r="D378" s="10" t="str">
        <x:v>winfsp-tests</x:v>
      </x:c>
      <x:c r="E378" s="10" t="str">
        <x:v>本地</x:v>
      </x:c>
      <x:c r="F378" s="10" t="str">
        <x:v>后台</x:v>
      </x:c>
      <x:c r="G378" s="19" t="d">
        <x:v>2026-10-10T00:00:00.000Z</x:v>
      </x:c>
      <x:c r="H378" s="10" t="str">
        <x:v>已失败</x:v>
      </x:c>
      <x:c r="I378" s="21" t="n">
        <x:v>0.236</x:v>
      </x:c>
      <x:c r="J378" s="10" t="str">
        <x:v>JuiceFS 1.3.0 / WinFsp 2.1.25156 / rclone 1.75.0-onemount</x:v>
      </x:c>
      <x:c r="K378" s="10" t="str">
        <x:v>原版全外部；无 FUSE 筛选或名称比较放宽</x:v>
      </x:c>
      <x:c r="L378" s="10" t="str">
        <x:v>63151da049f846e65fb361d1f314df65c2d468a7</x:v>
      </x:c>
      <x:c r="M378" s="10" t="str">
        <x:v>E09 / targets.juicefs-writeback.results</x:v>
      </x:c>
      <x:c r="N378" s="10" t="str">
        <x:v>    ASSERT(0 == mywcscmp(FindData.cFileName, 4, L"file", 4)) failed at info-test.c:973:delete_ex_dotest (err=0:0)</x:v>
      </x:c>
    </x:row>
    <x:row r="379" ht="74" customHeight="1">
      <x:c r="A379" s="11" t="str">
        <x:v>STRICT-20261010-juicefs-writeback</x:v>
      </x:c>
      <x:c r="B379" s="11" t="str">
        <x:v>NATIVE-023</x:v>
      </x:c>
      <x:c r="C379" s="11" t="str">
        <x:v>rename_test</x:v>
      </x:c>
      <x:c r="D379" s="11" t="str">
        <x:v>winfsp-tests</x:v>
      </x:c>
      <x:c r="E379" s="11" t="str">
        <x:v>本地</x:v>
      </x:c>
      <x:c r="F379" s="11" t="str">
        <x:v>后台</x:v>
      </x:c>
      <x:c r="G379" s="20" t="d">
        <x:v>2026-10-10T00:00:00.000Z</x:v>
      </x:c>
      <x:c r="H379" s="11" t="str">
        <x:v>已通过</x:v>
      </x:c>
      <x:c r="I379" s="22" t="n">
        <x:v>0.214</x:v>
      </x:c>
      <x:c r="J379" s="11" t="str">
        <x:v>JuiceFS 1.3.0 / WinFsp 2.1.25156 / rclone 1.75.0-onemount</x:v>
      </x:c>
      <x:c r="K379" s="11" t="str">
        <x:v>原版全外部；无 FUSE 筛选或名称比较放宽</x:v>
      </x:c>
      <x:c r="L379" s="11" t="str">
        <x:v>63151da049f846e65fb361d1f314df65c2d468a7</x:v>
      </x:c>
      <x:c r="M379" s="11" t="str">
        <x:v>E09 / targets.juicefs-writeback.results</x:v>
      </x:c>
      <x:c r="N379" s="11" t="str">
        <x:v>入口结果见原始 JSON；通过不表示任意规模均正确</x:v>
      </x:c>
    </x:row>
    <x:row r="380" ht="74" customHeight="1">
      <x:c r="A380" s="10" t="str">
        <x:v>STRICT-20261010-juicefs-writeback</x:v>
      </x:c>
      <x:c r="B380" s="10" t="str">
        <x:v>NATIVE-024</x:v>
      </x:c>
      <x:c r="C380" s="10" t="str">
        <x:v>rename_backslash_test</x:v>
      </x:c>
      <x:c r="D380" s="10" t="str">
        <x:v>winfsp-tests</x:v>
      </x:c>
      <x:c r="E380" s="10" t="str">
        <x:v>本地</x:v>
      </x:c>
      <x:c r="F380" s="10" t="str">
        <x:v>后台</x:v>
      </x:c>
      <x:c r="G380" s="19" t="d">
        <x:v>2026-10-10T00:00:00.000Z</x:v>
      </x:c>
      <x:c r="H380" s="10" t="str">
        <x:v>已通过</x:v>
      </x:c>
      <x:c r="I380" s="21" t="n">
        <x:v>0.182</x:v>
      </x:c>
      <x:c r="J380" s="10" t="str">
        <x:v>JuiceFS 1.3.0 / WinFsp 2.1.25156 / rclone 1.75.0-onemount</x:v>
      </x:c>
      <x:c r="K380" s="10" t="str">
        <x:v>原版全外部；无 FUSE 筛选或名称比较放宽</x:v>
      </x:c>
      <x:c r="L380" s="10" t="str">
        <x:v>63151da049f846e65fb361d1f314df65c2d468a7</x:v>
      </x:c>
      <x:c r="M380" s="10" t="str">
        <x:v>E09 / targets.juicefs-writeback.results</x:v>
      </x:c>
      <x:c r="N380" s="10" t="str">
        <x:v>入口结果见原始 JSON；通过不表示任意规模均正确</x:v>
      </x:c>
    </x:row>
    <x:row r="381" ht="74" customHeight="1">
      <x:c r="A381" s="11" t="str">
        <x:v>STRICT-20261010-juicefs-writeback</x:v>
      </x:c>
      <x:c r="B381" s="11" t="str">
        <x:v>NATIVE-025</x:v>
      </x:c>
      <x:c r="C381" s="11" t="str">
        <x:v>rename_open_test</x:v>
      </x:c>
      <x:c r="D381" s="11" t="str">
        <x:v>winfsp-tests</x:v>
      </x:c>
      <x:c r="E381" s="11" t="str">
        <x:v>本地</x:v>
      </x:c>
      <x:c r="F381" s="11" t="str">
        <x:v>后台</x:v>
      </x:c>
      <x:c r="G381" s="20" t="d">
        <x:v>2026-10-10T00:00:00.000Z</x:v>
      </x:c>
      <x:c r="H381" s="11" t="str">
        <x:v>已通过</x:v>
      </x:c>
      <x:c r="I381" s="22" t="n">
        <x:v>0.182</x:v>
      </x:c>
      <x:c r="J381" s="11" t="str">
        <x:v>JuiceFS 1.3.0 / WinFsp 2.1.25156 / rclone 1.75.0-onemount</x:v>
      </x:c>
      <x:c r="K381" s="11" t="str">
        <x:v>原版全外部；无 FUSE 筛选或名称比较放宽</x:v>
      </x:c>
      <x:c r="L381" s="11" t="str">
        <x:v>63151da049f846e65fb361d1f314df65c2d468a7</x:v>
      </x:c>
      <x:c r="M381" s="11" t="str">
        <x:v>E09 / targets.juicefs-writeback.results</x:v>
      </x:c>
      <x:c r="N381" s="11" t="str">
        <x:v>入口结果见原始 JSON；通过不表示任意规模均正确</x:v>
      </x:c>
    </x:row>
    <x:row r="382" ht="74" customHeight="1">
      <x:c r="A382" s="10" t="str">
        <x:v>STRICT-20261010-juicefs-writeback</x:v>
      </x:c>
      <x:c r="B382" s="10" t="str">
        <x:v>NATIVE-026</x:v>
      </x:c>
      <x:c r="C382" s="10" t="str">
        <x:v>rename_caseins_test</x:v>
      </x:c>
      <x:c r="D382" s="10" t="str">
        <x:v>winfsp-tests</x:v>
      </x:c>
      <x:c r="E382" s="10" t="str">
        <x:v>本地</x:v>
      </x:c>
      <x:c r="F382" s="10" t="str">
        <x:v>后台</x:v>
      </x:c>
      <x:c r="G382" s="19" t="d">
        <x:v>2026-10-10T00:00:00.000Z</x:v>
      </x:c>
      <x:c r="H382" s="10" t="str">
        <x:v>已通过</x:v>
      </x:c>
      <x:c r="I382" s="21" t="n">
        <x:v>0.19</x:v>
      </x:c>
      <x:c r="J382" s="10" t="str">
        <x:v>JuiceFS 1.3.0 / WinFsp 2.1.25156 / rclone 1.75.0-onemount</x:v>
      </x:c>
      <x:c r="K382" s="10" t="str">
        <x:v>原版全外部；无 FUSE 筛选或名称比较放宽</x:v>
      </x:c>
      <x:c r="L382" s="10" t="str">
        <x:v>63151da049f846e65fb361d1f314df65c2d468a7</x:v>
      </x:c>
      <x:c r="M382" s="10" t="str">
        <x:v>E09 / targets.juicefs-writeback.results</x:v>
      </x:c>
      <x:c r="N382" s="10" t="str">
        <x:v>入口结果见原始 JSON；通过不表示任意规模均正确</x:v>
      </x:c>
    </x:row>
    <x:row r="383" ht="74" customHeight="1">
      <x:c r="A383" s="11" t="str">
        <x:v>STRICT-20261010-juicefs-writeback</x:v>
      </x:c>
      <x:c r="B383" s="11" t="str">
        <x:v>NATIVE-027</x:v>
      </x:c>
      <x:c r="C383" s="11" t="str">
        <x:v>rename_flipflop_test</x:v>
      </x:c>
      <x:c r="D383" s="11" t="str">
        <x:v>winfsp-tests</x:v>
      </x:c>
      <x:c r="E383" s="11" t="str">
        <x:v>本地</x:v>
      </x:c>
      <x:c r="F383" s="11" t="str">
        <x:v>后台</x:v>
      </x:c>
      <x:c r="G383" s="20" t="d">
        <x:v>2026-10-10T00:00:00.000Z</x:v>
      </x:c>
      <x:c r="H383" s="11" t="str">
        <x:v>已通过</x:v>
      </x:c>
      <x:c r="I383" s="22" t="n">
        <x:v>0.266</x:v>
      </x:c>
      <x:c r="J383" s="11" t="str">
        <x:v>JuiceFS 1.3.0 / WinFsp 2.1.25156 / rclone 1.75.0-onemount</x:v>
      </x:c>
      <x:c r="K383" s="11" t="str">
        <x:v>原版全外部；无 FUSE 筛选或名称比较放宽</x:v>
      </x:c>
      <x:c r="L383" s="11" t="str">
        <x:v>63151da049f846e65fb361d1f314df65c2d468a7</x:v>
      </x:c>
      <x:c r="M383" s="11" t="str">
        <x:v>E09 / targets.juicefs-writeback.results</x:v>
      </x:c>
      <x:c r="N383" s="11" t="str">
        <x:v>入口结果见原始 JSON；通过不表示任意规模均正确</x:v>
      </x:c>
    </x:row>
    <x:row r="384" ht="74" customHeight="1">
      <x:c r="A384" s="10" t="str">
        <x:v>STRICT-20261010-juicefs-writeback</x:v>
      </x:c>
      <x:c r="B384" s="10" t="str">
        <x:v>NATIVE-028</x:v>
      </x:c>
      <x:c r="C384" s="10" t="str">
        <x:v>rename_mmap_test</x:v>
      </x:c>
      <x:c r="D384" s="10" t="str">
        <x:v>winfsp-tests</x:v>
      </x:c>
      <x:c r="E384" s="10" t="str">
        <x:v>本地</x:v>
      </x:c>
      <x:c r="F384" s="10" t="str">
        <x:v>后台</x:v>
      </x:c>
      <x:c r="G384" s="19" t="d">
        <x:v>2026-10-10T00:00:00.000Z</x:v>
      </x:c>
      <x:c r="H384" s="10" t="str">
        <x:v>已通过</x:v>
      </x:c>
      <x:c r="I384" s="21" t="n">
        <x:v>0.185</x:v>
      </x:c>
      <x:c r="J384" s="10" t="str">
        <x:v>JuiceFS 1.3.0 / WinFsp 2.1.25156 / rclone 1.75.0-onemount</x:v>
      </x:c>
      <x:c r="K384" s="10" t="str">
        <x:v>原版全外部；无 FUSE 筛选或名称比较放宽</x:v>
      </x:c>
      <x:c r="L384" s="10" t="str">
        <x:v>63151da049f846e65fb361d1f314df65c2d468a7</x:v>
      </x:c>
      <x:c r="M384" s="10" t="str">
        <x:v>E09 / targets.juicefs-writeback.results</x:v>
      </x:c>
      <x:c r="N384" s="10" t="str">
        <x:v>入口结果见原始 JSON；通过不表示任意规模均正确</x:v>
      </x:c>
    </x:row>
    <x:row r="385" ht="74" customHeight="1">
      <x:c r="A385" s="11" t="str">
        <x:v>STRICT-20261010-juicefs-writeback</x:v>
      </x:c>
      <x:c r="B385" s="11" t="str">
        <x:v>NATIVE-029</x:v>
      </x:c>
      <x:c r="C385" s="11" t="str">
        <x:v>rename_standby_test</x:v>
      </x:c>
      <x:c r="D385" s="11" t="str">
        <x:v>winfsp-tests</x:v>
      </x:c>
      <x:c r="E385" s="11" t="str">
        <x:v>本地</x:v>
      </x:c>
      <x:c r="F385" s="11" t="str">
        <x:v>后台</x:v>
      </x:c>
      <x:c r="G385" s="20" t="d">
        <x:v>2026-10-10T00:00:00.000Z</x:v>
      </x:c>
      <x:c r="H385" s="11" t="str">
        <x:v>已通过</x:v>
      </x:c>
      <x:c r="I385" s="22" t="n">
        <x:v>0.347</x:v>
      </x:c>
      <x:c r="J385" s="11" t="str">
        <x:v>JuiceFS 1.3.0 / WinFsp 2.1.25156 / rclone 1.75.0-onemount</x:v>
      </x:c>
      <x:c r="K385" s="11" t="str">
        <x:v>原版全外部；无 FUSE 筛选或名称比较放宽</x:v>
      </x:c>
      <x:c r="L385" s="11" t="str">
        <x:v>63151da049f846e65fb361d1f314df65c2d468a7</x:v>
      </x:c>
      <x:c r="M385" s="11" t="str">
        <x:v>E09 / targets.juicefs-writeback.results</x:v>
      </x:c>
      <x:c r="N385" s="11" t="str">
        <x:v>入口结果见原始 JSON；通过不表示任意规模均正确</x:v>
      </x:c>
    </x:row>
    <x:row r="386" ht="74" customHeight="1">
      <x:c r="A386" s="10" t="str">
        <x:v>STRICT-20261010-juicefs-writeback</x:v>
      </x:c>
      <x:c r="B386" s="10" t="str">
        <x:v>NATIVE-030</x:v>
      </x:c>
      <x:c r="C386" s="10" t="str">
        <x:v>rename_ex_test</x:v>
      </x:c>
      <x:c r="D386" s="10" t="str">
        <x:v>winfsp-tests</x:v>
      </x:c>
      <x:c r="E386" s="10" t="str">
        <x:v>本地</x:v>
      </x:c>
      <x:c r="F386" s="10" t="str">
        <x:v>后台</x:v>
      </x:c>
      <x:c r="G386" s="19" t="d">
        <x:v>2026-10-10T00:00:00.000Z</x:v>
      </x:c>
      <x:c r="H386" s="10" t="str">
        <x:v>已通过</x:v>
      </x:c>
      <x:c r="I386" s="21" t="n">
        <x:v>0.183</x:v>
      </x:c>
      <x:c r="J386" s="10" t="str">
        <x:v>JuiceFS 1.3.0 / WinFsp 2.1.25156 / rclone 1.75.0-onemount</x:v>
      </x:c>
      <x:c r="K386" s="10" t="str">
        <x:v>原版全外部；无 FUSE 筛选或名称比较放宽</x:v>
      </x:c>
      <x:c r="L386" s="10" t="str">
        <x:v>63151da049f846e65fb361d1f314df65c2d468a7</x:v>
      </x:c>
      <x:c r="M386" s="10" t="str">
        <x:v>E09 / targets.juicefs-writeback.results</x:v>
      </x:c>
      <x:c r="N386" s="10" t="str">
        <x:v>入口结果见原始 JSON；通过不表示任意规模均正确</x:v>
      </x:c>
    </x:row>
    <x:row r="387" ht="74" customHeight="1">
      <x:c r="A387" s="11" t="str">
        <x:v>STRICT-20261010-juicefs-writeback</x:v>
      </x:c>
      <x:c r="B387" s="11" t="str">
        <x:v>NATIVE-031</x:v>
      </x:c>
      <x:c r="C387" s="11" t="str">
        <x:v>getvolinfo_test</x:v>
      </x:c>
      <x:c r="D387" s="11" t="str">
        <x:v>winfsp-tests</x:v>
      </x:c>
      <x:c r="E387" s="11" t="str">
        <x:v>本地</x:v>
      </x:c>
      <x:c r="F387" s="11" t="str">
        <x:v>后台</x:v>
      </x:c>
      <x:c r="G387" s="20" t="d">
        <x:v>2026-10-10T00:00:00.000Z</x:v>
      </x:c>
      <x:c r="H387" s="11" t="str">
        <x:v>已通过</x:v>
      </x:c>
      <x:c r="I387" s="22" t="n">
        <x:v>0.185</x:v>
      </x:c>
      <x:c r="J387" s="11" t="str">
        <x:v>JuiceFS 1.3.0 / WinFsp 2.1.25156 / rclone 1.75.0-onemount</x:v>
      </x:c>
      <x:c r="K387" s="11" t="str">
        <x:v>原版全外部；无 FUSE 筛选或名称比较放宽</x:v>
      </x:c>
      <x:c r="L387" s="11" t="str">
        <x:v>63151da049f846e65fb361d1f314df65c2d468a7</x:v>
      </x:c>
      <x:c r="M387" s="11" t="str">
        <x:v>E09 / targets.juicefs-writeback.results</x:v>
      </x:c>
      <x:c r="N387" s="11" t="str">
        <x:v>入口结果见原始 JSON；通过不表示任意规模均正确</x:v>
      </x:c>
    </x:row>
    <x:row r="388" ht="74" customHeight="1">
      <x:c r="A388" s="10" t="str">
        <x:v>STRICT-20261010-juicefs-writeback</x:v>
      </x:c>
      <x:c r="B388" s="10" t="str">
        <x:v>NATIVE-032</x:v>
      </x:c>
      <x:c r="C388" s="10" t="str">
        <x:v>setvolinfo_test</x:v>
      </x:c>
      <x:c r="D388" s="10" t="str">
        <x:v>winfsp-tests</x:v>
      </x:c>
      <x:c r="E388" s="10" t="str">
        <x:v>本地</x:v>
      </x:c>
      <x:c r="F388" s="10" t="str">
        <x:v>后台</x:v>
      </x:c>
      <x:c r="G388" s="19" t="d">
        <x:v>2026-10-10T00:00:00.000Z</x:v>
      </x:c>
      <x:c r="H388" s="10" t="str">
        <x:v>已通过</x:v>
      </x:c>
      <x:c r="I388" s="21" t="n">
        <x:v>0.171</x:v>
      </x:c>
      <x:c r="J388" s="10" t="str">
        <x:v>JuiceFS 1.3.0 / WinFsp 2.1.25156 / rclone 1.75.0-onemount</x:v>
      </x:c>
      <x:c r="K388" s="10" t="str">
        <x:v>原版全外部；无 FUSE 筛选或名称比较放宽</x:v>
      </x:c>
      <x:c r="L388" s="10" t="str">
        <x:v>63151da049f846e65fb361d1f314df65c2d468a7</x:v>
      </x:c>
      <x:c r="M388" s="10" t="str">
        <x:v>E09 / targets.juicefs-writeback.results</x:v>
      </x:c>
      <x:c r="N388" s="10" t="str">
        <x:v>入口结果见原始 JSON；通过不表示任意规模均正确</x:v>
      </x:c>
    </x:row>
    <x:row r="389" ht="74" customHeight="1">
      <x:c r="A389" s="11" t="str">
        <x:v>STRICT-20261010-juicefs-writeback</x:v>
      </x:c>
      <x:c r="B389" s="11" t="str">
        <x:v>NATIVE-033</x:v>
      </x:c>
      <x:c r="C389" s="11" t="str">
        <x:v>getsecurity_test</x:v>
      </x:c>
      <x:c r="D389" s="11" t="str">
        <x:v>winfsp-tests</x:v>
      </x:c>
      <x:c r="E389" s="11" t="str">
        <x:v>本地</x:v>
      </x:c>
      <x:c r="F389" s="11" t="str">
        <x:v>后台</x:v>
      </x:c>
      <x:c r="G389" s="20" t="d">
        <x:v>2026-10-10T00:00:00.000Z</x:v>
      </x:c>
      <x:c r="H389" s="11" t="str">
        <x:v>已通过</x:v>
      </x:c>
      <x:c r="I389" s="22" t="n">
        <x:v>0.176</x:v>
      </x:c>
      <x:c r="J389" s="11" t="str">
        <x:v>JuiceFS 1.3.0 / WinFsp 2.1.25156 / rclone 1.75.0-onemount</x:v>
      </x:c>
      <x:c r="K389" s="11" t="str">
        <x:v>原版全外部；无 FUSE 筛选或名称比较放宽</x:v>
      </x:c>
      <x:c r="L389" s="11" t="str">
        <x:v>63151da049f846e65fb361d1f314df65c2d468a7</x:v>
      </x:c>
      <x:c r="M389" s="11" t="str">
        <x:v>E09 / targets.juicefs-writeback.results</x:v>
      </x:c>
      <x:c r="N389" s="11" t="str">
        <x:v>入口结果见原始 JSON；通过不表示任意规模均正确</x:v>
      </x:c>
    </x:row>
    <x:row r="390" ht="74" customHeight="1">
      <x:c r="A390" s="10" t="str">
        <x:v>STRICT-20261010-juicefs-writeback</x:v>
      </x:c>
      <x:c r="B390" s="10" t="str">
        <x:v>NATIVE-034</x:v>
      </x:c>
      <x:c r="C390" s="10" t="str">
        <x:v>setsecurity_test</x:v>
      </x:c>
      <x:c r="D390" s="10" t="str">
        <x:v>winfsp-tests</x:v>
      </x:c>
      <x:c r="E390" s="10" t="str">
        <x:v>本地</x:v>
      </x:c>
      <x:c r="F390" s="10" t="str">
        <x:v>后台</x:v>
      </x:c>
      <x:c r="G390" s="19" t="d">
        <x:v>2026-10-10T00:00:00.000Z</x:v>
      </x:c>
      <x:c r="H390" s="10" t="str">
        <x:v>已失败</x:v>
      </x:c>
      <x:c r="I390" s="21" t="n">
        <x:v>0.24</x:v>
      </x:c>
      <x:c r="J390" s="10" t="str">
        <x:v>JuiceFS 1.3.0 / WinFsp 2.1.25156 / rclone 1.75.0-onemount</x:v>
      </x:c>
      <x:c r="K390" s="10" t="str">
        <x:v>原版全外部；无 FUSE 筛选或名称比较放宽</x:v>
      </x:c>
      <x:c r="L390" s="10" t="str">
        <x:v>63151da049f846e65fb361d1f314df65c2d468a7</x:v>
      </x:c>
      <x:c r="M390" s="10" t="str">
        <x:v>E09 / targets.juicefs-writeback.results</x:v>
      </x:c>
      <x:c r="N390" s="10" t="str">
        <x:v>    ASSERT(0 == wcscmp(L"D:P(A;;FA;;;SY)(A;;FA;;;BA)", ConvertedSddl)) failed at security-test.c:231:setsecurity_dotest (err=c0000023:0)</x:v>
      </x:c>
    </x:row>
    <x:row r="391" ht="74" customHeight="1">
      <x:c r="A391" s="11" t="str">
        <x:v>STRICT-20261010-juicefs-writeback</x:v>
      </x:c>
      <x:c r="B391" s="11" t="str">
        <x:v>NATIVE-035</x:v>
      </x:c>
      <x:c r="C391" s="11" t="str">
        <x:v>security_stress_meta_test</x:v>
      </x:c>
      <x:c r="D391" s="11" t="str">
        <x:v>winfsp-tests</x:v>
      </x:c>
      <x:c r="E391" s="11" t="str">
        <x:v>本地</x:v>
      </x:c>
      <x:c r="F391" s="11" t="str">
        <x:v>后台</x:v>
      </x:c>
      <x:c r="G391" s="20" t="d">
        <x:v>2026-10-10T00:00:00.000Z</x:v>
      </x:c>
      <x:c r="H391" s="11" t="str">
        <x:v>已通过</x:v>
      </x:c>
      <x:c r="I391" s="22" t="n">
        <x:v>1.439</x:v>
      </x:c>
      <x:c r="J391" s="11" t="str">
        <x:v>JuiceFS 1.3.0 / WinFsp 2.1.25156 / rclone 1.75.0-onemount</x:v>
      </x:c>
      <x:c r="K391" s="11" t="str">
        <x:v>原版全外部；无 FUSE 筛选或名称比较放宽</x:v>
      </x:c>
      <x:c r="L391" s="11" t="str">
        <x:v>63151da049f846e65fb361d1f314df65c2d468a7</x:v>
      </x:c>
      <x:c r="M391" s="11" t="str">
        <x:v>E09 / targets.juicefs-writeback.results</x:v>
      </x:c>
      <x:c r="N391" s="11" t="str">
        <x:v>入口结果见原始 JSON；通过不表示任意规模均正确</x:v>
      </x:c>
    </x:row>
    <x:row r="392" ht="74" customHeight="1">
      <x:c r="A392" s="10" t="str">
        <x:v>STRICT-20261010-juicefs-writeback</x:v>
      </x:c>
      <x:c r="B392" s="10" t="str">
        <x:v>NATIVE-036</x:v>
      </x:c>
      <x:c r="C392" s="10" t="str">
        <x:v>rdwr_noncached_test</x:v>
      </x:c>
      <x:c r="D392" s="10" t="str">
        <x:v>winfsp-tests</x:v>
      </x:c>
      <x:c r="E392" s="10" t="str">
        <x:v>本地</x:v>
      </x:c>
      <x:c r="F392" s="10" t="str">
        <x:v>后台</x:v>
      </x:c>
      <x:c r="G392" s="19" t="d">
        <x:v>2026-10-10T00:00:00.000Z</x:v>
      </x:c>
      <x:c r="H392" s="10" t="str">
        <x:v>已通过</x:v>
      </x:c>
      <x:c r="I392" s="21" t="n">
        <x:v>0.342</x:v>
      </x:c>
      <x:c r="J392" s="10" t="str">
        <x:v>JuiceFS 1.3.0 / WinFsp 2.1.25156 / rclone 1.75.0-onemount</x:v>
      </x:c>
      <x:c r="K392" s="10" t="str">
        <x:v>原版全外部；无 FUSE 筛选或名称比较放宽</x:v>
      </x:c>
      <x:c r="L392" s="10" t="str">
        <x:v>63151da049f846e65fb361d1f314df65c2d468a7</x:v>
      </x:c>
      <x:c r="M392" s="10" t="str">
        <x:v>E09 / targets.juicefs-writeback.results</x:v>
      </x:c>
      <x:c r="N392" s="10" t="str">
        <x:v>入口结果见原始 JSON；通过不表示任意规模均正确</x:v>
      </x:c>
    </x:row>
    <x:row r="393" ht="74" customHeight="1">
      <x:c r="A393" s="11" t="str">
        <x:v>STRICT-20261010-juicefs-writeback</x:v>
      </x:c>
      <x:c r="B393" s="11" t="str">
        <x:v>NATIVE-037</x:v>
      </x:c>
      <x:c r="C393" s="11" t="str">
        <x:v>rdwr_noncached_overlapped_test</x:v>
      </x:c>
      <x:c r="D393" s="11" t="str">
        <x:v>winfsp-tests</x:v>
      </x:c>
      <x:c r="E393" s="11" t="str">
        <x:v>本地</x:v>
      </x:c>
      <x:c r="F393" s="11" t="str">
        <x:v>后台</x:v>
      </x:c>
      <x:c r="G393" s="20" t="d">
        <x:v>2026-10-10T00:00:00.000Z</x:v>
      </x:c>
      <x:c r="H393" s="11" t="str">
        <x:v>已通过</x:v>
      </x:c>
      <x:c r="I393" s="22" t="n">
        <x:v>0.194</x:v>
      </x:c>
      <x:c r="J393" s="11" t="str">
        <x:v>JuiceFS 1.3.0 / WinFsp 2.1.25156 / rclone 1.75.0-onemount</x:v>
      </x:c>
      <x:c r="K393" s="11" t="str">
        <x:v>原版全外部；无 FUSE 筛选或名称比较放宽</x:v>
      </x:c>
      <x:c r="L393" s="11" t="str">
        <x:v>63151da049f846e65fb361d1f314df65c2d468a7</x:v>
      </x:c>
      <x:c r="M393" s="11" t="str">
        <x:v>E09 / targets.juicefs-writeback.results</x:v>
      </x:c>
      <x:c r="N393" s="11" t="str">
        <x:v>入口结果见原始 JSON；通过不表示任意规模均正确</x:v>
      </x:c>
    </x:row>
    <x:row r="394" ht="74" customHeight="1">
      <x:c r="A394" s="10" t="str">
        <x:v>STRICT-20261010-juicefs-writeback</x:v>
      </x:c>
      <x:c r="B394" s="10" t="str">
        <x:v>NATIVE-038</x:v>
      </x:c>
      <x:c r="C394" s="10" t="str">
        <x:v>rdwr_cached_test</x:v>
      </x:c>
      <x:c r="D394" s="10" t="str">
        <x:v>winfsp-tests</x:v>
      </x:c>
      <x:c r="E394" s="10" t="str">
        <x:v>本地</x:v>
      </x:c>
      <x:c r="F394" s="10" t="str">
        <x:v>后台</x:v>
      </x:c>
      <x:c r="G394" s="19" t="d">
        <x:v>2026-10-10T00:00:00.000Z</x:v>
      </x:c>
      <x:c r="H394" s="10" t="str">
        <x:v>已通过</x:v>
      </x:c>
      <x:c r="I394" s="21" t="n">
        <x:v>0.192</x:v>
      </x:c>
      <x:c r="J394" s="10" t="str">
        <x:v>JuiceFS 1.3.0 / WinFsp 2.1.25156 / rclone 1.75.0-onemount</x:v>
      </x:c>
      <x:c r="K394" s="10" t="str">
        <x:v>原版全外部；无 FUSE 筛选或名称比较放宽</x:v>
      </x:c>
      <x:c r="L394" s="10" t="str">
        <x:v>63151da049f846e65fb361d1f314df65c2d468a7</x:v>
      </x:c>
      <x:c r="M394" s="10" t="str">
        <x:v>E09 / targets.juicefs-writeback.results</x:v>
      </x:c>
      <x:c r="N394" s="10" t="str">
        <x:v>入口结果见原始 JSON；通过不表示任意规模均正确</x:v>
      </x:c>
    </x:row>
    <x:row r="395" ht="74" customHeight="1">
      <x:c r="A395" s="11" t="str">
        <x:v>STRICT-20261010-juicefs-writeback</x:v>
      </x:c>
      <x:c r="B395" s="11" t="str">
        <x:v>NATIVE-039</x:v>
      </x:c>
      <x:c r="C395" s="11" t="str">
        <x:v>rdwr_cached_append_test</x:v>
      </x:c>
      <x:c r="D395" s="11" t="str">
        <x:v>winfsp-tests</x:v>
      </x:c>
      <x:c r="E395" s="11" t="str">
        <x:v>本地</x:v>
      </x:c>
      <x:c r="F395" s="11" t="str">
        <x:v>后台</x:v>
      </x:c>
      <x:c r="G395" s="20" t="d">
        <x:v>2026-10-10T00:00:00.000Z</x:v>
      </x:c>
      <x:c r="H395" s="11" t="str">
        <x:v>已通过</x:v>
      </x:c>
      <x:c r="I395" s="22" t="n">
        <x:v>0.18</x:v>
      </x:c>
      <x:c r="J395" s="11" t="str">
        <x:v>JuiceFS 1.3.0 / WinFsp 2.1.25156 / rclone 1.75.0-onemount</x:v>
      </x:c>
      <x:c r="K395" s="11" t="str">
        <x:v>原版全外部；无 FUSE 筛选或名称比较放宽</x:v>
      </x:c>
      <x:c r="L395" s="11" t="str">
        <x:v>63151da049f846e65fb361d1f314df65c2d468a7</x:v>
      </x:c>
      <x:c r="M395" s="11" t="str">
        <x:v>E09 / targets.juicefs-writeback.results</x:v>
      </x:c>
      <x:c r="N395" s="11" t="str">
        <x:v>入口结果见原始 JSON；通过不表示任意规模均正确</x:v>
      </x:c>
    </x:row>
    <x:row r="396" ht="74" customHeight="1">
      <x:c r="A396" s="10" t="str">
        <x:v>STRICT-20261010-juicefs-writeback</x:v>
      </x:c>
      <x:c r="B396" s="10" t="str">
        <x:v>NATIVE-040</x:v>
      </x:c>
      <x:c r="C396" s="10" t="str">
        <x:v>rdwr_cached_overlapped_test</x:v>
      </x:c>
      <x:c r="D396" s="10" t="str">
        <x:v>winfsp-tests</x:v>
      </x:c>
      <x:c r="E396" s="10" t="str">
        <x:v>本地</x:v>
      </x:c>
      <x:c r="F396" s="10" t="str">
        <x:v>后台</x:v>
      </x:c>
      <x:c r="G396" s="19" t="d">
        <x:v>2026-10-10T00:00:00.000Z</x:v>
      </x:c>
      <x:c r="H396" s="10" t="str">
        <x:v>已通过</x:v>
      </x:c>
      <x:c r="I396" s="21" t="n">
        <x:v>0.193</x:v>
      </x:c>
      <x:c r="J396" s="10" t="str">
        <x:v>JuiceFS 1.3.0 / WinFsp 2.1.25156 / rclone 1.75.0-onemount</x:v>
      </x:c>
      <x:c r="K396" s="10" t="str">
        <x:v>原版全外部；无 FUSE 筛选或名称比较放宽</x:v>
      </x:c>
      <x:c r="L396" s="10" t="str">
        <x:v>63151da049f846e65fb361d1f314df65c2d468a7</x:v>
      </x:c>
      <x:c r="M396" s="10" t="str">
        <x:v>E09 / targets.juicefs-writeback.results</x:v>
      </x:c>
      <x:c r="N396" s="10" t="str">
        <x:v>入口结果见原始 JSON；通过不表示任意规模均正确</x:v>
      </x:c>
    </x:row>
    <x:row r="397" ht="74" customHeight="1">
      <x:c r="A397" s="11" t="str">
        <x:v>STRICT-20261010-juicefs-writeback</x:v>
      </x:c>
      <x:c r="B397" s="11" t="str">
        <x:v>NATIVE-041</x:v>
      </x:c>
      <x:c r="C397" s="11" t="str">
        <x:v>rdwr_writethru_test</x:v>
      </x:c>
      <x:c r="D397" s="11" t="str">
        <x:v>winfsp-tests</x:v>
      </x:c>
      <x:c r="E397" s="11" t="str">
        <x:v>本地</x:v>
      </x:c>
      <x:c r="F397" s="11" t="str">
        <x:v>后台</x:v>
      </x:c>
      <x:c r="G397" s="20" t="d">
        <x:v>2026-10-10T00:00:00.000Z</x:v>
      </x:c>
      <x:c r="H397" s="11" t="str">
        <x:v>已通过</x:v>
      </x:c>
      <x:c r="I397" s="22" t="n">
        <x:v>0.195</x:v>
      </x:c>
      <x:c r="J397" s="11" t="str">
        <x:v>JuiceFS 1.3.0 / WinFsp 2.1.25156 / rclone 1.75.0-onemount</x:v>
      </x:c>
      <x:c r="K397" s="11" t="str">
        <x:v>原版全外部；无 FUSE 筛选或名称比较放宽</x:v>
      </x:c>
      <x:c r="L397" s="11" t="str">
        <x:v>63151da049f846e65fb361d1f314df65c2d468a7</x:v>
      </x:c>
      <x:c r="M397" s="11" t="str">
        <x:v>E09 / targets.juicefs-writeback.results</x:v>
      </x:c>
      <x:c r="N397" s="11" t="str">
        <x:v>入口结果见原始 JSON；通过不表示任意规模均正确</x:v>
      </x:c>
    </x:row>
    <x:row r="398" ht="74" customHeight="1">
      <x:c r="A398" s="10" t="str">
        <x:v>STRICT-20261010-juicefs-writeback</x:v>
      </x:c>
      <x:c r="B398" s="10" t="str">
        <x:v>NATIVE-042</x:v>
      </x:c>
      <x:c r="C398" s="10" t="str">
        <x:v>rdwr_writethru_append_test</x:v>
      </x:c>
      <x:c r="D398" s="10" t="str">
        <x:v>winfsp-tests</x:v>
      </x:c>
      <x:c r="E398" s="10" t="str">
        <x:v>本地</x:v>
      </x:c>
      <x:c r="F398" s="10" t="str">
        <x:v>后台</x:v>
      </x:c>
      <x:c r="G398" s="19" t="d">
        <x:v>2026-10-10T00:00:00.000Z</x:v>
      </x:c>
      <x:c r="H398" s="10" t="str">
        <x:v>已通过</x:v>
      </x:c>
      <x:c r="I398" s="21" t="n">
        <x:v>0.179</x:v>
      </x:c>
      <x:c r="J398" s="10" t="str">
        <x:v>JuiceFS 1.3.0 / WinFsp 2.1.25156 / rclone 1.75.0-onemount</x:v>
      </x:c>
      <x:c r="K398" s="10" t="str">
        <x:v>原版全外部；无 FUSE 筛选或名称比较放宽</x:v>
      </x:c>
      <x:c r="L398" s="10" t="str">
        <x:v>63151da049f846e65fb361d1f314df65c2d468a7</x:v>
      </x:c>
      <x:c r="M398" s="10" t="str">
        <x:v>E09 / targets.juicefs-writeback.results</x:v>
      </x:c>
      <x:c r="N398" s="10" t="str">
        <x:v>入口结果见原始 JSON；通过不表示任意规模均正确</x:v>
      </x:c>
    </x:row>
    <x:row r="399" ht="74" customHeight="1">
      <x:c r="A399" s="11" t="str">
        <x:v>STRICT-20261010-juicefs-writeback</x:v>
      </x:c>
      <x:c r="B399" s="11" t="str">
        <x:v>NATIVE-043</x:v>
      </x:c>
      <x:c r="C399" s="11" t="str">
        <x:v>rdwr_writethru_overlapped_test</x:v>
      </x:c>
      <x:c r="D399" s="11" t="str">
        <x:v>winfsp-tests</x:v>
      </x:c>
      <x:c r="E399" s="11" t="str">
        <x:v>本地</x:v>
      </x:c>
      <x:c r="F399" s="11" t="str">
        <x:v>后台</x:v>
      </x:c>
      <x:c r="G399" s="20" t="d">
        <x:v>2026-10-10T00:00:00.000Z</x:v>
      </x:c>
      <x:c r="H399" s="11" t="str">
        <x:v>已通过</x:v>
      </x:c>
      <x:c r="I399" s="22" t="n">
        <x:v>0.197</x:v>
      </x:c>
      <x:c r="J399" s="11" t="str">
        <x:v>JuiceFS 1.3.0 / WinFsp 2.1.25156 / rclone 1.75.0-onemount</x:v>
      </x:c>
      <x:c r="K399" s="11" t="str">
        <x:v>原版全外部；无 FUSE 筛选或名称比较放宽</x:v>
      </x:c>
      <x:c r="L399" s="11" t="str">
        <x:v>63151da049f846e65fb361d1f314df65c2d468a7</x:v>
      </x:c>
      <x:c r="M399" s="11" t="str">
        <x:v>E09 / targets.juicefs-writeback.results</x:v>
      </x:c>
      <x:c r="N399" s="11" t="str">
        <x:v>入口结果见原始 JSON；通过不表示任意规模均正确</x:v>
      </x:c>
    </x:row>
    <x:row r="400" ht="74" customHeight="1">
      <x:c r="A400" s="10" t="str">
        <x:v>STRICT-20261010-juicefs-writeback</x:v>
      </x:c>
      <x:c r="B400" s="10" t="str">
        <x:v>NATIVE-044</x:v>
      </x:c>
      <x:c r="C400" s="10" t="str">
        <x:v>rdwr_mmap_test</x:v>
      </x:c>
      <x:c r="D400" s="10" t="str">
        <x:v>winfsp-tests</x:v>
      </x:c>
      <x:c r="E400" s="10" t="str">
        <x:v>本地</x:v>
      </x:c>
      <x:c r="F400" s="10" t="str">
        <x:v>后台</x:v>
      </x:c>
      <x:c r="G400" s="19" t="d">
        <x:v>2026-10-10T00:00:00.000Z</x:v>
      </x:c>
      <x:c r="H400" s="10" t="str">
        <x:v>已通过</x:v>
      </x:c>
      <x:c r="I400" s="21" t="n">
        <x:v>0.285</x:v>
      </x:c>
      <x:c r="J400" s="10" t="str">
        <x:v>JuiceFS 1.3.0 / WinFsp 2.1.25156 / rclone 1.75.0-onemount</x:v>
      </x:c>
      <x:c r="K400" s="10" t="str">
        <x:v>原版全外部；无 FUSE 筛选或名称比较放宽</x:v>
      </x:c>
      <x:c r="L400" s="10" t="str">
        <x:v>63151da049f846e65fb361d1f314df65c2d468a7</x:v>
      </x:c>
      <x:c r="M400" s="10" t="str">
        <x:v>E09 / targets.juicefs-writeback.results</x:v>
      </x:c>
      <x:c r="N400" s="10" t="str">
        <x:v>入口结果见原始 JSON；通过不表示任意规模均正确</x:v>
      </x:c>
    </x:row>
    <x:row r="401" ht="74" customHeight="1">
      <x:c r="A401" s="11" t="str">
        <x:v>STRICT-20261010-juicefs-writeback</x:v>
      </x:c>
      <x:c r="B401" s="11" t="str">
        <x:v>NATIVE-045</x:v>
      </x:c>
      <x:c r="C401" s="11" t="str">
        <x:v>rdwr_mixed_test</x:v>
      </x:c>
      <x:c r="D401" s="11" t="str">
        <x:v>winfsp-tests</x:v>
      </x:c>
      <x:c r="E401" s="11" t="str">
        <x:v>本地</x:v>
      </x:c>
      <x:c r="F401" s="11" t="str">
        <x:v>后台</x:v>
      </x:c>
      <x:c r="G401" s="20" t="d">
        <x:v>2026-10-10T00:00:00.000Z</x:v>
      </x:c>
      <x:c r="H401" s="11" t="str">
        <x:v>已通过</x:v>
      </x:c>
      <x:c r="I401" s="22" t="n">
        <x:v>0.206</x:v>
      </x:c>
      <x:c r="J401" s="11" t="str">
        <x:v>JuiceFS 1.3.0 / WinFsp 2.1.25156 / rclone 1.75.0-onemount</x:v>
      </x:c>
      <x:c r="K401" s="11" t="str">
        <x:v>原版全外部；无 FUSE 筛选或名称比较放宽</x:v>
      </x:c>
      <x:c r="L401" s="11" t="str">
        <x:v>63151da049f846e65fb361d1f314df65c2d468a7</x:v>
      </x:c>
      <x:c r="M401" s="11" t="str">
        <x:v>E09 / targets.juicefs-writeback.results</x:v>
      </x:c>
      <x:c r="N401" s="11" t="str">
        <x:v>入口结果见原始 JSON；通过不表示任意规模均正确</x:v>
      </x:c>
    </x:row>
    <x:row r="402" ht="74" customHeight="1">
      <x:c r="A402" s="10" t="str">
        <x:v>STRICT-20261010-juicefs-writeback</x:v>
      </x:c>
      <x:c r="B402" s="10" t="str">
        <x:v>NATIVE-046</x:v>
      </x:c>
      <x:c r="C402" s="10" t="str">
        <x:v>flush_test</x:v>
      </x:c>
      <x:c r="D402" s="10" t="str">
        <x:v>winfsp-tests</x:v>
      </x:c>
      <x:c r="E402" s="10" t="str">
        <x:v>本地</x:v>
      </x:c>
      <x:c r="F402" s="10" t="str">
        <x:v>后台</x:v>
      </x:c>
      <x:c r="G402" s="19" t="d">
        <x:v>2026-10-10T00:00:00.000Z</x:v>
      </x:c>
      <x:c r="H402" s="10" t="str">
        <x:v>已通过</x:v>
      </x:c>
      <x:c r="I402" s="21" t="n">
        <x:v>0.263</x:v>
      </x:c>
      <x:c r="J402" s="10" t="str">
        <x:v>JuiceFS 1.3.0 / WinFsp 2.1.25156 / rclone 1.75.0-onemount</x:v>
      </x:c>
      <x:c r="K402" s="10" t="str">
        <x:v>原版全外部；无 FUSE 筛选或名称比较放宽</x:v>
      </x:c>
      <x:c r="L402" s="10" t="str">
        <x:v>63151da049f846e65fb361d1f314df65c2d468a7</x:v>
      </x:c>
      <x:c r="M402" s="10" t="str">
        <x:v>E09 / targets.juicefs-writeback.results</x:v>
      </x:c>
      <x:c r="N402" s="10" t="str">
        <x:v>入口结果见原始 JSON；通过不表示任意规模均正确</x:v>
      </x:c>
    </x:row>
    <x:row r="403" ht="74" customHeight="1">
      <x:c r="A403" s="11" t="str">
        <x:v>STRICT-20261010-juicefs-writeback</x:v>
      </x:c>
      <x:c r="B403" s="11" t="str">
        <x:v>NATIVE-047</x:v>
      </x:c>
      <x:c r="C403" s="11" t="str">
        <x:v>flush_volume_test</x:v>
      </x:c>
      <x:c r="D403" s="11" t="str">
        <x:v>winfsp-tests</x:v>
      </x:c>
      <x:c r="E403" s="11" t="str">
        <x:v>本地</x:v>
      </x:c>
      <x:c r="F403" s="11" t="str">
        <x:v>后台</x:v>
      </x:c>
      <x:c r="G403" s="20" t="d">
        <x:v>2026-10-10T00:00:00.000Z</x:v>
      </x:c>
      <x:c r="H403" s="11" t="str">
        <x:v>已通过</x:v>
      </x:c>
      <x:c r="I403" s="22" t="n">
        <x:v>0.171</x:v>
      </x:c>
      <x:c r="J403" s="11" t="str">
        <x:v>JuiceFS 1.3.0 / WinFsp 2.1.25156 / rclone 1.75.0-onemount</x:v>
      </x:c>
      <x:c r="K403" s="11" t="str">
        <x:v>原版全外部；无 FUSE 筛选或名称比较放宽</x:v>
      </x:c>
      <x:c r="L403" s="11" t="str">
        <x:v>63151da049f846e65fb361d1f314df65c2d468a7</x:v>
      </x:c>
      <x:c r="M403" s="11" t="str">
        <x:v>E09 / targets.juicefs-writeback.results</x:v>
      </x:c>
      <x:c r="N403" s="11" t="str">
        <x:v>入口结果见原始 JSON；通过不表示任意规模均正确</x:v>
      </x:c>
    </x:row>
    <x:row r="404" ht="74" customHeight="1">
      <x:c r="A404" s="10" t="str">
        <x:v>STRICT-20261010-juicefs-writeback</x:v>
      </x:c>
      <x:c r="B404" s="10" t="str">
        <x:v>NATIVE-048</x:v>
      </x:c>
      <x:c r="C404" s="10" t="str">
        <x:v>lock_noncached_test</x:v>
      </x:c>
      <x:c r="D404" s="10" t="str">
        <x:v>winfsp-tests</x:v>
      </x:c>
      <x:c r="E404" s="10" t="str">
        <x:v>本地</x:v>
      </x:c>
      <x:c r="F404" s="10" t="str">
        <x:v>后台</x:v>
      </x:c>
      <x:c r="G404" s="19" t="d">
        <x:v>2026-10-10T00:00:00.000Z</x:v>
      </x:c>
      <x:c r="H404" s="10" t="str">
        <x:v>已通过</x:v>
      </x:c>
      <x:c r="I404" s="21" t="n">
        <x:v>0.196</x:v>
      </x:c>
      <x:c r="J404" s="10" t="str">
        <x:v>JuiceFS 1.3.0 / WinFsp 2.1.25156 / rclone 1.75.0-onemount</x:v>
      </x:c>
      <x:c r="K404" s="10" t="str">
        <x:v>原版全外部；无 FUSE 筛选或名称比较放宽</x:v>
      </x:c>
      <x:c r="L404" s="10" t="str">
        <x:v>63151da049f846e65fb361d1f314df65c2d468a7</x:v>
      </x:c>
      <x:c r="M404" s="10" t="str">
        <x:v>E09 / targets.juicefs-writeback.results</x:v>
      </x:c>
      <x:c r="N404" s="10" t="str">
        <x:v>入口结果见原始 JSON；通过不表示任意规模均正确</x:v>
      </x:c>
    </x:row>
    <x:row r="405" ht="74" customHeight="1">
      <x:c r="A405" s="11" t="str">
        <x:v>STRICT-20261010-juicefs-writeback</x:v>
      </x:c>
      <x:c r="B405" s="11" t="str">
        <x:v>NATIVE-049</x:v>
      </x:c>
      <x:c r="C405" s="11" t="str">
        <x:v>lock_noncached_overlapped_test</x:v>
      </x:c>
      <x:c r="D405" s="11" t="str">
        <x:v>winfsp-tests</x:v>
      </x:c>
      <x:c r="E405" s="11" t="str">
        <x:v>本地</x:v>
      </x:c>
      <x:c r="F405" s="11" t="str">
        <x:v>后台</x:v>
      </x:c>
      <x:c r="G405" s="20" t="d">
        <x:v>2026-10-10T00:00:00.000Z</x:v>
      </x:c>
      <x:c r="H405" s="11" t="str">
        <x:v>已通过</x:v>
      </x:c>
      <x:c r="I405" s="22" t="n">
        <x:v>0.19</x:v>
      </x:c>
      <x:c r="J405" s="11" t="str">
        <x:v>JuiceFS 1.3.0 / WinFsp 2.1.25156 / rclone 1.75.0-onemount</x:v>
      </x:c>
      <x:c r="K405" s="11" t="str">
        <x:v>原版全外部；无 FUSE 筛选或名称比较放宽</x:v>
      </x:c>
      <x:c r="L405" s="11" t="str">
        <x:v>63151da049f846e65fb361d1f314df65c2d468a7</x:v>
      </x:c>
      <x:c r="M405" s="11" t="str">
        <x:v>E09 / targets.juicefs-writeback.results</x:v>
      </x:c>
      <x:c r="N405" s="11" t="str">
        <x:v>入口结果见原始 JSON；通过不表示任意规模均正确</x:v>
      </x:c>
    </x:row>
    <x:row r="406" ht="74" customHeight="1">
      <x:c r="A406" s="10" t="str">
        <x:v>STRICT-20261010-juicefs-writeback</x:v>
      </x:c>
      <x:c r="B406" s="10" t="str">
        <x:v>NATIVE-050</x:v>
      </x:c>
      <x:c r="C406" s="10" t="str">
        <x:v>lock_cached_test</x:v>
      </x:c>
      <x:c r="D406" s="10" t="str">
        <x:v>winfsp-tests</x:v>
      </x:c>
      <x:c r="E406" s="10" t="str">
        <x:v>本地</x:v>
      </x:c>
      <x:c r="F406" s="10" t="str">
        <x:v>后台</x:v>
      </x:c>
      <x:c r="G406" s="19" t="d">
        <x:v>2026-10-10T00:00:00.000Z</x:v>
      </x:c>
      <x:c r="H406" s="10" t="str">
        <x:v>已通过</x:v>
      </x:c>
      <x:c r="I406" s="21" t="n">
        <x:v>0.189</x:v>
      </x:c>
      <x:c r="J406" s="10" t="str">
        <x:v>JuiceFS 1.3.0 / WinFsp 2.1.25156 / rclone 1.75.0-onemount</x:v>
      </x:c>
      <x:c r="K406" s="10" t="str">
        <x:v>原版全外部；无 FUSE 筛选或名称比较放宽</x:v>
      </x:c>
      <x:c r="L406" s="10" t="str">
        <x:v>63151da049f846e65fb361d1f314df65c2d468a7</x:v>
      </x:c>
      <x:c r="M406" s="10" t="str">
        <x:v>E09 / targets.juicefs-writeback.results</x:v>
      </x:c>
      <x:c r="N406" s="10" t="str">
        <x:v>入口结果见原始 JSON；通过不表示任意规模均正确</x:v>
      </x:c>
    </x:row>
    <x:row r="407" ht="74" customHeight="1">
      <x:c r="A407" s="11" t="str">
        <x:v>STRICT-20261010-juicefs-writeback</x:v>
      </x:c>
      <x:c r="B407" s="11" t="str">
        <x:v>NATIVE-051</x:v>
      </x:c>
      <x:c r="C407" s="11" t="str">
        <x:v>lock_cached_overlapped_test</x:v>
      </x:c>
      <x:c r="D407" s="11" t="str">
        <x:v>winfsp-tests</x:v>
      </x:c>
      <x:c r="E407" s="11" t="str">
        <x:v>本地</x:v>
      </x:c>
      <x:c r="F407" s="11" t="str">
        <x:v>后台</x:v>
      </x:c>
      <x:c r="G407" s="20" t="d">
        <x:v>2026-10-10T00:00:00.000Z</x:v>
      </x:c>
      <x:c r="H407" s="11" t="str">
        <x:v>已通过</x:v>
      </x:c>
      <x:c r="I407" s="22" t="n">
        <x:v>0.199</x:v>
      </x:c>
      <x:c r="J407" s="11" t="str">
        <x:v>JuiceFS 1.3.0 / WinFsp 2.1.25156 / rclone 1.75.0-onemount</x:v>
      </x:c>
      <x:c r="K407" s="11" t="str">
        <x:v>原版全外部；无 FUSE 筛选或名称比较放宽</x:v>
      </x:c>
      <x:c r="L407" s="11" t="str">
        <x:v>63151da049f846e65fb361d1f314df65c2d468a7</x:v>
      </x:c>
      <x:c r="M407" s="11" t="str">
        <x:v>E09 / targets.juicefs-writeback.results</x:v>
      </x:c>
      <x:c r="N407" s="11" t="str">
        <x:v>入口结果见原始 JSON；通过不表示任意规模均正确</x:v>
      </x:c>
    </x:row>
    <x:row r="408" ht="74" customHeight="1">
      <x:c r="A408" s="10" t="str">
        <x:v>STRICT-20261010-juicefs-writeback</x:v>
      </x:c>
      <x:c r="B408" s="10" t="str">
        <x:v>NATIVE-052</x:v>
      </x:c>
      <x:c r="C408" s="10" t="str">
        <x:v>querydir_test</x:v>
      </x:c>
      <x:c r="D408" s="10" t="str">
        <x:v>winfsp-tests</x:v>
      </x:c>
      <x:c r="E408" s="10" t="str">
        <x:v>本地</x:v>
      </x:c>
      <x:c r="F408" s="10" t="str">
        <x:v>后台</x:v>
      </x:c>
      <x:c r="G408" s="19" t="d">
        <x:v>2026-10-10T00:00:00.000Z</x:v>
      </x:c>
      <x:c r="H408" s="10" t="str">
        <x:v>已通过</x:v>
      </x:c>
      <x:c r="I408" s="21" t="n">
        <x:v>5.667</x:v>
      </x:c>
      <x:c r="J408" s="10" t="str">
        <x:v>JuiceFS 1.3.0 / WinFsp 2.1.25156 / rclone 1.75.0-onemount</x:v>
      </x:c>
      <x:c r="K408" s="10" t="str">
        <x:v>原版全外部；无 FUSE 筛选或名称比较放宽</x:v>
      </x:c>
      <x:c r="L408" s="10" t="str">
        <x:v>63151da049f846e65fb361d1f314df65c2d468a7</x:v>
      </x:c>
      <x:c r="M408" s="10" t="str">
        <x:v>E09 / targets.juicefs-writeback.results</x:v>
      </x:c>
      <x:c r="N408" s="10" t="str">
        <x:v>入口结果见原始 JSON；通过不表示任意规模均正确</x:v>
      </x:c>
    </x:row>
    <x:row r="409" ht="74" customHeight="1">
      <x:c r="A409" s="11" t="str">
        <x:v>STRICT-20261010-juicefs-writeback</x:v>
      </x:c>
      <x:c r="B409" s="11" t="str">
        <x:v>NATIVE-053</x:v>
      </x:c>
      <x:c r="C409" s="11" t="str">
        <x:v>querydir_nodup_test</x:v>
      </x:c>
      <x:c r="D409" s="11" t="str">
        <x:v>winfsp-tests</x:v>
      </x:c>
      <x:c r="E409" s="11" t="str">
        <x:v>本地</x:v>
      </x:c>
      <x:c r="F409" s="11" t="str">
        <x:v>后台</x:v>
      </x:c>
      <x:c r="G409" s="20" t="d">
        <x:v>2026-10-10T00:00:00.000Z</x:v>
      </x:c>
      <x:c r="H409" s="11" t="str">
        <x:v>已通过</x:v>
      </x:c>
      <x:c r="I409" s="22" t="n">
        <x:v>11.365</x:v>
      </x:c>
      <x:c r="J409" s="11" t="str">
        <x:v>JuiceFS 1.3.0 / WinFsp 2.1.25156 / rclone 1.75.0-onemount</x:v>
      </x:c>
      <x:c r="K409" s="11" t="str">
        <x:v>原版全外部；无 FUSE 筛选或名称比较放宽</x:v>
      </x:c>
      <x:c r="L409" s="11" t="str">
        <x:v>63151da049f846e65fb361d1f314df65c2d468a7</x:v>
      </x:c>
      <x:c r="M409" s="11" t="str">
        <x:v>E09 / targets.juicefs-writeback.results</x:v>
      </x:c>
      <x:c r="N409" s="11" t="str">
        <x:v>入口结果见原始 JSON；通过不表示任意规模均正确</x:v>
      </x:c>
    </x:row>
    <x:row r="410" ht="74" customHeight="1">
      <x:c r="A410" s="10" t="str">
        <x:v>STRICT-20261010-juicefs-writeback</x:v>
      </x:c>
      <x:c r="B410" s="10" t="str">
        <x:v>NATIVE-054</x:v>
      </x:c>
      <x:c r="C410" s="10" t="str">
        <x:v>querydir_single_test</x:v>
      </x:c>
      <x:c r="D410" s="10" t="str">
        <x:v>winfsp-tests</x:v>
      </x:c>
      <x:c r="E410" s="10" t="str">
        <x:v>本地</x:v>
      </x:c>
      <x:c r="F410" s="10" t="str">
        <x:v>后台</x:v>
      </x:c>
      <x:c r="G410" s="19" t="d">
        <x:v>2026-10-10T00:00:00.000Z</x:v>
      </x:c>
      <x:c r="H410" s="10" t="str">
        <x:v>已通过</x:v>
      </x:c>
      <x:c r="I410" s="21" t="n">
        <x:v>45.823</x:v>
      </x:c>
      <x:c r="J410" s="10" t="str">
        <x:v>JuiceFS 1.3.0 / WinFsp 2.1.25156 / rclone 1.75.0-onemount</x:v>
      </x:c>
      <x:c r="K410" s="10" t="str">
        <x:v>原版全外部；无 FUSE 筛选或名称比较放宽</x:v>
      </x:c>
      <x:c r="L410" s="10" t="str">
        <x:v>63151da049f846e65fb361d1f314df65c2d468a7</x:v>
      </x:c>
      <x:c r="M410" s="10" t="str">
        <x:v>E09 / targets.juicefs-writeback.results</x:v>
      </x:c>
      <x:c r="N410" s="10" t="str">
        <x:v>入口结果见原始 JSON；通过不表示任意规模均正确</x:v>
      </x:c>
    </x:row>
    <x:row r="411" ht="74" customHeight="1">
      <x:c r="A411" s="11" t="str">
        <x:v>STRICT-20261010-juicefs-writeback</x:v>
      </x:c>
      <x:c r="B411" s="11" t="str">
        <x:v>NATIVE-055</x:v>
      </x:c>
      <x:c r="C411" s="11" t="str">
        <x:v>querydir_expire_cache_test</x:v>
      </x:c>
      <x:c r="D411" s="11" t="str">
        <x:v>winfsp-tests</x:v>
      </x:c>
      <x:c r="E411" s="11" t="str">
        <x:v>本地</x:v>
      </x:c>
      <x:c r="F411" s="11" t="str">
        <x:v>后台</x:v>
      </x:c>
      <x:c r="G411" s="20" t="d">
        <x:v>2026-10-10T00:00:00.000Z</x:v>
      </x:c>
      <x:c r="H411" s="11" t="str">
        <x:v>已通过</x:v>
      </x:c>
      <x:c r="I411" s="22" t="n">
        <x:v>0.205</x:v>
      </x:c>
      <x:c r="J411" s="11" t="str">
        <x:v>JuiceFS 1.3.0 / WinFsp 2.1.25156 / rclone 1.75.0-onemount</x:v>
      </x:c>
      <x:c r="K411" s="11" t="str">
        <x:v>原版全外部；无 FUSE 筛选或名称比较放宽</x:v>
      </x:c>
      <x:c r="L411" s="11" t="str">
        <x:v>63151da049f846e65fb361d1f314df65c2d468a7</x:v>
      </x:c>
      <x:c r="M411" s="11" t="str">
        <x:v>E09 / targets.juicefs-writeback.results</x:v>
      </x:c>
      <x:c r="N411" s="11" t="str">
        <x:v>入口结果见原始 JSON；通过不表示任意规模均正确</x:v>
      </x:c>
    </x:row>
    <x:row r="412" ht="74" customHeight="1">
      <x:c r="A412" s="10" t="str">
        <x:v>STRICT-20261010-juicefs-writeback</x:v>
      </x:c>
      <x:c r="B412" s="10" t="str">
        <x:v>NATIVE-056</x:v>
      </x:c>
      <x:c r="C412" s="10" t="str">
        <x:v>querydir_buffer_overflow_test</x:v>
      </x:c>
      <x:c r="D412" s="10" t="str">
        <x:v>winfsp-tests</x:v>
      </x:c>
      <x:c r="E412" s="10" t="str">
        <x:v>本地</x:v>
      </x:c>
      <x:c r="F412" s="10" t="str">
        <x:v>后台</x:v>
      </x:c>
      <x:c r="G412" s="19" t="d">
        <x:v>2026-10-10T00:00:00.000Z</x:v>
      </x:c>
      <x:c r="H412" s="10" t="str">
        <x:v>已通过</x:v>
      </x:c>
      <x:c r="I412" s="21" t="n">
        <x:v>0.197</x:v>
      </x:c>
      <x:c r="J412" s="10" t="str">
        <x:v>JuiceFS 1.3.0 / WinFsp 2.1.25156 / rclone 1.75.0-onemount</x:v>
      </x:c>
      <x:c r="K412" s="10" t="str">
        <x:v>原版全外部；无 FUSE 筛选或名称比较放宽</x:v>
      </x:c>
      <x:c r="L412" s="10" t="str">
        <x:v>63151da049f846e65fb361d1f314df65c2d468a7</x:v>
      </x:c>
      <x:c r="M412" s="10" t="str">
        <x:v>E09 / targets.juicefs-writeback.results</x:v>
      </x:c>
      <x:c r="N412" s="10" t="str">
        <x:v>入口结果见原始 JSON；通过不表示任意规模均正确</x:v>
      </x:c>
    </x:row>
    <x:row r="413" ht="74" customHeight="1">
      <x:c r="A413" s="11" t="str">
        <x:v>STRICT-20261010-juicefs-writeback</x:v>
      </x:c>
      <x:c r="B413" s="11" t="str">
        <x:v>NATIVE-057</x:v>
      </x:c>
      <x:c r="C413" s="11" t="str">
        <x:v>querydir_namelen_test</x:v>
      </x:c>
      <x:c r="D413" s="11" t="str">
        <x:v>winfsp-tests</x:v>
      </x:c>
      <x:c r="E413" s="11" t="str">
        <x:v>本地</x:v>
      </x:c>
      <x:c r="F413" s="11" t="str">
        <x:v>后台</x:v>
      </x:c>
      <x:c r="G413" s="20" t="d">
        <x:v>2026-10-10T00:00:00.000Z</x:v>
      </x:c>
      <x:c r="H413" s="11" t="str">
        <x:v>已失败</x:v>
      </x:c>
      <x:c r="I413" s="22" t="n">
        <x:v>0.267</x:v>
      </x:c>
      <x:c r="J413" s="11" t="str">
        <x:v>JuiceFS 1.3.0 / WinFsp 2.1.25156 / rclone 1.75.0-onemount</x:v>
      </x:c>
      <x:c r="K413" s="11" t="str">
        <x:v>原版全外部；无 FUSE 筛选或名称比较放宽</x:v>
      </x:c>
      <x:c r="L413" s="11" t="str">
        <x:v>63151da049f846e65fb361d1f314df65c2d468a7</x:v>
      </x:c>
      <x:c r="M413" s="11" t="str">
        <x:v>E09 / targets.juicefs-writeback.results</x:v>
      </x:c>
      <x:c r="N413" s="11" t="str">
        <x:v>    ASSERT(INVALID_HANDLE_VALUE != Handle) failed at dirctl-test.c:808:querydir_namelen_dotest (err=c0000106:206)</x:v>
      </x:c>
    </x:row>
    <x:row r="414" ht="74" customHeight="1">
      <x:c r="A414" s="10" t="str">
        <x:v>STRICT-20261010-juicefs-writeback</x:v>
      </x:c>
      <x:c r="B414" s="10" t="str">
        <x:v>NATIVE-058</x:v>
      </x:c>
      <x:c r="C414" s="10" t="str">
        <x:v>dirnotify_test</x:v>
      </x:c>
      <x:c r="D414" s="10" t="str">
        <x:v>winfsp-tests</x:v>
      </x:c>
      <x:c r="E414" s="10" t="str">
        <x:v>本地</x:v>
      </x:c>
      <x:c r="F414" s="10" t="str">
        <x:v>后台</x:v>
      </x:c>
      <x:c r="G414" s="19" t="d">
        <x:v>2026-10-10T00:00:00.000Z</x:v>
      </x:c>
      <x:c r="H414" s="10" t="str">
        <x:v>已通过</x:v>
      </x:c>
      <x:c r="I414" s="21" t="n">
        <x:v>1.207</x:v>
      </x:c>
      <x:c r="J414" s="10" t="str">
        <x:v>JuiceFS 1.3.0 / WinFsp 2.1.25156 / rclone 1.75.0-onemount</x:v>
      </x:c>
      <x:c r="K414" s="10" t="str">
        <x:v>原版全外部；无 FUSE 筛选或名称比较放宽</x:v>
      </x:c>
      <x:c r="L414" s="10" t="str">
        <x:v>63151da049f846e65fb361d1f314df65c2d468a7</x:v>
      </x:c>
      <x:c r="M414" s="10" t="str">
        <x:v>E09 / targets.juicefs-writeback.results</x:v>
      </x:c>
      <x:c r="N414" s="10" t="str">
        <x:v>入口结果见原始 JSON；通过不表示任意规模均正确</x:v>
      </x:c>
    </x:row>
    <x:row r="415" ht="74" customHeight="1">
      <x:c r="A415" s="11" t="str">
        <x:v>STRICT-20261010-juicefs-writeback</x:v>
      </x:c>
      <x:c r="B415" s="11" t="str">
        <x:v>NATIVE-059</x:v>
      </x:c>
      <x:c r="C415" s="11" t="str">
        <x:v>exec_test</x:v>
      </x:c>
      <x:c r="D415" s="11" t="str">
        <x:v>winfsp-tests</x:v>
      </x:c>
      <x:c r="E415" s="11" t="str">
        <x:v>本地</x:v>
      </x:c>
      <x:c r="F415" s="11" t="str">
        <x:v>后台</x:v>
      </x:c>
      <x:c r="G415" s="20" t="d">
        <x:v>2026-10-10T00:00:00.000Z</x:v>
      </x:c>
      <x:c r="H415" s="11" t="str">
        <x:v>已通过</x:v>
      </x:c>
      <x:c r="I415" s="22" t="n">
        <x:v>0.195</x:v>
      </x:c>
      <x:c r="J415" s="11" t="str">
        <x:v>JuiceFS 1.3.0 / WinFsp 2.1.25156 / rclone 1.75.0-onemount</x:v>
      </x:c>
      <x:c r="K415" s="11" t="str">
        <x:v>原版全外部；无 FUSE 筛选或名称比较放宽</x:v>
      </x:c>
      <x:c r="L415" s="11" t="str">
        <x:v>63151da049f846e65fb361d1f314df65c2d468a7</x:v>
      </x:c>
      <x:c r="M415" s="11" t="str">
        <x:v>E09 / targets.juicefs-writeback.results</x:v>
      </x:c>
      <x:c r="N415" s="11" t="str">
        <x:v>入口结果见原始 JSON；通过不表示任意规模均正确</x:v>
      </x:c>
    </x:row>
    <x:row r="416" ht="74" customHeight="1">
      <x:c r="A416" s="10" t="str">
        <x:v>STRICT-20261010-juicefs-writeback</x:v>
      </x:c>
      <x:c r="B416" s="10" t="str">
        <x:v>NATIVE-060</x:v>
      </x:c>
      <x:c r="C416" s="10" t="str">
        <x:v>exec_delete_test</x:v>
      </x:c>
      <x:c r="D416" s="10" t="str">
        <x:v>winfsp-tests</x:v>
      </x:c>
      <x:c r="E416" s="10" t="str">
        <x:v>本地</x:v>
      </x:c>
      <x:c r="F416" s="10" t="str">
        <x:v>后台</x:v>
      </x:c>
      <x:c r="G416" s="19" t="d">
        <x:v>2026-10-10T00:00:00.000Z</x:v>
      </x:c>
      <x:c r="H416" s="10" t="str">
        <x:v>已通过</x:v>
      </x:c>
      <x:c r="I416" s="21" t="n">
        <x:v>1.201</x:v>
      </x:c>
      <x:c r="J416" s="10" t="str">
        <x:v>JuiceFS 1.3.0 / WinFsp 2.1.25156 / rclone 1.75.0-onemount</x:v>
      </x:c>
      <x:c r="K416" s="10" t="str">
        <x:v>原版全外部；无 FUSE 筛选或名称比较放宽</x:v>
      </x:c>
      <x:c r="L416" s="10" t="str">
        <x:v>63151da049f846e65fb361d1f314df65c2d468a7</x:v>
      </x:c>
      <x:c r="M416" s="10" t="str">
        <x:v>E09 / targets.juicefs-writeback.results</x:v>
      </x:c>
      <x:c r="N416" s="10" t="str">
        <x:v>入口结果见原始 JSON；通过不表示任意规模均正确</x:v>
      </x:c>
    </x:row>
    <x:row r="417" ht="74" customHeight="1">
      <x:c r="A417" s="11" t="str">
        <x:v>STRICT-20261010-juicefs-writeback</x:v>
      </x:c>
      <x:c r="B417" s="11" t="str">
        <x:v>NATIVE-061</x:v>
      </x:c>
      <x:c r="C417" s="11" t="str">
        <x:v>exec_rename_test</x:v>
      </x:c>
      <x:c r="D417" s="11" t="str">
        <x:v>winfsp-tests</x:v>
      </x:c>
      <x:c r="E417" s="11" t="str">
        <x:v>本地</x:v>
      </x:c>
      <x:c r="F417" s="11" t="str">
        <x:v>后台</x:v>
      </x:c>
      <x:c r="G417" s="20" t="d">
        <x:v>2026-10-10T00:00:00.000Z</x:v>
      </x:c>
      <x:c r="H417" s="11" t="str">
        <x:v>已通过</x:v>
      </x:c>
      <x:c r="I417" s="22" t="n">
        <x:v>1.201</x:v>
      </x:c>
      <x:c r="J417" s="11" t="str">
        <x:v>JuiceFS 1.3.0 / WinFsp 2.1.25156 / rclone 1.75.0-onemount</x:v>
      </x:c>
      <x:c r="K417" s="11" t="str">
        <x:v>原版全外部；无 FUSE 筛选或名称比较放宽</x:v>
      </x:c>
      <x:c r="L417" s="11" t="str">
        <x:v>63151da049f846e65fb361d1f314df65c2d468a7</x:v>
      </x:c>
      <x:c r="M417" s="11" t="str">
        <x:v>E09 / targets.juicefs-writeback.results</x:v>
      </x:c>
      <x:c r="N417" s="11" t="str">
        <x:v>入口结果见原始 JSON；通过不表示任意规模均正确</x:v>
      </x:c>
    </x:row>
    <x:row r="418" ht="74" customHeight="1">
      <x:c r="A418" s="10" t="str">
        <x:v>STRICT-20261010-juicefs-writeback</x:v>
      </x:c>
      <x:c r="B418" s="10" t="str">
        <x:v>NATIVE-062</x:v>
      </x:c>
      <x:c r="C418" s="10" t="str">
        <x:v>exec_rename_dir_test</x:v>
      </x:c>
      <x:c r="D418" s="10" t="str">
        <x:v>winfsp-tests</x:v>
      </x:c>
      <x:c r="E418" s="10" t="str">
        <x:v>本地</x:v>
      </x:c>
      <x:c r="F418" s="10" t="str">
        <x:v>后台</x:v>
      </x:c>
      <x:c r="G418" s="19" t="d">
        <x:v>2026-10-10T00:00:00.000Z</x:v>
      </x:c>
      <x:c r="H418" s="10" t="str">
        <x:v>已通过</x:v>
      </x:c>
      <x:c r="I418" s="21" t="n">
        <x:v>2.198</x:v>
      </x:c>
      <x:c r="J418" s="10" t="str">
        <x:v>JuiceFS 1.3.0 / WinFsp 2.1.25156 / rclone 1.75.0-onemount</x:v>
      </x:c>
      <x:c r="K418" s="10" t="str">
        <x:v>原版全外部；无 FUSE 筛选或名称比较放宽</x:v>
      </x:c>
      <x:c r="L418" s="10" t="str">
        <x:v>63151da049f846e65fb361d1f314df65c2d468a7</x:v>
      </x:c>
      <x:c r="M418" s="10" t="str">
        <x:v>E09 / targets.juicefs-writeback.results</x:v>
      </x:c>
      <x:c r="N418" s="10" t="str">
        <x:v>入口结果见原始 JSON；通过不表示任意规模均正确</x:v>
      </x:c>
    </x:row>
    <x:row r="419" ht="74" customHeight="1">
      <x:c r="A419" s="11" t="str">
        <x:v>STRICT-20261010-juicefs-writeback</x:v>
      </x:c>
      <x:c r="B419" s="11" t="str">
        <x:v>NATIVE-063</x:v>
      </x:c>
      <x:c r="C419" s="11" t="str">
        <x:v>reparse_guid_test</x:v>
      </x:c>
      <x:c r="D419" s="11" t="str">
        <x:v>winfsp-tests</x:v>
      </x:c>
      <x:c r="E419" s="11" t="str">
        <x:v>本地</x:v>
      </x:c>
      <x:c r="F419" s="11" t="str">
        <x:v>后台</x:v>
      </x:c>
      <x:c r="G419" s="20" t="d">
        <x:v>2026-10-10T00:00:00.000Z</x:v>
      </x:c>
      <x:c r="H419" s="11" t="str">
        <x:v>已失败</x:v>
      </x:c>
      <x:c r="I419" s="22" t="n">
        <x:v>0.226</x:v>
      </x:c>
      <x:c r="J419" s="11" t="str">
        <x:v>JuiceFS 1.3.0 / WinFsp 2.1.25156 / rclone 1.75.0-onemount</x:v>
      </x:c>
      <x:c r="K419" s="11" t="str">
        <x:v>原版全外部；无 FUSE 筛选或名称比较放宽</x:v>
      </x:c>
      <x:c r="L419" s="11" t="str">
        <x:v>63151da049f846e65fb361d1f314df65c2d468a7</x:v>
      </x:c>
      <x:c r="M419" s="11" t="str">
        <x:v>E09 / targets.juicefs-writeback.results</x:v>
      </x:c>
      <x:c r="N419" s="11" t="str">
        <x:v>    ASSERT(Success) failed at reparse-test.c:65:reparse_guid_dotest (err=c0000277:4394)</x:v>
      </x:c>
    </x:row>
    <x:row r="420" ht="74" customHeight="1">
      <x:c r="A420" s="10" t="str">
        <x:v>STRICT-20261010-juicefs-writeback</x:v>
      </x:c>
      <x:c r="B420" s="10" t="str">
        <x:v>NATIVE-064</x:v>
      </x:c>
      <x:c r="C420" s="10" t="str">
        <x:v>reparse_nfs_test</x:v>
      </x:c>
      <x:c r="D420" s="10" t="str">
        <x:v>winfsp-tests</x:v>
      </x:c>
      <x:c r="E420" s="10" t="str">
        <x:v>本地</x:v>
      </x:c>
      <x:c r="F420" s="10" t="str">
        <x:v>后台</x:v>
      </x:c>
      <x:c r="G420" s="19" t="d">
        <x:v>2026-10-10T00:00:00.000Z</x:v>
      </x:c>
      <x:c r="H420" s="10" t="str">
        <x:v>已失败</x:v>
      </x:c>
      <x:c r="I420" s="21" t="n">
        <x:v>0.228</x:v>
      </x:c>
      <x:c r="J420" s="10" t="str">
        <x:v>JuiceFS 1.3.0 / WinFsp 2.1.25156 / rclone 1.75.0-onemount</x:v>
      </x:c>
      <x:c r="K420" s="10" t="str">
        <x:v>原版全外部；无 FUSE 筛选或名称比较放宽</x:v>
      </x:c>
      <x:c r="L420" s="10" t="str">
        <x:v>63151da049f846e65fb361d1f314df65c2d468a7</x:v>
      </x:c>
      <x:c r="M420" s="10" t="str">
        <x:v>E09 / targets.juicefs-writeback.results</x:v>
      </x:c>
      <x:c r="N420" s="10" t="str">
        <x:v>    ASSERT(Success) failed at reparse-test.c:205:reparse_nfs_dotest (err=c0000022:5)</x:v>
      </x:c>
    </x:row>
    <x:row r="421" ht="74" customHeight="1">
      <x:c r="A421" s="11" t="str">
        <x:v>STRICT-20261010-juicefs-writeback</x:v>
      </x:c>
      <x:c r="B421" s="11" t="str">
        <x:v>NATIVE-065</x:v>
      </x:c>
      <x:c r="C421" s="11" t="str">
        <x:v>reparse_symlink_test</x:v>
      </x:c>
      <x:c r="D421" s="11" t="str">
        <x:v>winfsp-tests</x:v>
      </x:c>
      <x:c r="E421" s="11" t="str">
        <x:v>本地</x:v>
      </x:c>
      <x:c r="F421" s="11" t="str">
        <x:v>后台</x:v>
      </x:c>
      <x:c r="G421" s="20" t="d">
        <x:v>2026-10-10T00:00:00.000Z</x:v>
      </x:c>
      <x:c r="H421" s="11" t="str">
        <x:v>已失败</x:v>
      </x:c>
      <x:c r="I421" s="22" t="n">
        <x:v>0.226</x:v>
      </x:c>
      <x:c r="J421" s="11" t="str">
        <x:v>JuiceFS 1.3.0 / WinFsp 2.1.25156 / rclone 1.75.0-onemount</x:v>
      </x:c>
      <x:c r="K421" s="11" t="str">
        <x:v>原版全外部；无 FUSE 筛选或名称比较放宽</x:v>
      </x:c>
      <x:c r="L421" s="11" t="str">
        <x:v>63151da049f846e65fb361d1f314df65c2d468a7</x:v>
      </x:c>
      <x:c r="M421" s="11" t="str">
        <x:v>E09 / targets.juicefs-writeback.results</x:v>
      </x:c>
      <x:c r="N421" s="11" t="str">
        <x:v>    ASSERT(ERROR_PRIVILEGE_NOT_HELD == GetLastError()) failed at reparse-test.c:295:reparse_symlink_dotest0 (err=c0000010:1)</x:v>
      </x:c>
    </x:row>
    <x:row r="422" ht="74" customHeight="1">
      <x:c r="A422" s="10" t="str">
        <x:v>STRICT-20261010-juicefs-writeback</x:v>
      </x:c>
      <x:c r="B422" s="10" t="str">
        <x:v>NATIVE-066</x:v>
      </x:c>
      <x:c r="C422" s="10" t="str">
        <x:v>reparse_symlink_relative_test</x:v>
      </x:c>
      <x:c r="D422" s="10" t="str">
        <x:v>winfsp-tests</x:v>
      </x:c>
      <x:c r="E422" s="10" t="str">
        <x:v>本地</x:v>
      </x:c>
      <x:c r="F422" s="10" t="str">
        <x:v>后台</x:v>
      </x:c>
      <x:c r="G422" s="19" t="d">
        <x:v>2026-10-10T00:00:00.000Z</x:v>
      </x:c>
      <x:c r="H422" s="10" t="str">
        <x:v>已失败</x:v>
      </x:c>
      <x:c r="I422" s="21" t="n">
        <x:v>0.223</x:v>
      </x:c>
      <x:c r="J422" s="10" t="str">
        <x:v>JuiceFS 1.3.0 / WinFsp 2.1.25156 / rclone 1.75.0-onemount</x:v>
      </x:c>
      <x:c r="K422" s="10" t="str">
        <x:v>原版全外部；无 FUSE 筛选或名称比较放宽</x:v>
      </x:c>
      <x:c r="L422" s="10" t="str">
        <x:v>63151da049f846e65fb361d1f314df65c2d468a7</x:v>
      </x:c>
      <x:c r="M422" s="10" t="str">
        <x:v>E09 / targets.juicefs-writeback.results</x:v>
      </x:c>
      <x:c r="N422" s="10" t="str">
        <x:v>    ASSERT(ERROR_PRIVILEGE_NOT_HELD == GetLastError()) failed at reparse-test.c:530:reparse_symlink_relative_dotest (err=c0000010:1)</x:v>
      </x:c>
    </x:row>
    <x:row r="423" ht="74" customHeight="1">
      <x:c r="A423" s="11" t="str">
        <x:v>STRICT-20261010-juicefs-writeback</x:v>
      </x:c>
      <x:c r="B423" s="11" t="str">
        <x:v>NATIVE-067</x:v>
      </x:c>
      <x:c r="C423" s="11" t="str">
        <x:v>ea_create_test</x:v>
      </x:c>
      <x:c r="D423" s="11" t="str">
        <x:v>winfsp-tests</x:v>
      </x:c>
      <x:c r="E423" s="11" t="str">
        <x:v>本地</x:v>
      </x:c>
      <x:c r="F423" s="11" t="str">
        <x:v>后台</x:v>
      </x:c>
      <x:c r="G423" s="20" t="d">
        <x:v>2026-10-10T00:00:00.000Z</x:v>
      </x:c>
      <x:c r="H423" s="11" t="str">
        <x:v>已失败</x:v>
      </x:c>
      <x:c r="I423" s="22" t="n">
        <x:v>0.235</x:v>
      </x:c>
      <x:c r="J423" s="11" t="str">
        <x:v>JuiceFS 1.3.0 / WinFsp 2.1.25156 / rclone 1.75.0-onemount</x:v>
      </x:c>
      <x:c r="K423" s="11" t="str">
        <x:v>原版全外部；无 FUSE 筛选或名称比较放宽</x:v>
      </x:c>
      <x:c r="L423" s="11" t="str">
        <x:v>63151da049f846e65fb361d1f314df65c2d468a7</x:v>
      </x:c>
      <x:c r="M423" s="11" t="str">
        <x:v>E09 / targets.juicefs-writeback.results</x:v>
      </x:c>
      <x:c r="N423" s="11" t="str">
        <x:v>    ASSERT(STATUS_INVALID_EA_NAME == Result) failed at ea-test.c:707:ea_create_dotest (err=0:0)</x:v>
      </x:c>
    </x:row>
    <x:row r="424" ht="74" customHeight="1">
      <x:c r="A424" s="10" t="str">
        <x:v>STRICT-20261010-juicefs-writeback</x:v>
      </x:c>
      <x:c r="B424" s="10" t="str">
        <x:v>NATIVE-068</x:v>
      </x:c>
      <x:c r="C424" s="10" t="str">
        <x:v>ea_overwrite_test</x:v>
      </x:c>
      <x:c r="D424" s="10" t="str">
        <x:v>winfsp-tests</x:v>
      </x:c>
      <x:c r="E424" s="10" t="str">
        <x:v>本地</x:v>
      </x:c>
      <x:c r="F424" s="10" t="str">
        <x:v>后台</x:v>
      </x:c>
      <x:c r="G424" s="19" t="d">
        <x:v>2026-10-10T00:00:00.000Z</x:v>
      </x:c>
      <x:c r="H424" s="10" t="str">
        <x:v>已失败</x:v>
      </x:c>
      <x:c r="I424" s="21" t="n">
        <x:v>0.223</x:v>
      </x:c>
      <x:c r="J424" s="10" t="str">
        <x:v>JuiceFS 1.3.0 / WinFsp 2.1.25156 / rclone 1.75.0-onemount</x:v>
      </x:c>
      <x:c r="K424" s="10" t="str">
        <x:v>原版全外部；无 FUSE 筛选或名称比较放宽</x:v>
      </x:c>
      <x:c r="L424" s="10" t="str">
        <x:v>63151da049f846e65fb361d1f314df65c2d468a7</x:v>
      </x:c>
      <x:c r="M424" s="10" t="str">
        <x:v>E09 / targets.juicefs-writeback.results</x:v>
      </x:c>
      <x:c r="N424" s="10" t="str">
        <x:v>    ASSERT(STATUS_SUCCESS == Result) failed at ea-test.c:830:ea_overwrite_dotest (err=0:0)</x:v>
      </x:c>
    </x:row>
    <x:row r="425" ht="74" customHeight="1">
      <x:c r="A425" s="11" t="str">
        <x:v>STRICT-20261010-juicefs-writeback</x:v>
      </x:c>
      <x:c r="B425" s="11" t="str">
        <x:v>NATIVE-069</x:v>
      </x:c>
      <x:c r="C425" s="11" t="str">
        <x:v>ea_getset_test</x:v>
      </x:c>
      <x:c r="D425" s="11" t="str">
        <x:v>winfsp-tests</x:v>
      </x:c>
      <x:c r="E425" s="11" t="str">
        <x:v>本地</x:v>
      </x:c>
      <x:c r="F425" s="11" t="str">
        <x:v>后台</x:v>
      </x:c>
      <x:c r="G425" s="20" t="d">
        <x:v>2026-10-10T00:00:00.000Z</x:v>
      </x:c>
      <x:c r="H425" s="11" t="str">
        <x:v>已失败</x:v>
      </x:c>
      <x:c r="I425" s="22" t="n">
        <x:v>0.227</x:v>
      </x:c>
      <x:c r="J425" s="11" t="str">
        <x:v>JuiceFS 1.3.0 / WinFsp 2.1.25156 / rclone 1.75.0-onemount</x:v>
      </x:c>
      <x:c r="K425" s="11" t="str">
        <x:v>原版全外部；无 FUSE 筛选或名称比较放宽</x:v>
      </x:c>
      <x:c r="L425" s="11" t="str">
        <x:v>63151da049f846e65fb361d1f314df65c2d468a7</x:v>
      </x:c>
      <x:c r="M425" s="11" t="str">
        <x:v>E09 / targets.juicefs-writeback.results</x:v>
      </x:c>
      <x:c r="N425" s="11" t="str">
        <x:v>    ASSERT(STATUS_INVALID_EA_NAME == Result) failed at ea-test.c:906:ea_getset_dotest (err=0:0)</x:v>
      </x:c>
    </x:row>
    <x:row r="426" ht="74" customHeight="1">
      <x:c r="A426" s="10" t="str">
        <x:v>STRICT-20261010-juicefs-writeback</x:v>
      </x:c>
      <x:c r="B426" s="10" t="str">
        <x:v>NATIVE-070</x:v>
      </x:c>
      <x:c r="C426" s="10" t="str">
        <x:v>stream_create_test</x:v>
      </x:c>
      <x:c r="D426" s="10" t="str">
        <x:v>winfsp-tests</x:v>
      </x:c>
      <x:c r="E426" s="10" t="str">
        <x:v>本地</x:v>
      </x:c>
      <x:c r="F426" s="10" t="str">
        <x:v>后台</x:v>
      </x:c>
      <x:c r="G426" s="19" t="d">
        <x:v>2026-10-10T00:00:00.000Z</x:v>
      </x:c>
      <x:c r="H426" s="10" t="str">
        <x:v>已失败</x:v>
      </x:c>
      <x:c r="I426" s="21" t="n">
        <x:v>0.22</x:v>
      </x:c>
      <x:c r="J426" s="10" t="str">
        <x:v>JuiceFS 1.3.0 / WinFsp 2.1.25156 / rclone 1.75.0-onemount</x:v>
      </x:c>
      <x:c r="K426" s="10" t="str">
        <x:v>原版全外部；无 FUSE 筛选或名称比较放宽</x:v>
      </x:c>
      <x:c r="L426" s="10" t="str">
        <x:v>63151da049f846e65fb361d1f314df65c2d468a7</x:v>
      </x:c>
      <x:c r="M426" s="10" t="str">
        <x:v>E09 / targets.juicefs-writeback.results</x:v>
      </x:c>
      <x:c r="N426" s="10" t="str">
        <x:v>    ASSERT(INVALID_HANDLE_VALUE != Handle) failed at stream-tests.c:46:stream_create_dotest (err=c0000033:123)</x:v>
      </x:c>
    </x:row>
    <x:row r="427" ht="74" customHeight="1">
      <x:c r="A427" s="11" t="str">
        <x:v>STRICT-20261010-juicefs-writeback</x:v>
      </x:c>
      <x:c r="B427" s="11" t="str">
        <x:v>NATIVE-071</x:v>
      </x:c>
      <x:c r="C427" s="11" t="str">
        <x:v>stream_create_overwrite_test</x:v>
      </x:c>
      <x:c r="D427" s="11" t="str">
        <x:v>winfsp-tests</x:v>
      </x:c>
      <x:c r="E427" s="11" t="str">
        <x:v>本地</x:v>
      </x:c>
      <x:c r="F427" s="11" t="str">
        <x:v>后台</x:v>
      </x:c>
      <x:c r="G427" s="20" t="d">
        <x:v>2026-10-10T00:00:00.000Z</x:v>
      </x:c>
      <x:c r="H427" s="11" t="str">
        <x:v>已失败</x:v>
      </x:c>
      <x:c r="I427" s="22" t="n">
        <x:v>0.222</x:v>
      </x:c>
      <x:c r="J427" s="11" t="str">
        <x:v>JuiceFS 1.3.0 / WinFsp 2.1.25156 / rclone 1.75.0-onemount</x:v>
      </x:c>
      <x:c r="K427" s="11" t="str">
        <x:v>原版全外部；无 FUSE 筛选或名称比较放宽</x:v>
      </x:c>
      <x:c r="L427" s="11" t="str">
        <x:v>63151da049f846e65fb361d1f314df65c2d468a7</x:v>
      </x:c>
      <x:c r="M427" s="11" t="str">
        <x:v>E09 / targets.juicefs-writeback.results</x:v>
      </x:c>
      <x:c r="N427" s="11" t="str">
        <x:v>    ASSERT(INVALID_HANDLE_VALUE != Handle) failed at stream-tests.c:381:stream_create_overwrite_dotest (err=c0000033:123)</x:v>
      </x:c>
    </x:row>
    <x:row r="428" ht="74" customHeight="1">
      <x:c r="A428" s="10" t="str">
        <x:v>STRICT-20261010-juicefs-writeback</x:v>
      </x:c>
      <x:c r="B428" s="10" t="str">
        <x:v>NATIVE-072</x:v>
      </x:c>
      <x:c r="C428" s="10" t="str">
        <x:v>stream_create_related_test</x:v>
      </x:c>
      <x:c r="D428" s="10" t="str">
        <x:v>winfsp-tests</x:v>
      </x:c>
      <x:c r="E428" s="10" t="str">
        <x:v>本地</x:v>
      </x:c>
      <x:c r="F428" s="10" t="str">
        <x:v>后台</x:v>
      </x:c>
      <x:c r="G428" s="19" t="d">
        <x:v>2026-10-10T00:00:00.000Z</x:v>
      </x:c>
      <x:c r="H428" s="10" t="str">
        <x:v>已失败</x:v>
      </x:c>
      <x:c r="I428" s="21" t="n">
        <x:v>0.228</x:v>
      </x:c>
      <x:c r="J428" s="10" t="str">
        <x:v>JuiceFS 1.3.0 / WinFsp 2.1.25156 / rclone 1.75.0-onemount</x:v>
      </x:c>
      <x:c r="K428" s="10" t="str">
        <x:v>原版全外部；无 FUSE 筛选或名称比较放宽</x:v>
      </x:c>
      <x:c r="L428" s="10" t="str">
        <x:v>63151da049f846e65fb361d1f314df65c2d468a7</x:v>
      </x:c>
      <x:c r="M428" s="10" t="str">
        <x:v>E09 / targets.juicefs-writeback.results</x:v>
      </x:c>
      <x:c r="N428" s="10" t="str">
        <x:v>    ASSERT(STATUS_SUCCESS == Result) failed at stream-tests.c:495:stream_create_related_dotest (err=0:0)</x:v>
      </x:c>
    </x:row>
    <x:row r="429" ht="74" customHeight="1">
      <x:c r="A429" s="11" t="str">
        <x:v>STRICT-20261010-juicefs-writeback</x:v>
      </x:c>
      <x:c r="B429" s="11" t="str">
        <x:v>NATIVE-073</x:v>
      </x:c>
      <x:c r="C429" s="11" t="str">
        <x:v>stream_create_sd_test</x:v>
      </x:c>
      <x:c r="D429" s="11" t="str">
        <x:v>winfsp-tests</x:v>
      </x:c>
      <x:c r="E429" s="11" t="str">
        <x:v>本地</x:v>
      </x:c>
      <x:c r="F429" s="11" t="str">
        <x:v>后台</x:v>
      </x:c>
      <x:c r="G429" s="20" t="d">
        <x:v>2026-10-10T00:00:00.000Z</x:v>
      </x:c>
      <x:c r="H429" s="11" t="str">
        <x:v>已失败</x:v>
      </x:c>
      <x:c r="I429" s="22" t="n">
        <x:v>0.218</x:v>
      </x:c>
      <x:c r="J429" s="11" t="str">
        <x:v>JuiceFS 1.3.0 / WinFsp 2.1.25156 / rclone 1.75.0-onemount</x:v>
      </x:c>
      <x:c r="K429" s="11" t="str">
        <x:v>原版全外部；无 FUSE 筛选或名称比较放宽</x:v>
      </x:c>
      <x:c r="L429" s="11" t="str">
        <x:v>63151da049f846e65fb361d1f314df65c2d468a7</x:v>
      </x:c>
      <x:c r="M429" s="11" t="str">
        <x:v>E09 / targets.juicefs-writeback.results</x:v>
      </x:c>
      <x:c r="N429" s="11" t="str">
        <x:v>    ASSERT(INVALID_HANDLE_VALUE != Handle) failed at stream-tests.c:553:stream_create_sd_dotest (err=c0000033:123)</x:v>
      </x:c>
    </x:row>
    <x:row r="430" ht="74" customHeight="1">
      <x:c r="A430" s="10" t="str">
        <x:v>STRICT-20261010-juicefs-writeback</x:v>
      </x:c>
      <x:c r="B430" s="10" t="str">
        <x:v>NATIVE-074</x:v>
      </x:c>
      <x:c r="C430" s="10" t="str">
        <x:v>stream_create_share_test</x:v>
      </x:c>
      <x:c r="D430" s="10" t="str">
        <x:v>winfsp-tests</x:v>
      </x:c>
      <x:c r="E430" s="10" t="str">
        <x:v>本地</x:v>
      </x:c>
      <x:c r="F430" s="10" t="str">
        <x:v>后台</x:v>
      </x:c>
      <x:c r="G430" s="19" t="d">
        <x:v>2026-10-10T00:00:00.000Z</x:v>
      </x:c>
      <x:c r="H430" s="10" t="str">
        <x:v>已失败</x:v>
      </x:c>
      <x:c r="I430" s="21" t="n">
        <x:v>0.227</x:v>
      </x:c>
      <x:c r="J430" s="10" t="str">
        <x:v>JuiceFS 1.3.0 / WinFsp 2.1.25156 / rclone 1.75.0-onemount</x:v>
      </x:c>
      <x:c r="K430" s="10" t="str">
        <x:v>原版全外部；无 FUSE 筛选或名称比较放宽</x:v>
      </x:c>
      <x:c r="L430" s="10" t="str">
        <x:v>63151da049f846e65fb361d1f314df65c2d468a7</x:v>
      </x:c>
      <x:c r="M430" s="10" t="str">
        <x:v>E09 / targets.juicefs-writeback.results</x:v>
      </x:c>
      <x:c r="N430" s="10" t="str">
        <x:v>    ASSERT(INVALID_HANDLE_VALUE != Handle1) failed at stream-tests.c:627:stream_create_share_dotest (err=c0000033:123)</x:v>
      </x:c>
    </x:row>
    <x:row r="431" ht="74" customHeight="1">
      <x:c r="A431" s="11" t="str">
        <x:v>STRICT-20261010-juicefs-writeback</x:v>
      </x:c>
      <x:c r="B431" s="11" t="str">
        <x:v>NATIVE-075</x:v>
      </x:c>
      <x:c r="C431" s="11" t="str">
        <x:v>stream_getfileinfo_test</x:v>
      </x:c>
      <x:c r="D431" s="11" t="str">
        <x:v>winfsp-tests</x:v>
      </x:c>
      <x:c r="E431" s="11" t="str">
        <x:v>本地</x:v>
      </x:c>
      <x:c r="F431" s="11" t="str">
        <x:v>后台</x:v>
      </x:c>
      <x:c r="G431" s="20" t="d">
        <x:v>2026-10-10T00:00:00.000Z</x:v>
      </x:c>
      <x:c r="H431" s="11" t="str">
        <x:v>已失败</x:v>
      </x:c>
      <x:c r="I431" s="22" t="n">
        <x:v>0.22</x:v>
      </x:c>
      <x:c r="J431" s="11" t="str">
        <x:v>JuiceFS 1.3.0 / WinFsp 2.1.25156 / rclone 1.75.0-onemount</x:v>
      </x:c>
      <x:c r="K431" s="11" t="str">
        <x:v>原版全外部；无 FUSE 筛选或名称比较放宽</x:v>
      </x:c>
      <x:c r="L431" s="11" t="str">
        <x:v>63151da049f846e65fb361d1f314df65c2d468a7</x:v>
      </x:c>
      <x:c r="M431" s="11" t="str">
        <x:v>E09 / targets.juicefs-writeback.results</x:v>
      </x:c>
      <x:c r="N431" s="11" t="str">
        <x:v>    ASSERT(INVALID_HANDLE_VALUE != Handle) failed at stream-tests.c:957:stream_getfileinfo_dotest (err=c0000033:123)</x:v>
      </x:c>
    </x:row>
    <x:row r="432" ht="74" customHeight="1">
      <x:c r="A432" s="10" t="str">
        <x:v>STRICT-20261010-juicefs-writeback</x:v>
      </x:c>
      <x:c r="B432" s="10" t="str">
        <x:v>NATIVE-076</x:v>
      </x:c>
      <x:c r="C432" s="10" t="str">
        <x:v>stream_setfileinfo_test</x:v>
      </x:c>
      <x:c r="D432" s="10" t="str">
        <x:v>winfsp-tests</x:v>
      </x:c>
      <x:c r="E432" s="10" t="str">
        <x:v>本地</x:v>
      </x:c>
      <x:c r="F432" s="10" t="str">
        <x:v>后台</x:v>
      </x:c>
      <x:c r="G432" s="19" t="d">
        <x:v>2026-10-10T00:00:00.000Z</x:v>
      </x:c>
      <x:c r="H432" s="10" t="str">
        <x:v>已失败</x:v>
      </x:c>
      <x:c r="I432" s="21" t="n">
        <x:v>0.222</x:v>
      </x:c>
      <x:c r="J432" s="10" t="str">
        <x:v>JuiceFS 1.3.0 / WinFsp 2.1.25156 / rclone 1.75.0-onemount</x:v>
      </x:c>
      <x:c r="K432" s="10" t="str">
        <x:v>原版全外部；无 FUSE 筛选或名称比较放宽</x:v>
      </x:c>
      <x:c r="L432" s="10" t="str">
        <x:v>63151da049f846e65fb361d1f314df65c2d468a7</x:v>
      </x:c>
      <x:c r="M432" s="10" t="str">
        <x:v>E09 / targets.juicefs-writeback.results</x:v>
      </x:c>
      <x:c r="N432" s="10" t="str">
        <x:v>    ASSERT(INVALID_HANDLE_VALUE != StreamHandle) failed at stream-tests.c:1188:stream_setfileinfo_dotest (err=c0000033:123)</x:v>
      </x:c>
    </x:row>
    <x:row r="433" ht="74" customHeight="1">
      <x:c r="A433" s="11" t="str">
        <x:v>STRICT-20261010-juicefs-writeback</x:v>
      </x:c>
      <x:c r="B433" s="11" t="str">
        <x:v>NATIVE-077</x:v>
      </x:c>
      <x:c r="C433" s="11" t="str">
        <x:v>stream_delete_test</x:v>
      </x:c>
      <x:c r="D433" s="11" t="str">
        <x:v>winfsp-tests</x:v>
      </x:c>
      <x:c r="E433" s="11" t="str">
        <x:v>本地</x:v>
      </x:c>
      <x:c r="F433" s="11" t="str">
        <x:v>后台</x:v>
      </x:c>
      <x:c r="G433" s="20" t="d">
        <x:v>2026-10-10T00:00:00.000Z</x:v>
      </x:c>
      <x:c r="H433" s="11" t="str">
        <x:v>已失败</x:v>
      </x:c>
      <x:c r="I433" s="22" t="n">
        <x:v>0.231</x:v>
      </x:c>
      <x:c r="J433" s="11" t="str">
        <x:v>JuiceFS 1.3.0 / WinFsp 2.1.25156 / rclone 1.75.0-onemount</x:v>
      </x:c>
      <x:c r="K433" s="11" t="str">
        <x:v>原版全外部；无 FUSE 筛选或名称比较放宽</x:v>
      </x:c>
      <x:c r="L433" s="11" t="str">
        <x:v>63151da049f846e65fb361d1f314df65c2d468a7</x:v>
      </x:c>
      <x:c r="M433" s="11" t="str">
        <x:v>E09 / targets.juicefs-writeback.results</x:v>
      </x:c>
      <x:c r="N433" s="11" t="str">
        <x:v>    ASSERT(INVALID_HANDLE_VALUE != Handle) failed at stream-tests.c:1329:stream_delete_dotest (err=c0000033:123)</x:v>
      </x:c>
    </x:row>
    <x:row r="434" ht="74" customHeight="1">
      <x:c r="A434" s="10" t="str">
        <x:v>STRICT-20261010-juicefs-writeback</x:v>
      </x:c>
      <x:c r="B434" s="10" t="str">
        <x:v>NATIVE-078</x:v>
      </x:c>
      <x:c r="C434" s="10" t="str">
        <x:v>stream_delete_pending_test</x:v>
      </x:c>
      <x:c r="D434" s="10" t="str">
        <x:v>winfsp-tests</x:v>
      </x:c>
      <x:c r="E434" s="10" t="str">
        <x:v>本地</x:v>
      </x:c>
      <x:c r="F434" s="10" t="str">
        <x:v>后台</x:v>
      </x:c>
      <x:c r="G434" s="19" t="d">
        <x:v>2026-10-10T00:00:00.000Z</x:v>
      </x:c>
      <x:c r="H434" s="10" t="str">
        <x:v>已失败</x:v>
      </x:c>
      <x:c r="I434" s="21" t="n">
        <x:v>0.226</x:v>
      </x:c>
      <x:c r="J434" s="10" t="str">
        <x:v>JuiceFS 1.3.0 / WinFsp 2.1.25156 / rclone 1.75.0-onemount</x:v>
      </x:c>
      <x:c r="K434" s="10" t="str">
        <x:v>原版全外部；无 FUSE 筛选或名称比较放宽</x:v>
      </x:c>
      <x:c r="L434" s="10" t="str">
        <x:v>63151da049f846e65fb361d1f314df65c2d468a7</x:v>
      </x:c>
      <x:c r="M434" s="10" t="str">
        <x:v>E09 / targets.juicefs-writeback.results</x:v>
      </x:c>
      <x:c r="N434" s="10" t="str">
        <x:v>    ASSERT(INVALID_HANDLE_VALUE != Handle) failed at stream-tests.c:1413:stream_delete_pending_dotest (err=c0000033:123)</x:v>
      </x:c>
    </x:row>
    <x:row r="435" ht="74" customHeight="1">
      <x:c r="A435" s="11" t="str">
        <x:v>STRICT-20261010-juicefs-writeback</x:v>
      </x:c>
      <x:c r="B435" s="11" t="str">
        <x:v>NATIVE-079</x:v>
      </x:c>
      <x:c r="C435" s="11" t="str">
        <x:v>stream_rename_flipflop_test</x:v>
      </x:c>
      <x:c r="D435" s="11" t="str">
        <x:v>winfsp-tests</x:v>
      </x:c>
      <x:c r="E435" s="11" t="str">
        <x:v>本地</x:v>
      </x:c>
      <x:c r="F435" s="11" t="str">
        <x:v>后台</x:v>
      </x:c>
      <x:c r="G435" s="20" t="d">
        <x:v>2026-10-10T00:00:00.000Z</x:v>
      </x:c>
      <x:c r="H435" s="11" t="str">
        <x:v>已失败</x:v>
      </x:c>
      <x:c r="I435" s="22" t="n">
        <x:v>0.23</x:v>
      </x:c>
      <x:c r="J435" s="11" t="str">
        <x:v>JuiceFS 1.3.0 / WinFsp 2.1.25156 / rclone 1.75.0-onemount</x:v>
      </x:c>
      <x:c r="K435" s="11" t="str">
        <x:v>原版全外部；无 FUSE 筛选或名称比较放宽</x:v>
      </x:c>
      <x:c r="L435" s="11" t="str">
        <x:v>63151da049f846e65fb361d1f314df65c2d468a7</x:v>
      </x:c>
      <x:c r="M435" s="11" t="str">
        <x:v>E09 / targets.juicefs-writeback.results</x:v>
      </x:c>
      <x:c r="N435" s="11" t="str">
        <x:v>    ASSERT(INVALID_HANDLE_VALUE != Handle) failed at stream-tests.c:1523:stream_rename_flipflop_dotest (err=c0000033:123)</x:v>
      </x:c>
    </x:row>
    <x:row r="436" ht="74" customHeight="1">
      <x:c r="A436" s="10" t="str">
        <x:v>STRICT-20261010-juicefs-writeback</x:v>
      </x:c>
      <x:c r="B436" s="10" t="str">
        <x:v>NATIVE-080</x:v>
      </x:c>
      <x:c r="C436" s="10" t="str">
        <x:v>stream_getsecurity_test</x:v>
      </x:c>
      <x:c r="D436" s="10" t="str">
        <x:v>winfsp-tests</x:v>
      </x:c>
      <x:c r="E436" s="10" t="str">
        <x:v>本地</x:v>
      </x:c>
      <x:c r="F436" s="10" t="str">
        <x:v>后台</x:v>
      </x:c>
      <x:c r="G436" s="19" t="d">
        <x:v>2026-10-10T00:00:00.000Z</x:v>
      </x:c>
      <x:c r="H436" s="10" t="str">
        <x:v>已失败</x:v>
      </x:c>
      <x:c r="I436" s="21" t="n">
        <x:v>0.222</x:v>
      </x:c>
      <x:c r="J436" s="10" t="str">
        <x:v>JuiceFS 1.3.0 / WinFsp 2.1.25156 / rclone 1.75.0-onemount</x:v>
      </x:c>
      <x:c r="K436" s="10" t="str">
        <x:v>原版全外部；无 FUSE 筛选或名称比较放宽</x:v>
      </x:c>
      <x:c r="L436" s="10" t="str">
        <x:v>63151da049f846e65fb361d1f314df65c2d468a7</x:v>
      </x:c>
      <x:c r="M436" s="10" t="str">
        <x:v>E09 / targets.juicefs-writeback.results</x:v>
      </x:c>
      <x:c r="N436" s="10" t="str">
        <x:v>    ASSERT(INVALID_HANDLE_VALUE != Handle) failed at stream-tests.c:1659:stream_getsecurity_dotest (err=c0000033:123)</x:v>
      </x:c>
    </x:row>
    <x:row r="437" ht="74" customHeight="1">
      <x:c r="A437" s="11" t="str">
        <x:v>STRICT-20261010-juicefs-writeback</x:v>
      </x:c>
      <x:c r="B437" s="11" t="str">
        <x:v>NATIVE-081</x:v>
      </x:c>
      <x:c r="C437" s="11" t="str">
        <x:v>stream_setsecurity_test</x:v>
      </x:c>
      <x:c r="D437" s="11" t="str">
        <x:v>winfsp-tests</x:v>
      </x:c>
      <x:c r="E437" s="11" t="str">
        <x:v>本地</x:v>
      </x:c>
      <x:c r="F437" s="11" t="str">
        <x:v>后台</x:v>
      </x:c>
      <x:c r="G437" s="20" t="d">
        <x:v>2026-10-10T00:00:00.000Z</x:v>
      </x:c>
      <x:c r="H437" s="11" t="str">
        <x:v>已失败</x:v>
      </x:c>
      <x:c r="I437" s="22" t="n">
        <x:v>0.225</x:v>
      </x:c>
      <x:c r="J437" s="11" t="str">
        <x:v>JuiceFS 1.3.0 / WinFsp 2.1.25156 / rclone 1.75.0-onemount</x:v>
      </x:c>
      <x:c r="K437" s="11" t="str">
        <x:v>原版全外部；无 FUSE 筛选或名称比较放宽</x:v>
      </x:c>
      <x:c r="L437" s="11" t="str">
        <x:v>63151da049f846e65fb361d1f314df65c2d468a7</x:v>
      </x:c>
      <x:c r="M437" s="11" t="str">
        <x:v>E09 / targets.juicefs-writeback.results</x:v>
      </x:c>
      <x:c r="N437" s="11" t="str">
        <x:v>    ASSERT(INVALID_HANDLE_VALUE != StreamHandle) failed at stream-tests.c:1830:stream_setsecurity_dotest (err=c0000033:123)</x:v>
      </x:c>
    </x:row>
    <x:row r="438" ht="74" customHeight="1">
      <x:c r="A438" s="10" t="str">
        <x:v>STRICT-20261010-juicefs-writeback</x:v>
      </x:c>
      <x:c r="B438" s="10" t="str">
        <x:v>NATIVE-082</x:v>
      </x:c>
      <x:c r="C438" s="10" t="str">
        <x:v>stream_getstreaminfo_test</x:v>
      </x:c>
      <x:c r="D438" s="10" t="str">
        <x:v>winfsp-tests</x:v>
      </x:c>
      <x:c r="E438" s="10" t="str">
        <x:v>本地</x:v>
      </x:c>
      <x:c r="F438" s="10" t="str">
        <x:v>后台</x:v>
      </x:c>
      <x:c r="G438" s="19" t="d">
        <x:v>2026-10-10T00:00:00.000Z</x:v>
      </x:c>
      <x:c r="H438" s="10" t="str">
        <x:v>已失败</x:v>
      </x:c>
      <x:c r="I438" s="21" t="n">
        <x:v>0.258</x:v>
      </x:c>
      <x:c r="J438" s="10" t="str">
        <x:v>JuiceFS 1.3.0 / WinFsp 2.1.25156 / rclone 1.75.0-onemount</x:v>
      </x:c>
      <x:c r="K438" s="10" t="str">
        <x:v>原版全外部；无 FUSE 筛选或名称比较放宽</x:v>
      </x:c>
      <x:c r="L438" s="10" t="str">
        <x:v>63151da049f846e65fb361d1f314df65c2d468a7</x:v>
      </x:c>
      <x:c r="M438" s="10" t="str">
        <x:v>E09 / targets.juicefs-writeback.results</x:v>
      </x:c>
      <x:c r="N438" s="10" t="str">
        <x:v>    ASSERT(INVALID_HANDLE_VALUE != Handle) failed at stream-tests.c:1966:stream_getstreaminfo_dotest (err=c0000033:123)</x:v>
      </x:c>
    </x:row>
    <x:row r="439" ht="74" customHeight="1">
      <x:c r="A439" s="11" t="str">
        <x:v>STRICT-20261010-juicefs-writeback</x:v>
      </x:c>
      <x:c r="B439" s="11" t="str">
        <x:v>NATIVE-083</x:v>
      </x:c>
      <x:c r="C439" s="11" t="str">
        <x:v>stream_getstreaminfo_expire_cache_test</x:v>
      </x:c>
      <x:c r="D439" s="11" t="str">
        <x:v>winfsp-tests</x:v>
      </x:c>
      <x:c r="E439" s="11" t="str">
        <x:v>本地</x:v>
      </x:c>
      <x:c r="F439" s="11" t="str">
        <x:v>后台</x:v>
      </x:c>
      <x:c r="G439" s="20" t="d">
        <x:v>2026-10-10T00:00:00.000Z</x:v>
      </x:c>
      <x:c r="H439" s="11" t="str">
        <x:v>已通过</x:v>
      </x:c>
      <x:c r="I439" s="22" t="n">
        <x:v>0.17</x:v>
      </x:c>
      <x:c r="J439" s="11" t="str">
        <x:v>JuiceFS 1.3.0 / WinFsp 2.1.25156 / rclone 1.75.0-onemount</x:v>
      </x:c>
      <x:c r="K439" s="11" t="str">
        <x:v>原版全外部；无 FUSE 筛选或名称比较放宽</x:v>
      </x:c>
      <x:c r="L439" s="11" t="str">
        <x:v>63151da049f846e65fb361d1f314df65c2d468a7</x:v>
      </x:c>
      <x:c r="M439" s="11" t="str">
        <x:v>E09 / targets.juicefs-writeback.results</x:v>
      </x:c>
      <x:c r="N439" s="11" t="str">
        <x:v>入口结果见原始 JSON；通过不表示任意规模均正确</x:v>
      </x:c>
    </x:row>
    <x:row r="440" ht="74" customHeight="1">
      <x:c r="A440" s="10" t="str">
        <x:v>STRICT-20261010-juicefs-writeback</x:v>
      </x:c>
      <x:c r="B440" s="10" t="str">
        <x:v>NATIVE-084</x:v>
      </x:c>
      <x:c r="C440" s="10" t="str">
        <x:v>stream_dirnotify_test</x:v>
      </x:c>
      <x:c r="D440" s="10" t="str">
        <x:v>winfsp-tests</x:v>
      </x:c>
      <x:c r="E440" s="10" t="str">
        <x:v>本地</x:v>
      </x:c>
      <x:c r="F440" s="10" t="str">
        <x:v>后台</x:v>
      </x:c>
      <x:c r="G440" s="19" t="d">
        <x:v>2026-10-10T00:00:00.000Z</x:v>
      </x:c>
      <x:c r="H440" s="10" t="str">
        <x:v>已超时</x:v>
      </x:c>
      <x:c r="I440" s="21" t="n">
        <x:v>90.128</x:v>
      </x:c>
      <x:c r="J440" s="10" t="str">
        <x:v>JuiceFS 1.3.0 / WinFsp 2.1.25156 / rclone 1.75.0-onemount</x:v>
      </x:c>
      <x:c r="K440" s="10" t="str">
        <x:v>原版全外部；无 FUSE 筛选或名称比较放宽</x:v>
      </x:c>
      <x:c r="L440" s="10" t="str">
        <x:v>63151da049f846e65fb361d1f314df65c2d468a7</x:v>
      </x:c>
      <x:c r="M440" s="10" t="str">
        <x:v>E09 / targets.juicefs-writeback.results</x:v>
      </x:c>
      <x:c r="N440" s="10" t="str">
        <x:v>入口结果见原始 JSON；通过不表示任意规模均正确</x:v>
      </x:c>
    </x:row>
    <x:row r="441" ht="74" customHeight="1">
      <x:c r="A441" s="11" t="str">
        <x:v>STRICT-20261010-juicefs-writeback</x:v>
      </x:c>
      <x:c r="B441" s="11" t="str">
        <x:v>NATIVE-085</x:v>
      </x:c>
      <x:c r="C441" s="11" t="str">
        <x:v>oplock_level1_test</x:v>
      </x:c>
      <x:c r="D441" s="11" t="str">
        <x:v>winfsp-tests</x:v>
      </x:c>
      <x:c r="E441" s="11" t="str">
        <x:v>本地</x:v>
      </x:c>
      <x:c r="F441" s="11" t="str">
        <x:v>后台</x:v>
      </x:c>
      <x:c r="G441" s="20" t="d">
        <x:v>2026-10-10T00:00:00.000Z</x:v>
      </x:c>
      <x:c r="H441" s="11" t="str">
        <x:v>已通过</x:v>
      </x:c>
      <x:c r="I441" s="22" t="n">
        <x:v>1.46</x:v>
      </x:c>
      <x:c r="J441" s="11" t="str">
        <x:v>JuiceFS 1.3.0 / WinFsp 2.1.25156 / rclone 1.75.0-onemount</x:v>
      </x:c>
      <x:c r="K441" s="11" t="str">
        <x:v>原版全外部；无 FUSE 筛选或名称比较放宽</x:v>
      </x:c>
      <x:c r="L441" s="11" t="str">
        <x:v>63151da049f846e65fb361d1f314df65c2d468a7</x:v>
      </x:c>
      <x:c r="M441" s="11" t="str">
        <x:v>E09 / targets.juicefs-writeback.results</x:v>
      </x:c>
      <x:c r="N441" s="11" t="str">
        <x:v>入口结果见原始 JSON；通过不表示任意规模均正确</x:v>
      </x:c>
    </x:row>
    <x:row r="442" ht="74" customHeight="1">
      <x:c r="A442" s="10" t="str">
        <x:v>STRICT-20261010-juicefs-writeback</x:v>
      </x:c>
      <x:c r="B442" s="10" t="str">
        <x:v>NATIVE-086</x:v>
      </x:c>
      <x:c r="C442" s="10" t="str">
        <x:v>oplock_level2_test</x:v>
      </x:c>
      <x:c r="D442" s="10" t="str">
        <x:v>winfsp-tests</x:v>
      </x:c>
      <x:c r="E442" s="10" t="str">
        <x:v>本地</x:v>
      </x:c>
      <x:c r="F442" s="10" t="str">
        <x:v>后台</x:v>
      </x:c>
      <x:c r="G442" s="19" t="d">
        <x:v>2026-10-10T00:00:00.000Z</x:v>
      </x:c>
      <x:c r="H442" s="10" t="str">
        <x:v>已通过</x:v>
      </x:c>
      <x:c r="I442" s="21" t="n">
        <x:v>2.626</x:v>
      </x:c>
      <x:c r="J442" s="10" t="str">
        <x:v>JuiceFS 1.3.0 / WinFsp 2.1.25156 / rclone 1.75.0-onemount</x:v>
      </x:c>
      <x:c r="K442" s="10" t="str">
        <x:v>原版全外部；无 FUSE 筛选或名称比较放宽</x:v>
      </x:c>
      <x:c r="L442" s="10" t="str">
        <x:v>63151da049f846e65fb361d1f314df65c2d468a7</x:v>
      </x:c>
      <x:c r="M442" s="10" t="str">
        <x:v>E09 / targets.juicefs-writeback.results</x:v>
      </x:c>
      <x:c r="N442" s="10" t="str">
        <x:v>入口结果见原始 JSON；通过不表示任意规模均正确</x:v>
      </x:c>
    </x:row>
    <x:row r="443" ht="74" customHeight="1">
      <x:c r="A443" s="11" t="str">
        <x:v>STRICT-20261010-juicefs-writeback</x:v>
      </x:c>
      <x:c r="B443" s="11" t="str">
        <x:v>NATIVE-087</x:v>
      </x:c>
      <x:c r="C443" s="11" t="str">
        <x:v>oplock_batch_test</x:v>
      </x:c>
      <x:c r="D443" s="11" t="str">
        <x:v>winfsp-tests</x:v>
      </x:c>
      <x:c r="E443" s="11" t="str">
        <x:v>本地</x:v>
      </x:c>
      <x:c r="F443" s="11" t="str">
        <x:v>后台</x:v>
      </x:c>
      <x:c r="G443" s="20" t="d">
        <x:v>2026-10-10T00:00:00.000Z</x:v>
      </x:c>
      <x:c r="H443" s="11" t="str">
        <x:v>已通过</x:v>
      </x:c>
      <x:c r="I443" s="22" t="n">
        <x:v>1.439</x:v>
      </x:c>
      <x:c r="J443" s="11" t="str">
        <x:v>JuiceFS 1.3.0 / WinFsp 2.1.25156 / rclone 1.75.0-onemount</x:v>
      </x:c>
      <x:c r="K443" s="11" t="str">
        <x:v>原版全外部；无 FUSE 筛选或名称比较放宽</x:v>
      </x:c>
      <x:c r="L443" s="11" t="str">
        <x:v>63151da049f846e65fb361d1f314df65c2d468a7</x:v>
      </x:c>
      <x:c r="M443" s="11" t="str">
        <x:v>E09 / targets.juicefs-writeback.results</x:v>
      </x:c>
      <x:c r="N443" s="11" t="str">
        <x:v>入口结果见原始 JSON；通过不表示任意规模均正确</x:v>
      </x:c>
    </x:row>
    <x:row r="444" ht="74" customHeight="1">
      <x:c r="A444" s="10" t="str">
        <x:v>STRICT-20261010-juicefs-writeback</x:v>
      </x:c>
      <x:c r="B444" s="10" t="str">
        <x:v>NATIVE-088</x:v>
      </x:c>
      <x:c r="C444" s="10" t="str">
        <x:v>oplock_filter_test</x:v>
      </x:c>
      <x:c r="D444" s="10" t="str">
        <x:v>winfsp-tests</x:v>
      </x:c>
      <x:c r="E444" s="10" t="str">
        <x:v>本地</x:v>
      </x:c>
      <x:c r="F444" s="10" t="str">
        <x:v>后台</x:v>
      </x:c>
      <x:c r="G444" s="19" t="d">
        <x:v>2026-10-10T00:00:00.000Z</x:v>
      </x:c>
      <x:c r="H444" s="10" t="str">
        <x:v>已通过</x:v>
      </x:c>
      <x:c r="I444" s="21" t="n">
        <x:v>1.425</x:v>
      </x:c>
      <x:c r="J444" s="10" t="str">
        <x:v>JuiceFS 1.3.0 / WinFsp 2.1.25156 / rclone 1.75.0-onemount</x:v>
      </x:c>
      <x:c r="K444" s="10" t="str">
        <x:v>原版全外部；无 FUSE 筛选或名称比较放宽</x:v>
      </x:c>
      <x:c r="L444" s="10" t="str">
        <x:v>63151da049f846e65fb361d1f314df65c2d468a7</x:v>
      </x:c>
      <x:c r="M444" s="10" t="str">
        <x:v>E09 / targets.juicefs-writeback.results</x:v>
      </x:c>
      <x:c r="N444" s="10" t="str">
        <x:v>入口结果见原始 JSON；通过不表示任意规模均正确</x:v>
      </x:c>
    </x:row>
    <x:row r="445" ht="74" customHeight="1">
      <x:c r="A445" s="11" t="str">
        <x:v>STRICT-20261010-juicefs-writeback</x:v>
      </x:c>
      <x:c r="B445" s="11" t="str">
        <x:v>NATIVE-089</x:v>
      </x:c>
      <x:c r="C445" s="11" t="str">
        <x:v>oplock_rwh_test</x:v>
      </x:c>
      <x:c r="D445" s="11" t="str">
        <x:v>winfsp-tests</x:v>
      </x:c>
      <x:c r="E445" s="11" t="str">
        <x:v>本地</x:v>
      </x:c>
      <x:c r="F445" s="11" t="str">
        <x:v>后台</x:v>
      </x:c>
      <x:c r="G445" s="20" t="d">
        <x:v>2026-10-10T00:00:00.000Z</x:v>
      </x:c>
      <x:c r="H445" s="11" t="str">
        <x:v>已通过</x:v>
      </x:c>
      <x:c r="I445" s="22" t="n">
        <x:v>1.408</x:v>
      </x:c>
      <x:c r="J445" s="11" t="str">
        <x:v>JuiceFS 1.3.0 / WinFsp 2.1.25156 / rclone 1.75.0-onemount</x:v>
      </x:c>
      <x:c r="K445" s="11" t="str">
        <x:v>原版全外部；无 FUSE 筛选或名称比较放宽</x:v>
      </x:c>
      <x:c r="L445" s="11" t="str">
        <x:v>63151da049f846e65fb361d1f314df65c2d468a7</x:v>
      </x:c>
      <x:c r="M445" s="11" t="str">
        <x:v>E09 / targets.juicefs-writeback.results</x:v>
      </x:c>
      <x:c r="N445" s="11" t="str">
        <x:v>入口结果见原始 JSON；通过不表示任意规模均正确</x:v>
      </x:c>
    </x:row>
    <x:row r="446" ht="74" customHeight="1">
      <x:c r="A446" s="10" t="str">
        <x:v>STRICT-20261010-juicefs-writeback</x:v>
      </x:c>
      <x:c r="B446" s="10" t="str">
        <x:v>NATIVE-090</x:v>
      </x:c>
      <x:c r="C446" s="10" t="str">
        <x:v>oplock_rw_test</x:v>
      </x:c>
      <x:c r="D446" s="10" t="str">
        <x:v>winfsp-tests</x:v>
      </x:c>
      <x:c r="E446" s="10" t="str">
        <x:v>本地</x:v>
      </x:c>
      <x:c r="F446" s="10" t="str">
        <x:v>后台</x:v>
      </x:c>
      <x:c r="G446" s="19" t="d">
        <x:v>2026-10-10T00:00:00.000Z</x:v>
      </x:c>
      <x:c r="H446" s="10" t="str">
        <x:v>已通过</x:v>
      </x:c>
      <x:c r="I446" s="21" t="n">
        <x:v>1.415</x:v>
      </x:c>
      <x:c r="J446" s="10" t="str">
        <x:v>JuiceFS 1.3.0 / WinFsp 2.1.25156 / rclone 1.75.0-onemount</x:v>
      </x:c>
      <x:c r="K446" s="10" t="str">
        <x:v>原版全外部；无 FUSE 筛选或名称比较放宽</x:v>
      </x:c>
      <x:c r="L446" s="10" t="str">
        <x:v>63151da049f846e65fb361d1f314df65c2d468a7</x:v>
      </x:c>
      <x:c r="M446" s="10" t="str">
        <x:v>E09 / targets.juicefs-writeback.results</x:v>
      </x:c>
      <x:c r="N446" s="10" t="str">
        <x:v>入口结果见原始 JSON；通过不表示任意规模均正确</x:v>
      </x:c>
    </x:row>
    <x:row r="447" ht="74" customHeight="1">
      <x:c r="A447" s="11" t="str">
        <x:v>STRICT-20261010-juicefs-writeback</x:v>
      </x:c>
      <x:c r="B447" s="11" t="str">
        <x:v>NATIVE-091</x:v>
      </x:c>
      <x:c r="C447" s="11" t="str">
        <x:v>oplock_rh_test</x:v>
      </x:c>
      <x:c r="D447" s="11" t="str">
        <x:v>winfsp-tests</x:v>
      </x:c>
      <x:c r="E447" s="11" t="str">
        <x:v>本地</x:v>
      </x:c>
      <x:c r="F447" s="11" t="str">
        <x:v>后台</x:v>
      </x:c>
      <x:c r="G447" s="20" t="d">
        <x:v>2026-10-10T00:00:00.000Z</x:v>
      </x:c>
      <x:c r="H447" s="11" t="str">
        <x:v>已通过</x:v>
      </x:c>
      <x:c r="I447" s="22" t="n">
        <x:v>2.63</x:v>
      </x:c>
      <x:c r="J447" s="11" t="str">
        <x:v>JuiceFS 1.3.0 / WinFsp 2.1.25156 / rclone 1.75.0-onemount</x:v>
      </x:c>
      <x:c r="K447" s="11" t="str">
        <x:v>原版全外部；无 FUSE 筛选或名称比较放宽</x:v>
      </x:c>
      <x:c r="L447" s="11" t="str">
        <x:v>63151da049f846e65fb361d1f314df65c2d468a7</x:v>
      </x:c>
      <x:c r="M447" s="11" t="str">
        <x:v>E09 / targets.juicefs-writeback.results</x:v>
      </x:c>
      <x:c r="N447" s="11" t="str">
        <x:v>入口结果见原始 JSON；通过不表示任意规模均正确</x:v>
      </x:c>
    </x:row>
    <x:row r="448" ht="74" customHeight="1">
      <x:c r="A448" s="10" t="str">
        <x:v>STRICT-20261010-juicefs-writeback</x:v>
      </x:c>
      <x:c r="B448" s="10" t="str">
        <x:v>NATIVE-092</x:v>
      </x:c>
      <x:c r="C448" s="10" t="str">
        <x:v>oplock_r_test</x:v>
      </x:c>
      <x:c r="D448" s="10" t="str">
        <x:v>winfsp-tests</x:v>
      </x:c>
      <x:c r="E448" s="10" t="str">
        <x:v>本地</x:v>
      </x:c>
      <x:c r="F448" s="10" t="str">
        <x:v>后台</x:v>
      </x:c>
      <x:c r="G448" s="19" t="d">
        <x:v>2026-10-10T00:00:00.000Z</x:v>
      </x:c>
      <x:c r="H448" s="10" t="str">
        <x:v>已通过</x:v>
      </x:c>
      <x:c r="I448" s="21" t="n">
        <x:v>2.627</x:v>
      </x:c>
      <x:c r="J448" s="10" t="str">
        <x:v>JuiceFS 1.3.0 / WinFsp 2.1.25156 / rclone 1.75.0-onemount</x:v>
      </x:c>
      <x:c r="K448" s="10" t="str">
        <x:v>原版全外部；无 FUSE 筛选或名称比较放宽</x:v>
      </x:c>
      <x:c r="L448" s="10" t="str">
        <x:v>63151da049f846e65fb361d1f314df65c2d468a7</x:v>
      </x:c>
      <x:c r="M448" s="10" t="str">
        <x:v>E09 / targets.juicefs-writeback.results</x:v>
      </x:c>
      <x:c r="N448" s="10" t="str">
        <x:v>入口结果见原始 JSON；通过不表示任意规模均正确</x:v>
      </x:c>
    </x:row>
    <x:row r="449" ht="74" customHeight="1">
      <x:c r="A449" s="11" t="str">
        <x:v>STRICT-20261010-juicefs-writeback</x:v>
      </x:c>
      <x:c r="B449" s="11" t="str">
        <x:v>NATIVE-093</x:v>
      </x:c>
      <x:c r="C449" s="11" t="str">
        <x:v>oplock_not_granted_test</x:v>
      </x:c>
      <x:c r="D449" s="11" t="str">
        <x:v>winfsp-tests</x:v>
      </x:c>
      <x:c r="E449" s="11" t="str">
        <x:v>本地</x:v>
      </x:c>
      <x:c r="F449" s="11" t="str">
        <x:v>后台</x:v>
      </x:c>
      <x:c r="G449" s="20" t="d">
        <x:v>2026-10-10T00:00:00.000Z</x:v>
      </x:c>
      <x:c r="H449" s="11" t="str">
        <x:v>已通过</x:v>
      </x:c>
      <x:c r="I449" s="22" t="n">
        <x:v>0.178</x:v>
      </x:c>
      <x:c r="J449" s="11" t="str">
        <x:v>JuiceFS 1.3.0 / WinFsp 2.1.25156 / rclone 1.75.0-onemount</x:v>
      </x:c>
      <x:c r="K449" s="11" t="str">
        <x:v>原版全外部；无 FUSE 筛选或名称比较放宽</x:v>
      </x:c>
      <x:c r="L449" s="11" t="str">
        <x:v>63151da049f846e65fb361d1f314df65c2d468a7</x:v>
      </x:c>
      <x:c r="M449" s="11" t="str">
        <x:v>E09 / targets.juicefs-writeback.results</x:v>
      </x:c>
      <x:c r="N449" s="11" t="str">
        <x:v>入口结果见原始 JSON；通过不表示任意规模均正确</x:v>
      </x:c>
    </x:row>
    <x:row r="450" ht="74" customHeight="1">
      <x:c r="A450" s="10" t="str">
        <x:v>STRICT-20261010-juicefs-writeback</x:v>
      </x:c>
      <x:c r="B450" s="10" t="str">
        <x:v>NATIVE-094</x:v>
      </x:c>
      <x:c r="C450" s="10" t="str">
        <x:v>wsl_stat_test</x:v>
      </x:c>
      <x:c r="D450" s="10" t="str">
        <x:v>winfsp-tests</x:v>
      </x:c>
      <x:c r="E450" s="10" t="str">
        <x:v>本地</x:v>
      </x:c>
      <x:c r="F450" s="10" t="str">
        <x:v>后台</x:v>
      </x:c>
      <x:c r="G450" s="19" t="d">
        <x:v>2026-10-10T00:00:00.000Z</x:v>
      </x:c>
      <x:c r="H450" s="10" t="str">
        <x:v>已失败</x:v>
      </x:c>
      <x:c r="I450" s="21" t="n">
        <x:v>0.233</x:v>
      </x:c>
      <x:c r="J450" s="10" t="str">
        <x:v>JuiceFS 1.3.0 / WinFsp 2.1.25156 / rclone 1.75.0-onemount</x:v>
      </x:c>
      <x:c r="K450" s="10" t="str">
        <x:v>原版全外部；无 FUSE 筛选或名称比较放宽</x:v>
      </x:c>
      <x:c r="L450" s="10" t="str">
        <x:v>63151da049f846e65fb361d1f314df65c2d468a7</x:v>
      </x:c>
      <x:c r="M450" s="10" t="str">
        <x:v>E09 / targets.juicefs-writeback.results</x:v>
      </x:c>
      <x:c r="N450" s="10" t="str">
        <x:v>    ASSERT(STATUS_INVALID_INFO_CLASS == Result || STATUS_NOT_IMPLEMENTED == Result) failed at wsl-test.c:161:wsl_stat_dotest (err=0:0)</x:v>
      </x:c>
    </x:row>
    <x:row r="451" ht="218" customHeight="1">
      <x:c r="A451" s="11" t="str">
        <x:v>STRICT-20261010-juicefs-writeback</x:v>
      </x:c>
      <x:c r="B451" s="11" t="str">
        <x:v>NATIVE-095</x:v>
      </x:c>
      <x:c r="C451" s="11" t="str">
        <x:v>winfstest-base/00.t</x:v>
      </x:c>
      <x:c r="D451" s="11" t="str">
        <x:v>winfstest</x:v>
      </x:c>
      <x:c r="E451" s="11" t="str">
        <x:v>本地</x:v>
      </x:c>
      <x:c r="F451" s="11" t="str">
        <x:v>后台</x:v>
      </x:c>
      <x:c r="G451" s="20" t="d">
        <x:v>2026-10-10T00:00:00.000Z</x:v>
      </x:c>
      <x:c r="H451" s="11" t="str">
        <x:v>已通过</x:v>
      </x:c>
      <x:c r="I451" s="22" t="n">
        <x:v>0.234</x:v>
      </x:c>
      <x:c r="J451" s="11" t="str">
        <x:v>JuiceFS 1.3.0 / WinFsp 2.1.25156 / rclone 1.75.0-onemount</x:v>
      </x:c>
      <x:c r="K451" s="11" t="str">
        <x:v>原版全外部；无 FUSE 筛选或名称比较放宽</x:v>
      </x:c>
      <x:c r="L451" s="11" t="str">
        <x:v>63151da049f846e65fb361d1f314df65c2d468a7</x:v>
      </x:c>
      <x:c r="M451" s="11" t="str">
        <x:v>E09 / targets.juicefs-writeback.results</x:v>
      </x:c>
      <x:c r="N451" s="11" t="str">
        <x:v>ok 2 - expect "CreateFile a1b8943f GENERIC_WRITE 0 0 CREATE_NEW FILE_ATTRIBUTE_NORMAL 0" ERROR_FILE_EXISTS
ok 4 - expect "DeleteFile a1b8943f" ERROR_FILE_NOT_FOUND
ok 7 - expect "-e CreateFile a1b8943f GENERIC_WRITE 0 0 CREATE_ALWAYS FILE_ATTRIBUTE_NORMAL 0" ERROR_ALREADY_EXISTS
ok 11 - expect "-e CreateFile a1b8943f GENERIC_WRITE 0 0 OPEN_ALWAYS FILE_ATTRIBUTE_NORMAL 0" ERROR_ALREADY_EXISTS
ok 13 - expect "CreateFile a1b8943f GENERIC_WRITE 0 0 OPEN_EXISTING FILE_ATTRIBUTE_NORMAL 0" ERROR_FILE_NOT_FOUND
ok 17 - expect "CreateFile a1b8943f GENERIC_WRITE 0 0 TRUNCATE_EXISTING FILE_ATTRIBUTE_NORMAL 0" ERROR_FILE_NOT_FOUND
ok 21 - expect "CreateFile a1b8943f\bar GENERIC_WRITE 0 0 CREATE_NEW FILE_ATTRIBUTE_NORMAL 0" ERROR_PATH_NOT_FOUND</x:v>
      </x:c>
    </x:row>
    <x:row r="452" ht="74" customHeight="1">
      <x:c r="A452" s="10" t="str">
        <x:v>STRICT-20261010-juicefs-writeback</x:v>
      </x:c>
      <x:c r="B452" s="10" t="str">
        <x:v>NATIVE-096</x:v>
      </x:c>
      <x:c r="C452" s="10" t="str">
        <x:v>winfstest-base/01.t</x:v>
      </x:c>
      <x:c r="D452" s="10" t="str">
        <x:v>winfstest</x:v>
      </x:c>
      <x:c r="E452" s="10" t="str">
        <x:v>本地</x:v>
      </x:c>
      <x:c r="F452" s="10" t="str">
        <x:v>后台</x:v>
      </x:c>
      <x:c r="G452" s="19" t="d">
        <x:v>2026-10-10T00:00:00.000Z</x:v>
      </x:c>
      <x:c r="H452" s="10" t="str">
        <x:v>已通过</x:v>
      </x:c>
      <x:c r="I452" s="21" t="n">
        <x:v>0.18</x:v>
      </x:c>
      <x:c r="J452" s="10" t="str">
        <x:v>JuiceFS 1.3.0 / WinFsp 2.1.25156 / rclone 1.75.0-onemount</x:v>
      </x:c>
      <x:c r="K452" s="10" t="str">
        <x:v>原版全外部；无 FUSE 筛选或名称比较放宽</x:v>
      </x:c>
      <x:c r="L452" s="10" t="str">
        <x:v>63151da049f846e65fb361d1f314df65c2d468a7</x:v>
      </x:c>
      <x:c r="M452" s="10" t="str">
        <x:v>E09 / targets.juicefs-writeback.results</x:v>
      </x:c>
      <x:c r="N452" s="10" t="str">
        <x:v>ok 13 - expect "DeleteFile c8bbf4db" ERROR_ACCESS_DENIED</x:v>
      </x:c>
    </x:row>
    <x:row r="453" ht="122" customHeight="1">
      <x:c r="A453" s="11" t="str">
        <x:v>STRICT-20261010-juicefs-writeback</x:v>
      </x:c>
      <x:c r="B453" s="11" t="str">
        <x:v>NATIVE-097</x:v>
      </x:c>
      <x:c r="C453" s="11" t="str">
        <x:v>winfstest-base/02.t</x:v>
      </x:c>
      <x:c r="D453" s="11" t="str">
        <x:v>winfstest</x:v>
      </x:c>
      <x:c r="E453" s="11" t="str">
        <x:v>本地</x:v>
      </x:c>
      <x:c r="F453" s="11" t="str">
        <x:v>后台</x:v>
      </x:c>
      <x:c r="G453" s="20" t="d">
        <x:v>2026-10-10T00:00:00.000Z</x:v>
      </x:c>
      <x:c r="H453" s="11" t="str">
        <x:v>已通过</x:v>
      </x:c>
      <x:c r="I453" s="22" t="n">
        <x:v>0.166</x:v>
      </x:c>
      <x:c r="J453" s="11" t="str">
        <x:v>JuiceFS 1.3.0 / WinFsp 2.1.25156 / rclone 1.75.0-onemount</x:v>
      </x:c>
      <x:c r="K453" s="11" t="str">
        <x:v>原版全外部；无 FUSE 筛选或名称比较放宽</x:v>
      </x:c>
      <x:c r="L453" s="11" t="str">
        <x:v>63151da049f846e65fb361d1f314df65c2d468a7</x:v>
      </x:c>
      <x:c r="M453" s="11" t="str">
        <x:v>E09 / targets.juicefs-writeback.results</x:v>
      </x:c>
      <x:c r="N453" s="11" t="str">
        <x:v>ok 2 - expect "CreateDirectory 5882da59 0" ERROR_ALREADY_EXISTS
ok 3 - expect "RemoveDirectory 5882da59" ERROR_DIRECTORY
ok 6 - expect "CreateDirectory 5882da59 0" ERROR_ALREADY_EXISTS
ok 8 - expect "DeleteFile 5882da59" ERROR_ACCESS_DENIED
ok 10 - expect "RemoveDirectory 5882da59" ERROR_FILE_NOT_FOUND
ok 12 - expect "CreateFile 5882da59 GENERIC_WRITE 0 0 CREATE_NEW FILE_ATTRIBUTE_NORMAL 0" ERROR_ACCESS_DENIED</x:v>
      </x:c>
    </x:row>
    <x:row r="454" ht="74" customHeight="1">
      <x:c r="A454" s="10" t="str">
        <x:v>STRICT-20261010-juicefs-writeback</x:v>
      </x:c>
      <x:c r="B454" s="10" t="str">
        <x:v>NATIVE-098</x:v>
      </x:c>
      <x:c r="C454" s="10" t="str">
        <x:v>winfstest-base/03.t</x:v>
      </x:c>
      <x:c r="D454" s="10" t="str">
        <x:v>winfstest</x:v>
      </x:c>
      <x:c r="E454" s="10" t="str">
        <x:v>本地</x:v>
      </x:c>
      <x:c r="F454" s="10" t="str">
        <x:v>后台</x:v>
      </x:c>
      <x:c r="G454" s="19" t="d">
        <x:v>2026-10-10T00:00:00.000Z</x:v>
      </x:c>
      <x:c r="H454" s="10" t="str">
        <x:v>已通过</x:v>
      </x:c>
      <x:c r="I454" s="21" t="n">
        <x:v>0.171</x:v>
      </x:c>
      <x:c r="J454" s="10" t="str">
        <x:v>JuiceFS 1.3.0 / WinFsp 2.1.25156 / rclone 1.75.0-onemount</x:v>
      </x:c>
      <x:c r="K454" s="10" t="str">
        <x:v>原版全外部；无 FUSE 筛选或名称比较放宽</x:v>
      </x:c>
      <x:c r="L454" s="10" t="str">
        <x:v>63151da049f846e65fb361d1f314df65c2d468a7</x:v>
      </x:c>
      <x:c r="M454" s="10" t="str">
        <x:v>E09 / targets.juicefs-writeback.results</x:v>
      </x:c>
      <x:c r="N454" s="10" t="str">
        <x:v>ok 3 - expect "RemoveDirectory fa173397" ERROR_DIR_NOT_EMPTY
ok 4 - expect "RemoveDirectory fa173397\foo" ERROR_DIRECTORY</x:v>
      </x:c>
    </x:row>
    <x:row r="455" ht="170" customHeight="1">
      <x:c r="A455" s="11" t="str">
        <x:v>STRICT-20261010-juicefs-writeback</x:v>
      </x:c>
      <x:c r="B455" s="11" t="str">
        <x:v>NATIVE-099</x:v>
      </x:c>
      <x:c r="C455" s="11" t="str">
        <x:v>winfstest-base/04.t</x:v>
      </x:c>
      <x:c r="D455" s="11" t="str">
        <x:v>winfstest</x:v>
      </x:c>
      <x:c r="E455" s="11" t="str">
        <x:v>本地</x:v>
      </x:c>
      <x:c r="F455" s="11" t="str">
        <x:v>后台</x:v>
      </x:c>
      <x:c r="G455" s="20" t="d">
        <x:v>2026-10-10T00:00:00.000Z</x:v>
      </x:c>
      <x:c r="H455" s="11" t="str">
        <x:v>已通过</x:v>
      </x:c>
      <x:c r="I455" s="22" t="n">
        <x:v>0.552</x:v>
      </x:c>
      <x:c r="J455" s="11" t="str">
        <x:v>JuiceFS 1.3.0 / WinFsp 2.1.25156 / rclone 1.75.0-onemount</x:v>
      </x:c>
      <x:c r="K455" s="11" t="str">
        <x:v>原版全外部；无 FUSE 筛选或名称比较放宽</x:v>
      </x:c>
      <x:c r="L455" s="11" t="str">
        <x:v>63151da049f846e65fb361d1f314df65c2d468a7</x:v>
      </x:c>
      <x:c r="M455" s="11" t="str">
        <x:v>E09 / targets.juicefs-writeback.results</x:v>
      </x:c>
      <x:c r="N455" s="11" t="str">
        <x:v>ok 5 - expect "GetFileInformation 1eeb95b5\foo" ERROR_FILE_NOT_FOUND
ok 7 - expect "MoveFileEx 1eeb95b5\bar 1eeb95b5\baz 0" ERROR_ALREADY_EXISTS
ok 10 - expect "MoveFileEx 1eeb95b5\bar 1eeb95b5\baz MOVEFILE_REPLACE_EXISTING" ERROR_ACCESS_DENIED
ok 13 - expect "GetFileInformation 1eeb95b5\bar" ERROR_FILE_NOT_FOUND
ok 21 - expect "GetFileInformation 1eeb95b5\foo" ERROR_FILE_NOT_FOUND
ok 23 - expect "MoveFileEx 1eeb95b5\bar 1eeb95b5\baz 0" ERROR_ALREADY_EXISTS
ok 26 - expect "MoveFileEx 1eeb95b5\bar 1eeb95b5\baz MOVEFILE_REPLACE_EXISTING" ERROR_ACCESS_DENIED
ok 31 - expect "GetFileInformation 1eeb95b5\bar" ERROR_FILE_NOT_FOUND</x:v>
      </x:c>
    </x:row>
    <x:row r="456" ht="74" customHeight="1">
      <x:c r="A456" s="10" t="str">
        <x:v>STRICT-20261010-juicefs-writeback</x:v>
      </x:c>
      <x:c r="B456" s="10" t="str">
        <x:v>NATIVE-100</x:v>
      </x:c>
      <x:c r="C456" s="10" t="str">
        <x:v>winfstest-base/05.t</x:v>
      </x:c>
      <x:c r="D456" s="10" t="str">
        <x:v>winfstest</x:v>
      </x:c>
      <x:c r="E456" s="10" t="str">
        <x:v>本地</x:v>
      </x:c>
      <x:c r="F456" s="10" t="str">
        <x:v>后台</x:v>
      </x:c>
      <x:c r="G456" s="19" t="d">
        <x:v>2026-10-10T00:00:00.000Z</x:v>
      </x:c>
      <x:c r="H456" s="10" t="str">
        <x:v>已通过</x:v>
      </x:c>
      <x:c r="I456" s="21" t="n">
        <x:v>0.167</x:v>
      </x:c>
      <x:c r="J456" s="10" t="str">
        <x:v>JuiceFS 1.3.0 / WinFsp 2.1.25156 / rclone 1.75.0-onemount</x:v>
      </x:c>
      <x:c r="K456" s="10" t="str">
        <x:v>原版全外部；无 FUSE 筛选或名称比较放宽</x:v>
      </x:c>
      <x:c r="L456" s="10" t="str">
        <x:v>63151da049f846e65fb361d1f314df65c2d468a7</x:v>
      </x:c>
      <x:c r="M456" s="10" t="str">
        <x:v>E09 / targets.juicefs-writeback.results</x:v>
      </x:c>
      <x:c r="N456" s="10" t="str">
        <x:v>入口结果见原始 JSON；通过不表示任意规模均正确</x:v>
      </x:c>
    </x:row>
    <x:row r="457" ht="74" customHeight="1">
      <x:c r="A457" s="11" t="str">
        <x:v>STRICT-20261010-juicefs-writeback</x:v>
      </x:c>
      <x:c r="B457" s="11" t="str">
        <x:v>NATIVE-101</x:v>
      </x:c>
      <x:c r="C457" s="11" t="str">
        <x:v>winfstest-base/06.t</x:v>
      </x:c>
      <x:c r="D457" s="11" t="str">
        <x:v>winfstest</x:v>
      </x:c>
      <x:c r="E457" s="11" t="str">
        <x:v>本地</x:v>
      </x:c>
      <x:c r="F457" s="11" t="str">
        <x:v>后台</x:v>
      </x:c>
      <x:c r="G457" s="20" t="d">
        <x:v>2026-10-10T00:00:00.000Z</x:v>
      </x:c>
      <x:c r="H457" s="11" t="str">
        <x:v>已失败</x:v>
      </x:c>
      <x:c r="I457" s="22" t="n">
        <x:v>0.105</x:v>
      </x:c>
      <x:c r="J457" s="11" t="str">
        <x:v>JuiceFS 1.3.0 / WinFsp 2.1.25156 / rclone 1.75.0-onemount</x:v>
      </x:c>
      <x:c r="K457" s="11" t="str">
        <x:v>原版全外部；无 FUSE 筛选或名称比较放宽</x:v>
      </x:c>
      <x:c r="L457" s="11" t="str">
        <x:v>63151da049f846e65fb361d1f314df65c2d468a7</x:v>
      </x:c>
      <x:c r="M457" s="11" t="str">
        <x:v>E09 / targets.juicefs-writeback.results</x:v>
      </x:c>
      <x:c r="N457" s="11" t="str">
        <x:v>not ok 5 - testeval("2134-01-01T00:00:00Z" == r[0]["CreationTime"])</x:v>
      </x:c>
    </x:row>
    <x:row r="458" ht="74" customHeight="1">
      <x:c r="A458" s="10" t="str">
        <x:v>STRICT-20261010-juicefs-writeback</x:v>
      </x:c>
      <x:c r="B458" s="10" t="str">
        <x:v>NATIVE-102</x:v>
      </x:c>
      <x:c r="C458" s="10" t="str">
        <x:v>winfstest-base/07.t</x:v>
      </x:c>
      <x:c r="D458" s="10" t="str">
        <x:v>winfstest</x:v>
      </x:c>
      <x:c r="E458" s="10" t="str">
        <x:v>本地</x:v>
      </x:c>
      <x:c r="F458" s="10" t="str">
        <x:v>后台</x:v>
      </x:c>
      <x:c r="G458" s="19" t="d">
        <x:v>2026-10-10T00:00:00.000Z</x:v>
      </x:c>
      <x:c r="H458" s="10" t="str">
        <x:v>已通过</x:v>
      </x:c>
      <x:c r="I458" s="21" t="n">
        <x:v>0.147</x:v>
      </x:c>
      <x:c r="J458" s="10" t="str">
        <x:v>JuiceFS 1.3.0 / WinFsp 2.1.25156 / rclone 1.75.0-onemount</x:v>
      </x:c>
      <x:c r="K458" s="10" t="str">
        <x:v>原版全外部；无 FUSE 筛选或名称比较放宽</x:v>
      </x:c>
      <x:c r="L458" s="10" t="str">
        <x:v>63151da049f846e65fb361d1f314df65c2d468a7</x:v>
      </x:c>
      <x:c r="M458" s="10" t="str">
        <x:v>E09 / targets.juicefs-writeback.results</x:v>
      </x:c>
      <x:c r="N458" s="10" t="str">
        <x:v>入口结果见原始 JSON；通过不表示任意规模均正确</x:v>
      </x:c>
    </x:row>
    <x:row r="459" ht="74" customHeight="1">
      <x:c r="A459" s="11" t="str">
        <x:v>STRICT-20261010-juicefs-writeback</x:v>
      </x:c>
      <x:c r="B459" s="11" t="str">
        <x:v>NATIVE-103</x:v>
      </x:c>
      <x:c r="C459" s="11" t="str">
        <x:v>winfstest-base/08.t</x:v>
      </x:c>
      <x:c r="D459" s="11" t="str">
        <x:v>winfstest</x:v>
      </x:c>
      <x:c r="E459" s="11" t="str">
        <x:v>本地</x:v>
      </x:c>
      <x:c r="F459" s="11" t="str">
        <x:v>后台</x:v>
      </x:c>
      <x:c r="G459" s="20" t="d">
        <x:v>2026-10-10T00:00:00.000Z</x:v>
      </x:c>
      <x:c r="H459" s="11" t="str">
        <x:v>已失败</x:v>
      </x:c>
      <x:c r="I459" s="22" t="n">
        <x:v>0.144</x:v>
      </x:c>
      <x:c r="J459" s="11" t="str">
        <x:v>JuiceFS 1.3.0 / WinFsp 2.1.25156 / rclone 1.75.0-onemount</x:v>
      </x:c>
      <x:c r="K459" s="11" t="str">
        <x:v>原版全外部；无 FUSE 筛选或名称比较放宽</x:v>
      </x:c>
      <x:c r="L459" s="11" t="str">
        <x:v>63151da049f846e65fb361d1f314df65c2d468a7</x:v>
      </x:c>
      <x:c r="M459" s="11" t="str">
        <x:v>E09 / targets.juicefs-writeback.results</x:v>
      </x:c>
      <x:c r="N459" s="11" t="str">
        <x:v>not ok 4 - expect "CreateFile d0def21b GENERIC_READ FILE_SHARE_READ+FILE_SHARE_WRITE+FILE_SHARE_DELETE 0 OPEN_EXISTING 0 0" ERROR_ACCESS_DENIED - got ERROR_FILE_NOT_FOUND
not ok 9 - testeval(len(s) == 3)
not ok 12 - testeval("foo" in s)</x:v>
      </x:c>
    </x:row>
    <x:row r="460" ht="266" customHeight="1">
      <x:c r="A460" s="10" t="str">
        <x:v>STRICT-20261010-juicefs-writeback</x:v>
      </x:c>
      <x:c r="B460" s="10" t="str">
        <x:v>NATIVE-104</x:v>
      </x:c>
      <x:c r="C460" s="10" t="str">
        <x:v>winfstest-base/09.t</x:v>
      </x:c>
      <x:c r="D460" s="10" t="str">
        <x:v>winfstest</x:v>
      </x:c>
      <x:c r="E460" s="10" t="str">
        <x:v>本地</x:v>
      </x:c>
      <x:c r="F460" s="10" t="str">
        <x:v>后台</x:v>
      </x:c>
      <x:c r="G460" s="19" t="d">
        <x:v>2026-10-10T00:00:00.000Z</x:v>
      </x:c>
      <x:c r="H460" s="10" t="str">
        <x:v>已通过</x:v>
      </x:c>
      <x:c r="I460" s="21" t="n">
        <x:v>0.21</x:v>
      </x:c>
      <x:c r="J460" s="10" t="str">
        <x:v>JuiceFS 1.3.0 / WinFsp 2.1.25156 / rclone 1.75.0-onemount</x:v>
      </x:c>
      <x:c r="K460" s="10" t="str">
        <x:v>原版全外部；无 FUSE 筛选或名称比较放宽</x:v>
      </x:c>
      <x:c r="L460" s="10" t="str">
        <x:v>63151da049f846e65fb361d1f314df65c2d468a7</x:v>
      </x:c>
      <x:c r="M460" s="10" t="str">
        <x:v>E09 / targets.juicefs-writeback.results</x:v>
      </x:c>
      <x:c r="N460" s="10" t="str">
        <x:v>ok 2 - expect "CreateFile 93d3826a GENERIC_READ FILE_SHARE_READ 0 OPEN_EXISTING 0 0" ERROR_SHARING_VIOLATION
ok 4 - expect "CreateFile 93d3826a DELETE FILE_SHARE_DELETE 0 OPEN_EXISTING 0 0" ERROR_SHARING_VIOLATION
ok 5 - expect "CreateFile 93d3826a DELETE FILE_SHARE_WRITE 0 OPEN_EXISTING 0 0" ERROR_SHARING_VIOLATION
ok 7 - expect "CreateFile 93d3826a GENERIC_WRITE FILE_SHARE_WRITE 0 OPEN_EXISTING 0 0" ERROR_SHARING_VIOLATION
ok 9 - expect "CreateFile 93d3826a DELETE FILE_SHARE_DELETE 0 OPEN_EXISTING 0 0" ERROR_SHARING_VIOLATION
ok 10 - expect "CreateFile 93d3826a DELETE FILE_SHARE_WRITE 0 OPEN_EXISTING 0 0" ERROR_SHARING_VIOLATION
ok 12 - expect "CreateFile 93d3826a GENERIC_WRITE FILE_SHARE_DELETE 0 OPEN_EXISTING 0 0" ERROR_SHARING_VIOLATION
ok 13 - expect "CreateFile 93d3826a DELETE FILE_SHARE_WRITE 0 OPEN_EXISTING 0 0" ERROR_SHARING_VIOLATION</x:v>
      </x:c>
    </x:row>
    <x:row r="461" ht="298" customHeight="1">
      <x:c r="A461" s="11" t="str">
        <x:v>STRICT-20261010-juicefs-writeback</x:v>
      </x:c>
      <x:c r="B461" s="11" t="str">
        <x:v>NATIVE-105</x:v>
      </x:c>
      <x:c r="C461" s="11" t="str">
        <x:v>winfstest-base/10.t</x:v>
      </x:c>
      <x:c r="D461" s="11" t="str">
        <x:v>winfstest</x:v>
      </x:c>
      <x:c r="E461" s="11" t="str">
        <x:v>本地</x:v>
      </x:c>
      <x:c r="F461" s="11" t="str">
        <x:v>后台</x:v>
      </x:c>
      <x:c r="G461" s="20" t="d">
        <x:v>2026-10-10T00:00:00.000Z</x:v>
      </x:c>
      <x:c r="H461" s="11" t="str">
        <x:v>已失败</x:v>
      </x:c>
      <x:c r="I461" s="22" t="n">
        <x:v>0.254</x:v>
      </x:c>
      <x:c r="J461" s="11" t="str">
        <x:v>JuiceFS 1.3.0 / WinFsp 2.1.25156 / rclone 1.75.0-onemount</x:v>
      </x:c>
      <x:c r="K461" s="11" t="str">
        <x:v>原版全外部；无 FUSE 筛选或名称比较放宽</x:v>
      </x:c>
      <x:c r="L461" s="11" t="str">
        <x:v>63151da049f846e65fb361d1f314df65c2d468a7</x:v>
      </x:c>
      <x:c r="M461" s="11" t="str">
        <x:v>E09 / targets.juicefs-writeback.results</x:v>
      </x:c>
      <x:c r="N461" s="11" t="str">
        <x:v>not ok 2 - expect "GetFileSecurity 8a54adb2 DACL_SECURITY_INFORMATION" &lt;lambda&gt; - result [{'Sddl': 'D:P(A;;0x1f01bf;;;LA)(A;;0x1201af;;;S-1-5-21-1643835476-1616584234-1346609752-513)(A;;0x1201af;;;WD)'}]
not ok 4 - expect "GetFileSecurity 8a54adb2 DACL_SECURITY_INFORMATION" &lt;lambda&gt; - result [{'Sddl': 'D:P(A;;0x1f01bf;;;LA)(A;;0x1201af;;;S-1-5-21-1643835476-1616584234-1346609752-513)(A;;0x1201af;;;WD)'}]
ok 9 - expect "CreateFile 8a54adb2 GENERIC_READ 0 0 OPEN_EXISTING 0 0" ERROR_ACCESS_DENIED
not ok 12 - expect "GetFileSecurity 8a54adb2 DACL_SECURITY_INFORMATION" &lt;lambda&gt; - result [{'Sddl': 'D:P(A;;FA;;;LA)(A;;0x1201ef;;;S-1-5-21-1643835476-1616584234-1346609752-513)(A;;0x1201ef;;;WD)'}]
not ok 14 - expect "GetFileSecurity 8a54adb2 DACL_SECURITY_INFORMATION" &lt;lambda&gt; - result [{'Sddl': 'D:P(A;;FA;;;LA)(A;;0x1201ef;;;S-1-5-21-1643835476-1616584234-1346609752-513)(A;;0x1201ef;;;WD)'}]
ok 17 - expect "CreateFile 8a54adb2\foobar GENERIC_READ 0 D:P(A;;FR;;;WD) CREATE_NEW 0 0" ERROR_ACCESS_DENIED
not ok 21 - expect "DeleteFile 8a54adb2\foobar" ERROR_ACCESS_DENIED - got 0
not ok 23 - expect "DeleteFile 8a54adb2\foobar" 0 - got ERROR_FILE_NOT_FOUND</x:v>
      </x:c>
    </x:row>
    <x:row r="462" ht="266" customHeight="1">
      <x:c r="A462" s="10" t="str">
        <x:v>STRICT-20261010-juicefs-writeback</x:v>
      </x:c>
      <x:c r="B462" s="10" t="str">
        <x:v>NATIVE-106</x:v>
      </x:c>
      <x:c r="C462" s="10" t="str">
        <x:v>winfstest-reparse/00.t</x:v>
      </x:c>
      <x:c r="D462" s="10" t="str">
        <x:v>winfstest</x:v>
      </x:c>
      <x:c r="E462" s="10" t="str">
        <x:v>本地</x:v>
      </x:c>
      <x:c r="F462" s="10" t="str">
        <x:v>后台</x:v>
      </x:c>
      <x:c r="G462" s="19" t="d">
        <x:v>2026-10-10T00:00:00.000Z</x:v>
      </x:c>
      <x:c r="H462" s="10" t="str">
        <x:v>已失败</x:v>
      </x:c>
      <x:c r="I462" s="21" t="n">
        <x:v>0.372</x:v>
      </x:c>
      <x:c r="J462" s="10" t="str">
        <x:v>JuiceFS 1.3.0 / WinFsp 2.1.25156 / rclone 1.75.0-onemount</x:v>
      </x:c>
      <x:c r="K462" s="10" t="str">
        <x:v>原版全外部；无 FUSE 筛选或名称比较放宽</x:v>
      </x:c>
      <x:c r="L462" s="10" t="str">
        <x:v>63151da049f846e65fb361d1f314df65c2d468a7</x:v>
      </x:c>
      <x:c r="M462" s="10" t="str">
        <x:v>E09 / targets.juicefs-writeback.results</x:v>
      </x:c>
      <x:c r="N462" s="10" t="str">
        <x:v>not ok 3 - expect "SetReparsePoint c0b412c3 42 {92A23BD8-99F5-4FD6-807C-C56F3A063C52} 1A 2B 3C 4D 5F" 0 - got ERROR(4394)
not ok 4 - expect "GetFileInformation c0b412c3" &lt;lambda&gt; - result [{'VolumeSerialNumber': 304043912, 'FileIndex': 2065, 'NumberOfLinks': 1, 'CreationTime': '2026-10-10T11:28:57Z', 'LastAccessTime': '2026-10-10T11:28:57Z', 'FileSize': 0, 'LastWriteTime': '2026-10-10T11:28:57Z', 'FileAttributes': 32}]
not ok 5 - expect "GetReparsePoint c0b412c3" 0 - got ERROR(4390)
not ok 6 - expect "SetReparsePoint c0b412c3 42 {92A23BD8-99F5-4FD6-807C-C56F3A063C52} A1 B2 C3 D4 F5 1A 2B 3C 4D 5F" 0 - got ERROR(4394)
not ok 7 - expect "GetReparsePoint c0b412c3" 0 - got ERROR(4390)
ok 8 - expect "SetReparsePoint c0b412c3 43 {92A23BD8-99F5-4FD6-807C-C56F3A063C52} A1 B2 C3 D4 F5 1A 2B 3C 4D 5F" ERROR(4394)
not ok 9 - expect "SetReparsePoint c0b412c3 42 {02A23BD8-99F5-4FD6-807C-C56F3A063C52} A1 B2 C3 D4 F5 1A 2B 3C 4D 5F" ERROR(4391) - got ERROR(4394)
not ok 13 - expect "SetReparsePoint c0b412c3 42 {92A23BD8-99F5-4FD6-807C-C56F3A063C52} 1A 2B 3C 4D 5F" 0 - got ERROR(4394)</x:v>
      </x:c>
    </x:row>
    <x:row r="463" ht="266" customHeight="1">
      <x:c r="A463" s="11" t="str">
        <x:v>STRICT-20261010-juicefs-writeback</x:v>
      </x:c>
      <x:c r="B463" s="11" t="str">
        <x:v>NATIVE-107</x:v>
      </x:c>
      <x:c r="C463" s="11" t="str">
        <x:v>winfstest-reparse/01.t</x:v>
      </x:c>
      <x:c r="D463" s="11" t="str">
        <x:v>winfstest</x:v>
      </x:c>
      <x:c r="E463" s="11" t="str">
        <x:v>本地</x:v>
      </x:c>
      <x:c r="F463" s="11" t="str">
        <x:v>后台</x:v>
      </x:c>
      <x:c r="G463" s="20" t="d">
        <x:v>2026-10-10T00:00:00.000Z</x:v>
      </x:c>
      <x:c r="H463" s="11" t="str">
        <x:v>已失败</x:v>
      </x:c>
      <x:c r="I463" s="22" t="n">
        <x:v>0.329</x:v>
      </x:c>
      <x:c r="J463" s="11" t="str">
        <x:v>JuiceFS 1.3.0 / WinFsp 2.1.25156 / rclone 1.75.0-onemount</x:v>
      </x:c>
      <x:c r="K463" s="11" t="str">
        <x:v>原版全外部；无 FUSE 筛选或名称比较放宽</x:v>
      </x:c>
      <x:c r="L463" s="11" t="str">
        <x:v>63151da049f846e65fb361d1f314df65c2d468a7</x:v>
      </x:c>
      <x:c r="M463" s="11" t="str">
        <x:v>E09 / targets.juicefs-writeback.results</x:v>
      </x:c>
      <x:c r="N463" s="11" t="str">
        <x:v>not ok 3 - expect "SetReparsePoint 1df99008 42 {92A23BD8-99F5-4FD6-807C-C56F3A063C52} 1A 2B 3C 4D 5F" 0 - got ERROR(4394)
not ok 4 - expect "GetFileInformation 1df99008" &lt;lambda&gt; - result [{'VolumeSerialNumber': 304043912, 'FileIndex': 2072, 'NumberOfLinks': 1, 'CreationTime': '2026-10-10T11:28:57Z', 'LastAccessTime': '2026-10-10T11:28:57Z', 'FileSize': 4096, 'LastWriteTime': '2026-10-10T11:28:57Z', 'FileAttributes': 16}]
not ok 5 - expect "GetReparsePoint 1df99008" 0 - got ERROR(4390)
not ok 6 - expect "SetReparsePoint 1df99008 42 {92A23BD8-99F5-4FD6-807C-C56F3A063C52} A1 B2 C3 D4 F5 1A 2B 3C 4D 5F" 0 - got ERROR(4394)
not ok 7 - expect "GetReparsePoint 1df99008" 0 - got ERROR(4390)
ok 8 - expect "SetReparsePoint 1df99008 43 {92A23BD8-99F5-4FD6-807C-C56F3A063C52} A1 B2 C3 D4 F5 1A 2B 3C 4D 5F" ERROR(4394)
not ok 9 - expect "SetReparsePoint 1df99008 42 {02A23BD8-99F5-4FD6-807C-C56F3A063C52} A1 B2 C3 D4 F5 1A 2B 3C 4D 5F" ERROR(4391) - got ERROR(4394)
not ok 13 - expect "SetReparsePoint 1df99008 42 {92A23BD8-99F5-4FD6-807C-C56F3A063C52} 1A 2B 3C 4D 5F" 0 - got ERROR(4394)</x:v>
      </x:c>
    </x:row>
    <x:row r="464" ht="74" customHeight="1">
      <x:c r="A464" s="10" t="str">
        <x:v>STRICT-20261010-juicefs-writeback</x:v>
      </x:c>
      <x:c r="B464" s="10" t="str">
        <x:v>NATIVE-108</x:v>
      </x:c>
      <x:c r="C464" s="10" t="str">
        <x:v>winfstest-reparse/02.t</x:v>
      </x:c>
      <x:c r="D464" s="10" t="str">
        <x:v>winfstest</x:v>
      </x:c>
      <x:c r="E464" s="10" t="str">
        <x:v>本地</x:v>
      </x:c>
      <x:c r="F464" s="10" t="str">
        <x:v>后台</x:v>
      </x:c>
      <x:c r="G464" s="19" t="d">
        <x:v>2026-10-10T00:00:00.000Z</x:v>
      </x:c>
      <x:c r="H464" s="10" t="str">
        <x:v>已失败</x:v>
      </x:c>
      <x:c r="I464" s="21" t="n">
        <x:v>0.071</x:v>
      </x:c>
      <x:c r="J464" s="10" t="str">
        <x:v>JuiceFS 1.3.0 / WinFsp 2.1.25156 / rclone 1.75.0-onemount</x:v>
      </x:c>
      <x:c r="K464" s="10" t="str">
        <x:v>原版全外部；无 FUSE 筛选或名称比较放宽</x:v>
      </x:c>
      <x:c r="L464" s="10" t="str">
        <x:v>63151da049f846e65fb361d1f314df65c2d468a7</x:v>
      </x:c>
      <x:c r="M464" s="10" t="str">
        <x:v>E09 / targets.juicefs-writeback.results</x:v>
      </x:c>
      <x:c r="N464" s="10" t="str">
        <x:v>not ok 1 - expect "CreateSymbolicLink bd2c93d5 c0783c6b 0" 0 - got ERROR_INVALID_FUNCTION</x:v>
      </x:c>
    </x:row>
    <x:row r="465" ht="74" customHeight="1">
      <x:c r="A465" s="11" t="str">
        <x:v>STRICT-20261010-juicefs-writeback</x:v>
      </x:c>
      <x:c r="B465" s="11" t="str">
        <x:v>NATIVE-109</x:v>
      </x:c>
      <x:c r="C465" s="11" t="str">
        <x:v>winfstest-reparse/03.t</x:v>
      </x:c>
      <x:c r="D465" s="11" t="str">
        <x:v>winfstest</x:v>
      </x:c>
      <x:c r="E465" s="11" t="str">
        <x:v>本地</x:v>
      </x:c>
      <x:c r="F465" s="11" t="str">
        <x:v>后台</x:v>
      </x:c>
      <x:c r="G465" s="20" t="d">
        <x:v>2026-10-10T00:00:00.000Z</x:v>
      </x:c>
      <x:c r="H465" s="11" t="str">
        <x:v>已失败</x:v>
      </x:c>
      <x:c r="I465" s="22" t="n">
        <x:v>0.07</x:v>
      </x:c>
      <x:c r="J465" s="11" t="str">
        <x:v>JuiceFS 1.3.0 / WinFsp 2.1.25156 / rclone 1.75.0-onemount</x:v>
      </x:c>
      <x:c r="K465" s="11" t="str">
        <x:v>原版全外部；无 FUSE 筛选或名称比较放宽</x:v>
      </x:c>
      <x:c r="L465" s="11" t="str">
        <x:v>63151da049f846e65fb361d1f314df65c2d468a7</x:v>
      </x:c>
      <x:c r="M465" s="11" t="str">
        <x:v>E09 / targets.juicefs-writeback.results</x:v>
      </x:c>
      <x:c r="N465" s="11" t="str">
        <x:v>not ok 1 - expect "CreateSymbolicLink b49bcbdb d647044b SYMBOLIC_LINK_FLAG_DIRECTORY" 0 - got ERROR_INVALID_FUNCTION</x:v>
      </x:c>
    </x:row>
    <x:row r="466" ht="138" customHeight="1">
      <x:c r="A466" s="10" t="str">
        <x:v>STRICT-20261010-juicefs-writeback</x:v>
      </x:c>
      <x:c r="B466" s="10" t="str">
        <x:v>NATIVE-110</x:v>
      </x:c>
      <x:c r="C466" s="10" t="str">
        <x:v>winfstest-streams/00.t</x:v>
      </x:c>
      <x:c r="D466" s="10" t="str">
        <x:v>winfstest</x:v>
      </x:c>
      <x:c r="E466" s="10" t="str">
        <x:v>本地</x:v>
      </x:c>
      <x:c r="F466" s="10" t="str">
        <x:v>后台</x:v>
      </x:c>
      <x:c r="G466" s="19" t="d">
        <x:v>2026-10-10T00:00:00.000Z</x:v>
      </x:c>
      <x:c r="H466" s="10" t="str">
        <x:v>已失败</x:v>
      </x:c>
      <x:c r="I466" s="21" t="n">
        <x:v>0.099</x:v>
      </x:c>
      <x:c r="J466" s="10" t="str">
        <x:v>JuiceFS 1.3.0 / WinFsp 2.1.25156 / rclone 1.75.0-onemount</x:v>
      </x:c>
      <x:c r="K466" s="10" t="str">
        <x:v>原版全外部；无 FUSE 筛选或名称比较放宽</x:v>
      </x:c>
      <x:c r="L466" s="10" t="str">
        <x:v>63151da049f846e65fb361d1f314df65c2d468a7</x:v>
      </x:c>
      <x:c r="M466" s="10" t="str">
        <x:v>E09 / targets.juicefs-writeback.results</x:v>
      </x:c>
      <x:c r="N466" s="10" t="str">
        <x:v>not ok 1 - expect "CreateFile f8eee1a7:foo GENERIC_WRITE 0 0 CREATE_NEW FILE_ATTRIBUTE_NORMAL 0" 0 - got ERROR_INVALID_NAME
not ok 2 - expect "CreateFile f8eee1a7 GENERIC_WRITE 0 0 CREATE_NEW FILE_ATTRIBUTE_NORMAL 0" ERROR_FILE_EXISTS - got 0
not ok 3 - expect "CreateFile f8eee1a7:foo GENERIC_WRITE 0 0 CREATE_NEW FILE_ATTRIBUTE_NORMAL 0" ERROR_FILE_EXISTS - got ERROR_INVALID_NAME
not ok 5 - expect "GetFileInformation f8eee1a7:foo" 0 - got ERROR_INVALID_NAME
IndexError: list index out of range</x:v>
      </x:c>
    </x:row>
    <x:row r="467" ht="154" customHeight="1">
      <x:c r="A467" s="11" t="str">
        <x:v>STRICT-20261010-juicefs-writeback</x:v>
      </x:c>
      <x:c r="B467" s="11" t="str">
        <x:v>NATIVE-111</x:v>
      </x:c>
      <x:c r="C467" s="11" t="str">
        <x:v>winfstest-streams/01.t</x:v>
      </x:c>
      <x:c r="D467" s="11" t="str">
        <x:v>winfstest</x:v>
      </x:c>
      <x:c r="E467" s="11" t="str">
        <x:v>本地</x:v>
      </x:c>
      <x:c r="F467" s="11" t="str">
        <x:v>后台</x:v>
      </x:c>
      <x:c r="G467" s="20" t="d">
        <x:v>2026-10-10T00:00:00.000Z</x:v>
      </x:c>
      <x:c r="H467" s="11" t="str">
        <x:v>已失败</x:v>
      </x:c>
      <x:c r="I467" s="22" t="n">
        <x:v>0.118</x:v>
      </x:c>
      <x:c r="J467" s="11" t="str">
        <x:v>JuiceFS 1.3.0 / WinFsp 2.1.25156 / rclone 1.75.0-onemount</x:v>
      </x:c>
      <x:c r="K467" s="11" t="str">
        <x:v>原版全外部；无 FUSE 筛选或名称比较放宽</x:v>
      </x:c>
      <x:c r="L467" s="11" t="str">
        <x:v>63151da049f846e65fb361d1f314df65c2d468a7</x:v>
      </x:c>
      <x:c r="M467" s="11" t="str">
        <x:v>E09 / targets.juicefs-writeback.results</x:v>
      </x:c>
      <x:c r="N467" s="11" t="str">
        <x:v>not ok 1 - expect "CreateDirectory 6da0dfb9:foo 0" ERROR_DIRECTORY - got ERROR_INVALID_NAME
ok 3 - expect "CreateDirectory 6da0dfb9 0" ERROR_ALREADY_EXISTS
not ok 4 - expect "CreateFile 6da0dfb9:foo GENERIC_WRITE 0 0 CREATE_NEW FILE_ATTRIBUTE_NORMAL 0" 0 - got ERROR_INVALID_NAME
not ok 5 - expect "CreateFile 6da0dfb9:foo GENERIC_WRITE 0 0 CREATE_NEW FILE_ATTRIBUTE_NORMAL 0" ERROR_FILE_EXISTS - got ERROR_INVALID_NAME
not ok 7 - expect "GetFileInformation 6da0dfb9:foo" 0 - got ERROR_INVALID_NAME
IndexError: list index out of range</x:v>
      </x:c>
    </x:row>
    <x:row r="468" ht="170" customHeight="1">
      <x:c r="A468" s="10" t="str">
        <x:v>STRICT-20261010-juicefs-writeback</x:v>
      </x:c>
      <x:c r="B468" s="10" t="str">
        <x:v>NATIVE-112</x:v>
      </x:c>
      <x:c r="C468" s="10" t="str">
        <x:v>winfstest-streams/02.t</x:v>
      </x:c>
      <x:c r="D468" s="10" t="str">
        <x:v>winfstest</x:v>
      </x:c>
      <x:c r="E468" s="10" t="str">
        <x:v>本地</x:v>
      </x:c>
      <x:c r="F468" s="10" t="str">
        <x:v>后台</x:v>
      </x:c>
      <x:c r="G468" s="19" t="d">
        <x:v>2026-10-10T00:00:00.000Z</x:v>
      </x:c>
      <x:c r="H468" s="10" t="str">
        <x:v>已失败</x:v>
      </x:c>
      <x:c r="I468" s="21" t="n">
        <x:v>1.101</x:v>
      </x:c>
      <x:c r="J468" s="10" t="str">
        <x:v>JuiceFS 1.3.0 / WinFsp 2.1.25156 / rclone 1.75.0-onemount</x:v>
      </x:c>
      <x:c r="K468" s="10" t="str">
        <x:v>原版全外部；无 FUSE 筛选或名称比较放宽</x:v>
      </x:c>
      <x:c r="L468" s="10" t="str">
        <x:v>63151da049f846e65fb361d1f314df65c2d468a7</x:v>
      </x:c>
      <x:c r="M468" s="10" t="str">
        <x:v>E09 / targets.juicefs-writeback.results</x:v>
      </x:c>
      <x:c r="N468" s="10" t="str">
        <x:v>not ok 2 - expect "FindStreams e59498ea" 0 - got ERROR_INVALID_PARAMETER
not ok 3 - testeval(len(s) == 1)
not ok 4 - testeval("::$DATA" in s)
ok 6 - expect "FindStreams e59498ea" ERROR_FILE_NOT_FOUND
not ok 7 - expect "CreateFile e59498ea:foo GENERIC_WRITE 0 0 CREATE_NEW FILE_ATTRIBUTE_NORMAL 0" 0 - got ERROR_INVALID_NAME
not ok 8 - expect "CreateFile e59498ea:bar GENERIC_WRITE 0 0 CREATE_NEW FILE_ATTRIBUTE_NORMAL 0" 0 - got ERROR_INVALID_NAME
not ok 9 - expect "FindStreams e59498ea" 0 - got ERROR_FILE_NOT_FOUND
not ok 10 - testeval(len(s) == 3)</x:v>
      </x:c>
    </x:row>
    <x:row r="469" ht="250" customHeight="1">
      <x:c r="A469" s="11" t="str">
        <x:v>STRICT-20261010-juicefs-writeback</x:v>
      </x:c>
      <x:c r="B469" s="11" t="str">
        <x:v>NATIVE-113</x:v>
      </x:c>
      <x:c r="C469" s="11" t="str">
        <x:v>winfstest-streams/03.t</x:v>
      </x:c>
      <x:c r="D469" s="11" t="str">
        <x:v>winfstest</x:v>
      </x:c>
      <x:c r="E469" s="11" t="str">
        <x:v>本地</x:v>
      </x:c>
      <x:c r="F469" s="11" t="str">
        <x:v>后台</x:v>
      </x:c>
      <x:c r="G469" s="20" t="d">
        <x:v>2026-10-10T00:00:00.000Z</x:v>
      </x:c>
      <x:c r="H469" s="11" t="str">
        <x:v>已失败</x:v>
      </x:c>
      <x:c r="I469" s="22" t="n">
        <x:v>0.361</x:v>
      </x:c>
      <x:c r="J469" s="11" t="str">
        <x:v>JuiceFS 1.3.0 / WinFsp 2.1.25156 / rclone 1.75.0-onemount</x:v>
      </x:c>
      <x:c r="K469" s="11" t="str">
        <x:v>原版全外部；无 FUSE 筛选或名称比较放宽</x:v>
      </x:c>
      <x:c r="L469" s="11" t="str">
        <x:v>63151da049f846e65fb361d1f314df65c2d468a7</x:v>
      </x:c>
      <x:c r="M469" s="11" t="str">
        <x:v>E09 / targets.juicefs-writeback.results</x:v>
      </x:c>
      <x:c r="N469" s="11" t="str">
        <x:v>not ok 1 - expect "CreateFile 6c74ac88:strm GENERIC_WRITE 0 D:P(A;;GA;;;WD) CREATE_NEW FILE_ATTRIBUTE_NORMAL 0" 0 - got ERROR_INVALID_NAME
not ok 2 - expect "GetFileSecurity 6c74ac88 DACL_SECURITY_INFORMATION" 0 - got ERROR_FILE_NOT_FOUND
not ok 3 - expect "GetFileSecurity 6c74ac88:strm DACL_SECURITY_INFORMATION" 0 - got ERROR_INVALID_NAME
not ok 4 - expect "SetFileSecurity 6c74ac88:strm DACL_SECURITY_INFORMATION D:P(A;;GA;;;WD)(A;;GR;;;SY)" 0 - got ERROR_INVALID_NAME
not ok 5 - expect "GetFileSecurity 6c74ac88 DACL_SECURITY_INFORMATION" 0 - got ERROR_FILE_NOT_FOUND
not ok 6 - expect "GetFileSecurity 6c74ac88:strm DACL_SECURITY_INFORMATION" 0 - got ERROR_INVALID_NAME
not ok 7 - expect "DeleteFile 6c74ac88" 0 - got ERROR_FILE_NOT_FOUND
not ok 8 - expect "CreateFile 6c74ac88:strm GENERIC_WRITE 0 D:P(A;;GA;;;WD) CREATE_NEW FILE_ATTRIBUTE_NORMAL 0" 0 - got ERROR_INVALID_NAME</x:v>
      </x:c>
    </x:row>
    <x:row r="470" ht="186" customHeight="1">
      <x:c r="A470" s="10" t="str">
        <x:v>STRICT-20261010-juicefs-writeback</x:v>
      </x:c>
      <x:c r="B470" s="10" t="str">
        <x:v>NATIVE-114</x:v>
      </x:c>
      <x:c r="C470" s="10" t="str">
        <x:v>winfstest-streams/04.t</x:v>
      </x:c>
      <x:c r="D470" s="10" t="str">
        <x:v>winfstest</x:v>
      </x:c>
      <x:c r="E470" s="10" t="str">
        <x:v>本地</x:v>
      </x:c>
      <x:c r="F470" s="10" t="str">
        <x:v>后台</x:v>
      </x:c>
      <x:c r="G470" s="19" t="d">
        <x:v>2026-10-10T00:00:00.000Z</x:v>
      </x:c>
      <x:c r="H470" s="10" t="str">
        <x:v>已失败</x:v>
      </x:c>
      <x:c r="I470" s="21" t="n">
        <x:v>0.128</x:v>
      </x:c>
      <x:c r="J470" s="10" t="str">
        <x:v>JuiceFS 1.3.0 / WinFsp 2.1.25156 / rclone 1.75.0-onemount</x:v>
      </x:c>
      <x:c r="K470" s="10" t="str">
        <x:v>原版全外部；无 FUSE 筛选或名称比较放宽</x:v>
      </x:c>
      <x:c r="L470" s="10" t="str">
        <x:v>63151da049f846e65fb361d1f314df65c2d468a7</x:v>
      </x:c>
      <x:c r="M470" s="10" t="str">
        <x:v>E09 / targets.juicefs-writeback.results</x:v>
      </x:c>
      <x:c r="N470" s="10" t="str">
        <x:v>not ok 1 - expect "CreateFile ac108b9c:strm GENERIC_WRITE 0 0 CREATE_NEW FILE_ATTRIBUTE_NORMAL 0" 0 - got ERROR_INVALID_NAME
not ok 2 - expect "GetFileInformation ac108b9c" 0 - got ERROR_FILE_NOT_FOUND
not ok 3 - expect "SetReparsePoint ac108b9c:strm 42 {92A23BD8-99F5-4FD6-807C-C56F3A063C52} 1A 2B 3C 4D 5F" 0 - got ERROR_INVALID_NAME
not ok 4 - expect "GetFileInformation ac108b9c" 0 - got ERROR_FILE_NOT_FOUND
not ok 5 - expect "GetReparsePoint ac108b9c" 0 - got ERROR_FILE_NOT_FOUND
not ok 6 - expect "SetReparsePoint ac108b9c 42 {92A23BD8-99F5-4FD6-807C-C56F3A063C52} A1 B2 C3 D4 F5 1A 2B 3C 4D 5F" 0 - got ERROR_FILE_NOT_FOUND
not ok 7 - expect "GetReparsePoint ac108b9c:strm" 0 - got ERROR_INVALID_NAME
not ok 8 - expect "DeleteFile ac108b9c" 0 - got ERROR_FILE_NOT_FOUND</x:v>
      </x:c>
    </x:row>
    <x:row r="471" ht="74" customHeight="1">
      <x:c r="A471" s="11" t="str">
        <x:v>STRICT-20261010-juicefs-writeback</x:v>
      </x:c>
      <x:c r="B471" s="11" t="str">
        <x:v>NATIVE-115</x:v>
      </x:c>
      <x:c r="C471" s="11" t="str">
        <x:v>fsx-normal</x:v>
      </x:c>
      <x:c r="D471" s="11" t="str">
        <x:v>fsx</x:v>
      </x:c>
      <x:c r="E471" s="11" t="str">
        <x:v>本地</x:v>
      </x:c>
      <x:c r="F471" s="11" t="str">
        <x:v>后台</x:v>
      </x:c>
      <x:c r="G471" s="20" t="d">
        <x:v>2026-10-10T00:00:00.000Z</x:v>
      </x:c>
      <x:c r="H471" s="11" t="str">
        <x:v>已通过</x:v>
      </x:c>
      <x:c r="I471" s="22" t="n">
        <x:v>16.93</x:v>
      </x:c>
      <x:c r="J471" s="11" t="str">
        <x:v>JuiceFS 1.3.0 / WinFsp 2.1.25156 / rclone 1.75.0-onemount</x:v>
      </x:c>
      <x:c r="K471" s="11" t="str">
        <x:v>原版全外部；无 FUSE 筛选或名称比较放宽</x:v>
      </x:c>
      <x:c r="L471" s="11" t="str">
        <x:v>63151da049f846e65fb361d1f314df65c2d468a7</x:v>
      </x:c>
      <x:c r="M471" s="11" t="str">
        <x:v>E09 / targets.juicefs-writeback.results</x:v>
      </x:c>
      <x:c r="N471" s="11" t="str">
        <x:v>入口结果见原始 JSON；通过不表示任意规模均正确</x:v>
      </x:c>
    </x:row>
    <x:row r="472" ht="74" customHeight="1">
      <x:c r="A472" s="10" t="str">
        <x:v>STRICT-20261010-juicefs-writeback</x:v>
      </x:c>
      <x:c r="B472" s="10" t="str">
        <x:v>NATIVE-116</x:v>
      </x:c>
      <x:c r="C472" s="10" t="str">
        <x:v>fsx-mixed</x:v>
      </x:c>
      <x:c r="D472" s="10" t="str">
        <x:v>fsx</x:v>
      </x:c>
      <x:c r="E472" s="10" t="str">
        <x:v>本地</x:v>
      </x:c>
      <x:c r="F472" s="10" t="str">
        <x:v>后台</x:v>
      </x:c>
      <x:c r="G472" s="19" t="d">
        <x:v>2026-10-10T00:00:00.000Z</x:v>
      </x:c>
      <x:c r="H472" s="10" t="str">
        <x:v>已通过</x:v>
      </x:c>
      <x:c r="I472" s="21" t="n">
        <x:v>15.823</x:v>
      </x:c>
      <x:c r="J472" s="10" t="str">
        <x:v>JuiceFS 1.3.0 / WinFsp 2.1.25156 / rclone 1.75.0-onemount</x:v>
      </x:c>
      <x:c r="K472" s="10" t="str">
        <x:v>原版全外部；无 FUSE 筛选或名称比较放宽</x:v>
      </x:c>
      <x:c r="L472" s="10" t="str">
        <x:v>63151da049f846e65fb361d1f314df65c2d468a7</x:v>
      </x:c>
      <x:c r="M472" s="10" t="str">
        <x:v>E09 / targets.juicefs-writeback.results</x:v>
      </x:c>
      <x:c r="N472" s="10" t="str">
        <x:v>入口结果见原始 JSON；通过不表示任意规模均正确</x:v>
      </x:c>
    </x:row>
    <x:row r="473" ht="74" customHeight="1">
      <x:c r="A473" s="11" t="str">
        <x:v>STRICT-20261010-juicefs-writeback</x:v>
      </x:c>
      <x:c r="B473" s="11" t="str">
        <x:v>NATIVE-117</x:v>
      </x:c>
      <x:c r="C473" s="11" t="str">
        <x:v>fsx-stream</x:v>
      </x:c>
      <x:c r="D473" s="11" t="str">
        <x:v>fsx</x:v>
      </x:c>
      <x:c r="E473" s="11" t="str">
        <x:v>本地</x:v>
      </x:c>
      <x:c r="F473" s="11" t="str">
        <x:v>后台</x:v>
      </x:c>
      <x:c r="G473" s="20" t="d">
        <x:v>2026-10-10T00:00:00.000Z</x:v>
      </x:c>
      <x:c r="H473" s="11" t="str">
        <x:v>已失败</x:v>
      </x:c>
      <x:c r="I473" s="22" t="n">
        <x:v>0.019</x:v>
      </x:c>
      <x:c r="J473" s="11" t="str">
        <x:v>JuiceFS 1.3.0 / WinFsp 2.1.25156 / rclone 1.75.0-onemount</x:v>
      </x:c>
      <x:c r="K473" s="11" t="str">
        <x:v>原版全外部；无 FUSE 筛选或名称比较放宽</x:v>
      </x:c>
      <x:c r="L473" s="11" t="str">
        <x:v>63151da049f846e65fb361d1f314df65c2d468a7</x:v>
      </x:c>
      <x:c r="M473" s="11" t="str">
        <x:v>E09 / targets.juicefs-writeback.results</x:v>
      </x:c>
      <x:c r="N473" s="11" t="str">
        <x:v>入口结果见原始 JSON；通过不表示任意规模均正确</x:v>
      </x:c>
    </x:row>
    <x:row r="474" ht="74" customHeight="1">
      <x:c r="A474" s="10" t="str">
        <x:v>SUBSET-20261015-local-sync</x:v>
      </x:c>
      <x:c r="B474" s="10" t="str">
        <x:v>JFS-PY-01</x:v>
      </x:c>
      <x:c r="C474" s="10" t="str">
        <x:v>test_basic_operations</x:v>
      </x:c>
      <x:c r="D474" s="10" t="str">
        <x:v>Python</x:v>
      </x:c>
      <x:c r="E474" s="10" t="str">
        <x:v>local</x:v>
      </x:c>
      <x:c r="F474" s="10" t="str">
        <x:v>同步</x:v>
      </x:c>
      <x:c r="G474" s="19" t="d">
        <x:v>2026-10-15T00:00:00.000Z</x:v>
      </x:c>
      <x:c r="H474" s="10" t="str">
        <x:v>已通过</x:v>
      </x:c>
      <x:c r="I474" s="21"/>
      <x:c r="J474" s="10" t="str">
        <x:v>JuiceFS 1.3.0+30190ca / WinFsp 2.1.25156；测试工具 S01–S04</x:v>
      </x:c>
      <x:c r="K474" s="10" t="str">
        <x:v>JuiceFS Windows CI 子集；attr-cache=0；云端 get-timeout=5m</x:v>
      </x:c>
      <x:c r="L474" s="10" t="str">
        <x:v>e920ead94a8e28f04e326664178b0c9f02d492b1 + productChanges / plansSha256 见 E01</x:v>
      </x:c>
      <x:c r="M474" s="10" t="str">
        <x:v>E01 / juicefs-upstream-run-75InRg</x:v>
      </x:c>
      <x:c r="N474" s="10" t="str">
        <x:v>上游原断言</x:v>
      </x:c>
    </x:row>
    <x:row r="475" ht="74" customHeight="1">
      <x:c r="A475" s="11" t="str">
        <x:v>SUBSET-20261015-local-sync</x:v>
      </x:c>
      <x:c r="B475" s="11" t="str">
        <x:v>JFS-PY-02</x:v>
      </x:c>
      <x:c r="C475" s="11" t="str">
        <x:v>test_concurrent_operations</x:v>
      </x:c>
      <x:c r="D475" s="11" t="str">
        <x:v>Python</x:v>
      </x:c>
      <x:c r="E475" s="11" t="str">
        <x:v>local</x:v>
      </x:c>
      <x:c r="F475" s="11" t="str">
        <x:v>同步</x:v>
      </x:c>
      <x:c r="G475" s="20" t="d">
        <x:v>2026-10-15T00:00:00.000Z</x:v>
      </x:c>
      <x:c r="H475" s="11" t="str">
        <x:v>已通过</x:v>
      </x:c>
      <x:c r="I475" s="22"/>
      <x:c r="J475" s="11" t="str">
        <x:v>JuiceFS 1.3.0+30190ca / WinFsp 2.1.25156；测试工具 S01–S04</x:v>
      </x:c>
      <x:c r="K475" s="11" t="str">
        <x:v>JuiceFS Windows CI 子集；attr-cache=0；云端 get-timeout=5m</x:v>
      </x:c>
      <x:c r="L475" s="11" t="str">
        <x:v>e920ead94a8e28f04e326664178b0c9f02d492b1 + productChanges / plansSha256 见 E01</x:v>
      </x:c>
      <x:c r="M475" s="11" t="str">
        <x:v>E01 / juicefs-upstream-run-75InRg</x:v>
      </x:c>
      <x:c r="N475" s="11" t="str">
        <x:v>上游原断言</x:v>
      </x:c>
    </x:row>
    <x:row r="476" ht="74" customHeight="1">
      <x:c r="A476" s="10" t="str">
        <x:v>SUBSET-20261015-local-sync</x:v>
      </x:c>
      <x:c r="B476" s="10" t="str">
        <x:v>JFS-PY-03</x:v>
      </x:c>
      <x:c r="C476" s="10" t="str">
        <x:v>test_directory_operations</x:v>
      </x:c>
      <x:c r="D476" s="10" t="str">
        <x:v>Python</x:v>
      </x:c>
      <x:c r="E476" s="10" t="str">
        <x:v>local</x:v>
      </x:c>
      <x:c r="F476" s="10" t="str">
        <x:v>同步</x:v>
      </x:c>
      <x:c r="G476" s="19" t="d">
        <x:v>2026-10-15T00:00:00.000Z</x:v>
      </x:c>
      <x:c r="H476" s="10" t="str">
        <x:v>已通过</x:v>
      </x:c>
      <x:c r="I476" s="21"/>
      <x:c r="J476" s="10" t="str">
        <x:v>JuiceFS 1.3.0+30190ca / WinFsp 2.1.25156；测试工具 S01–S04</x:v>
      </x:c>
      <x:c r="K476" s="10" t="str">
        <x:v>JuiceFS Windows CI 子集；attr-cache=0；云端 get-timeout=5m</x:v>
      </x:c>
      <x:c r="L476" s="10" t="str">
        <x:v>e920ead94a8e28f04e326664178b0c9f02d492b1 + productChanges / plansSha256 见 E01</x:v>
      </x:c>
      <x:c r="M476" s="10" t="str">
        <x:v>E01 / juicefs-upstream-run-75InRg</x:v>
      </x:c>
      <x:c r="N476" s="10" t="str">
        <x:v>上游原断言</x:v>
      </x:c>
    </x:row>
    <x:row r="477" ht="74" customHeight="1">
      <x:c r="A477" s="11" t="str">
        <x:v>SUBSET-20261015-local-sync</x:v>
      </x:c>
      <x:c r="B477" s="11" t="str">
        <x:v>JFS-PY-04</x:v>
      </x:c>
      <x:c r="C477" s="11" t="str">
        <x:v>test_file_attributes</x:v>
      </x:c>
      <x:c r="D477" s="11" t="str">
        <x:v>Python</x:v>
      </x:c>
      <x:c r="E477" s="11" t="str">
        <x:v>local</x:v>
      </x:c>
      <x:c r="F477" s="11" t="str">
        <x:v>同步</x:v>
      </x:c>
      <x:c r="G477" s="20" t="d">
        <x:v>2026-10-15T00:00:00.000Z</x:v>
      </x:c>
      <x:c r="H477" s="11" t="str">
        <x:v>已通过</x:v>
      </x:c>
      <x:c r="I477" s="22"/>
      <x:c r="J477" s="11" t="str">
        <x:v>JuiceFS 1.3.0+30190ca / WinFsp 2.1.25156；测试工具 S01–S04</x:v>
      </x:c>
      <x:c r="K477" s="11" t="str">
        <x:v>JuiceFS Windows CI 子集；attr-cache=0；云端 get-timeout=5m</x:v>
      </x:c>
      <x:c r="L477" s="11" t="str">
        <x:v>e920ead94a8e28f04e326664178b0c9f02d492b1 + productChanges / plansSha256 见 E01</x:v>
      </x:c>
      <x:c r="M477" s="11" t="str">
        <x:v>E01 / juicefs-upstream-run-75InRg</x:v>
      </x:c>
      <x:c r="N477" s="11" t="str">
        <x:v>上游原断言</x:v>
      </x:c>
    </x:row>
    <x:row r="478" ht="74" customHeight="1">
      <x:c r="A478" s="10" t="str">
        <x:v>SUBSET-20261015-local-sync</x:v>
      </x:c>
      <x:c r="B478" s="10" t="str">
        <x:v>JFS-PY-05</x:v>
      </x:c>
      <x:c r="C478" s="10" t="str">
        <x:v>test_large_files</x:v>
      </x:c>
      <x:c r="D478" s="10" t="str">
        <x:v>Python</x:v>
      </x:c>
      <x:c r="E478" s="10" t="str">
        <x:v>local</x:v>
      </x:c>
      <x:c r="F478" s="10" t="str">
        <x:v>同步</x:v>
      </x:c>
      <x:c r="G478" s="19" t="d">
        <x:v>2026-10-15T00:00:00.000Z</x:v>
      </x:c>
      <x:c r="H478" s="10" t="str">
        <x:v>已通过</x:v>
      </x:c>
      <x:c r="I478" s="21"/>
      <x:c r="J478" s="10" t="str">
        <x:v>JuiceFS 1.3.0+30190ca / WinFsp 2.1.25156；测试工具 S01–S04</x:v>
      </x:c>
      <x:c r="K478" s="10" t="str">
        <x:v>JuiceFS Windows CI 子集；attr-cache=0；云端 get-timeout=5m</x:v>
      </x:c>
      <x:c r="L478" s="10" t="str">
        <x:v>e920ead94a8e28f04e326664178b0c9f02d492b1 + productChanges / plansSha256 见 E01</x:v>
      </x:c>
      <x:c r="M478" s="10" t="str">
        <x:v>E01 / juicefs-upstream-run-75InRg</x:v>
      </x:c>
      <x:c r="N478" s="10" t="str">
        <x:v>上游原断言</x:v>
      </x:c>
    </x:row>
    <x:row r="479" ht="74" customHeight="1">
      <x:c r="A479" s="11" t="str">
        <x:v>SUBSET-20261015-local-sync</x:v>
      </x:c>
      <x:c r="B479" s="11" t="str">
        <x:v>JFS-PY-06</x:v>
      </x:c>
      <x:c r="C479" s="11" t="str">
        <x:v>test_long_paths</x:v>
      </x:c>
      <x:c r="D479" s="11" t="str">
        <x:v>Python</x:v>
      </x:c>
      <x:c r="E479" s="11" t="str">
        <x:v>local</x:v>
      </x:c>
      <x:c r="F479" s="11" t="str">
        <x:v>同步</x:v>
      </x:c>
      <x:c r="G479" s="20" t="d">
        <x:v>2026-10-15T00:00:00.000Z</x:v>
      </x:c>
      <x:c r="H479" s="11" t="str">
        <x:v>已通过</x:v>
      </x:c>
      <x:c r="I479" s="22"/>
      <x:c r="J479" s="11" t="str">
        <x:v>JuiceFS 1.3.0+30190ca / WinFsp 2.1.25156；测试工具 S01–S04</x:v>
      </x:c>
      <x:c r="K479" s="11" t="str">
        <x:v>JuiceFS Windows CI 子集；attr-cache=0；云端 get-timeout=5m</x:v>
      </x:c>
      <x:c r="L479" s="11" t="str">
        <x:v>e920ead94a8e28f04e326664178b0c9f02d492b1 + productChanges / plansSha256 见 E01</x:v>
      </x:c>
      <x:c r="M479" s="11" t="str">
        <x:v>E01 / juicefs-upstream-run-75InRg</x:v>
      </x:c>
      <x:c r="N479" s="11" t="str">
        <x:v>上游原断言</x:v>
      </x:c>
    </x:row>
    <x:row r="480" ht="74" customHeight="1">
      <x:c r="A480" s="10" t="str">
        <x:v>SUBSET-20261015-local-sync</x:v>
      </x:c>
      <x:c r="B480" s="10" t="str">
        <x:v>JFS-PY-07</x:v>
      </x:c>
      <x:c r="C480" s="10" t="str">
        <x:v>test_rename_case_change</x:v>
      </x:c>
      <x:c r="D480" s="10" t="str">
        <x:v>Python</x:v>
      </x:c>
      <x:c r="E480" s="10" t="str">
        <x:v>local</x:v>
      </x:c>
      <x:c r="F480" s="10" t="str">
        <x:v>同步</x:v>
      </x:c>
      <x:c r="G480" s="19" t="d">
        <x:v>2026-10-15T00:00:00.000Z</x:v>
      </x:c>
      <x:c r="H480" s="10" t="str">
        <x:v>已通过</x:v>
      </x:c>
      <x:c r="I480" s="21"/>
      <x:c r="J480" s="10" t="str">
        <x:v>JuiceFS 1.3.0+30190ca / WinFsp 2.1.25156；测试工具 S01–S04</x:v>
      </x:c>
      <x:c r="K480" s="10" t="str">
        <x:v>JuiceFS Windows CI 子集；attr-cache=0；云端 get-timeout=5m</x:v>
      </x:c>
      <x:c r="L480" s="10" t="str">
        <x:v>e920ead94a8e28f04e326664178b0c9f02d492b1 + productChanges / plansSha256 见 E01</x:v>
      </x:c>
      <x:c r="M480" s="10" t="str">
        <x:v>E01 / juicefs-upstream-run-75InRg</x:v>
      </x:c>
      <x:c r="N480" s="10" t="str">
        <x:v>上游原断言</x:v>
      </x:c>
    </x:row>
    <x:row r="481" ht="74" customHeight="1">
      <x:c r="A481" s="11" t="str">
        <x:v>SUBSET-20261015-local-sync</x:v>
      </x:c>
      <x:c r="B481" s="11" t="str">
        <x:v>JFS-PY-08</x:v>
      </x:c>
      <x:c r="C481" s="11" t="str">
        <x:v>test_special_characters</x:v>
      </x:c>
      <x:c r="D481" s="11" t="str">
        <x:v>Python</x:v>
      </x:c>
      <x:c r="E481" s="11" t="str">
        <x:v>local</x:v>
      </x:c>
      <x:c r="F481" s="11" t="str">
        <x:v>同步</x:v>
      </x:c>
      <x:c r="G481" s="20" t="d">
        <x:v>2026-10-15T00:00:00.000Z</x:v>
      </x:c>
      <x:c r="H481" s="11" t="str">
        <x:v>已通过</x:v>
      </x:c>
      <x:c r="I481" s="22"/>
      <x:c r="J481" s="11" t="str">
        <x:v>JuiceFS 1.3.0+30190ca / WinFsp 2.1.25156；测试工具 S01–S04</x:v>
      </x:c>
      <x:c r="K481" s="11" t="str">
        <x:v>JuiceFS Windows CI 子集；attr-cache=0；云端 get-timeout=5m</x:v>
      </x:c>
      <x:c r="L481" s="11" t="str">
        <x:v>e920ead94a8e28f04e326664178b0c9f02d492b1 + productChanges / plansSha256 见 E01</x:v>
      </x:c>
      <x:c r="M481" s="11" t="str">
        <x:v>E01 / juicefs-upstream-run-75InRg</x:v>
      </x:c>
      <x:c r="N481" s="11" t="str">
        <x:v>上游原断言</x:v>
      </x:c>
    </x:row>
    <x:row r="482" ht="74" customHeight="1">
      <x:c r="A482" s="10" t="str">
        <x:v>SUBSET-20261015-local-sync</x:v>
      </x:c>
      <x:c r="B482" s="10" t="str">
        <x:v>JFS-PY-09</x:v>
      </x:c>
      <x:c r="C482" s="10" t="str">
        <x:v>test_symlinks</x:v>
      </x:c>
      <x:c r="D482" s="10" t="str">
        <x:v>Python</x:v>
      </x:c>
      <x:c r="E482" s="10" t="str">
        <x:v>local</x:v>
      </x:c>
      <x:c r="F482" s="10" t="str">
        <x:v>同步</x:v>
      </x:c>
      <x:c r="G482" s="19" t="d">
        <x:v>2026-10-15T00:00:00.000Z</x:v>
      </x:c>
      <x:c r="H482" s="10" t="str">
        <x:v>已跳过</x:v>
      </x:c>
      <x:c r="I482" s="21"/>
      <x:c r="J482" s="10" t="str">
        <x:v>JuiceFS 1.3.0+30190ca / WinFsp 2.1.25156；测试工具 S01–S04</x:v>
      </x:c>
      <x:c r="K482" s="10" t="str">
        <x:v>JuiceFS Windows CI 子集；attr-cache=0；云端 get-timeout=5m</x:v>
      </x:c>
      <x:c r="L482" s="10" t="str">
        <x:v>e920ead94a8e28f04e326664178b0c9f02d492b1 + productChanges / plansSha256 见 E01</x:v>
      </x:c>
      <x:c r="M482" s="10" t="str">
        <x:v>E01 / juicefs-upstream-run-75InRg</x:v>
      </x:c>
      <x:c r="N482" s="10" t="str">
        <x:v>Windows Do not support</x:v>
      </x:c>
    </x:row>
    <x:row r="483" ht="74" customHeight="1">
      <x:c r="A483" s="11" t="str">
        <x:v>SUBSET-20261015-local-sync</x:v>
      </x:c>
      <x:c r="B483" s="11" t="str">
        <x:v>WFP-01</x:v>
      </x:c>
      <x:c r="C483" s="11" t="str">
        <x:v>create_test</x:v>
      </x:c>
      <x:c r="D483" s="11" t="str">
        <x:v>WinFsp fork 默认子集</x:v>
      </x:c>
      <x:c r="E483" s="11" t="str">
        <x:v>local</x:v>
      </x:c>
      <x:c r="F483" s="11" t="str">
        <x:v>同步</x:v>
      </x:c>
      <x:c r="G483" s="20" t="d">
        <x:v>2026-10-15T00:00:00.000Z</x:v>
      </x:c>
      <x:c r="H483" s="11" t="str">
        <x:v>已通过</x:v>
      </x:c>
      <x:c r="I483" s="22" t="n">
        <x:v>0.474</x:v>
      </x:c>
      <x:c r="J483" s="11" t="str">
        <x:v>JuiceFS 1.3.0+30190ca / WinFsp 2.1.25156；测试工具 S01–S04</x:v>
      </x:c>
      <x:c r="K483" s="11" t="str">
        <x:v>JuiceFS Windows CI 子集；attr-cache=0；云端 get-timeout=5m</x:v>
      </x:c>
      <x:c r="L483" s="11" t="str">
        <x:v>e920ead94a8e28f04e326664178b0c9f02d492b1 + productChanges / plansSha256 见 E01</x:v>
      </x:c>
      <x:c r="M483" s="11" t="str">
        <x:v>E01 / juicefs-upstream-run-75InRg</x:v>
      </x:c>
      <x:c r="N483" s="11" t="str">
        <x:v>--fuse-external --resilient --case-insensitive-cmp</x:v>
      </x:c>
    </x:row>
    <x:row r="484" ht="74" customHeight="1">
      <x:c r="A484" s="10" t="str">
        <x:v>SUBSET-20261015-local-sync</x:v>
      </x:c>
      <x:c r="B484" s="10" t="str">
        <x:v>WFP-02</x:v>
      </x:c>
      <x:c r="C484" s="10" t="str">
        <x:v>create_fileattr_test</x:v>
      </x:c>
      <x:c r="D484" s="10" t="str">
        <x:v>WinFsp fork 默认子集</x:v>
      </x:c>
      <x:c r="E484" s="10" t="str">
        <x:v>local</x:v>
      </x:c>
      <x:c r="F484" s="10" t="str">
        <x:v>同步</x:v>
      </x:c>
      <x:c r="G484" s="19" t="d">
        <x:v>2026-10-15T00:00:00.000Z</x:v>
      </x:c>
      <x:c r="H484" s="10" t="str">
        <x:v>已通过</x:v>
      </x:c>
      <x:c r="I484" s="21" t="n">
        <x:v>0.461</x:v>
      </x:c>
      <x:c r="J484" s="10" t="str">
        <x:v>JuiceFS 1.3.0+30190ca / WinFsp 2.1.25156；测试工具 S01–S04</x:v>
      </x:c>
      <x:c r="K484" s="10" t="str">
        <x:v>JuiceFS Windows CI 子集；attr-cache=0；云端 get-timeout=5m</x:v>
      </x:c>
      <x:c r="L484" s="10" t="str">
        <x:v>e920ead94a8e28f04e326664178b0c9f02d492b1 + productChanges / plansSha256 见 E01</x:v>
      </x:c>
      <x:c r="M484" s="10" t="str">
        <x:v>E01 / juicefs-upstream-run-75InRg</x:v>
      </x:c>
      <x:c r="N484" s="10" t="str">
        <x:v>--fuse-external --resilient --case-insensitive-cmp</x:v>
      </x:c>
    </x:row>
    <x:row r="485" ht="74" customHeight="1">
      <x:c r="A485" s="11" t="str">
        <x:v>SUBSET-20261015-local-sync</x:v>
      </x:c>
      <x:c r="B485" s="11" t="str">
        <x:v>WFP-03</x:v>
      </x:c>
      <x:c r="C485" s="11" t="str">
        <x:v>create_readonlydir_test</x:v>
      </x:c>
      <x:c r="D485" s="11" t="str">
        <x:v>WinFsp fork 默认子集</x:v>
      </x:c>
      <x:c r="E485" s="11" t="str">
        <x:v>local</x:v>
      </x:c>
      <x:c r="F485" s="11" t="str">
        <x:v>同步</x:v>
      </x:c>
      <x:c r="G485" s="20" t="d">
        <x:v>2026-10-15T00:00:00.000Z</x:v>
      </x:c>
      <x:c r="H485" s="11" t="str">
        <x:v>已通过</x:v>
      </x:c>
      <x:c r="I485" s="22" t="n">
        <x:v>0.559</x:v>
      </x:c>
      <x:c r="J485" s="11" t="str">
        <x:v>JuiceFS 1.3.0+30190ca / WinFsp 2.1.25156；测试工具 S01–S04</x:v>
      </x:c>
      <x:c r="K485" s="11" t="str">
        <x:v>JuiceFS Windows CI 子集；attr-cache=0；云端 get-timeout=5m</x:v>
      </x:c>
      <x:c r="L485" s="11" t="str">
        <x:v>e920ead94a8e28f04e326664178b0c9f02d492b1 + productChanges / plansSha256 见 E01</x:v>
      </x:c>
      <x:c r="M485" s="11" t="str">
        <x:v>E01 / juicefs-upstream-run-75InRg</x:v>
      </x:c>
      <x:c r="N485" s="11" t="str">
        <x:v>--fuse-external --resilient --case-insensitive-cmp</x:v>
      </x:c>
    </x:row>
    <x:row r="486" ht="74" customHeight="1">
      <x:c r="A486" s="10" t="str">
        <x:v>SUBSET-20261015-local-sync</x:v>
      </x:c>
      <x:c r="B486" s="10" t="str">
        <x:v>WFP-04</x:v>
      </x:c>
      <x:c r="C486" s="10" t="str">
        <x:v>create_related_test</x:v>
      </x:c>
      <x:c r="D486" s="10" t="str">
        <x:v>WinFsp fork 默认子集</x:v>
      </x:c>
      <x:c r="E486" s="10" t="str">
        <x:v>local</x:v>
      </x:c>
      <x:c r="F486" s="10" t="str">
        <x:v>同步</x:v>
      </x:c>
      <x:c r="G486" s="19" t="d">
        <x:v>2026-10-15T00:00:00.000Z</x:v>
      </x:c>
      <x:c r="H486" s="10" t="str">
        <x:v>已通过</x:v>
      </x:c>
      <x:c r="I486" s="21" t="n">
        <x:v>0.41</x:v>
      </x:c>
      <x:c r="J486" s="10" t="str">
        <x:v>JuiceFS 1.3.0+30190ca / WinFsp 2.1.25156；测试工具 S01–S04</x:v>
      </x:c>
      <x:c r="K486" s="10" t="str">
        <x:v>JuiceFS Windows CI 子集；attr-cache=0；云端 get-timeout=5m</x:v>
      </x:c>
      <x:c r="L486" s="10" t="str">
        <x:v>e920ead94a8e28f04e326664178b0c9f02d492b1 + productChanges / plansSha256 见 E01</x:v>
      </x:c>
      <x:c r="M486" s="10" t="str">
        <x:v>E01 / juicefs-upstream-run-75InRg</x:v>
      </x:c>
      <x:c r="N486" s="10" t="str">
        <x:v>--fuse-external --resilient --case-insensitive-cmp</x:v>
      </x:c>
    </x:row>
    <x:row r="487" ht="74" customHeight="1">
      <x:c r="A487" s="11" t="str">
        <x:v>SUBSET-20261015-local-sync</x:v>
      </x:c>
      <x:c r="B487" s="11" t="str">
        <x:v>WFP-05</x:v>
      </x:c>
      <x:c r="C487" s="11" t="str">
        <x:v>create_sd_test</x:v>
      </x:c>
      <x:c r="D487" s="11" t="str">
        <x:v>WinFsp fork 默认子集</x:v>
      </x:c>
      <x:c r="E487" s="11" t="str">
        <x:v>local</x:v>
      </x:c>
      <x:c r="F487" s="11" t="str">
        <x:v>同步</x:v>
      </x:c>
      <x:c r="G487" s="20" t="d">
        <x:v>2026-10-15T00:00:00.000Z</x:v>
      </x:c>
      <x:c r="H487" s="11" t="str">
        <x:v>已通过</x:v>
      </x:c>
      <x:c r="I487" s="22" t="n">
        <x:v>0.647</x:v>
      </x:c>
      <x:c r="J487" s="11" t="str">
        <x:v>JuiceFS 1.3.0+30190ca / WinFsp 2.1.25156；测试工具 S01–S04</x:v>
      </x:c>
      <x:c r="K487" s="11" t="str">
        <x:v>JuiceFS Windows CI 子集；attr-cache=0；云端 get-timeout=5m</x:v>
      </x:c>
      <x:c r="L487" s="11" t="str">
        <x:v>e920ead94a8e28f04e326664178b0c9f02d492b1 + productChanges / plansSha256 见 E01</x:v>
      </x:c>
      <x:c r="M487" s="11" t="str">
        <x:v>E01 / juicefs-upstream-run-75InRg</x:v>
      </x:c>
      <x:c r="N487" s="11" t="str">
        <x:v>--fuse-external --resilient --case-insensitive-cmp</x:v>
      </x:c>
    </x:row>
    <x:row r="488" ht="74" customHeight="1">
      <x:c r="A488" s="10" t="str">
        <x:v>SUBSET-20261015-local-sync</x:v>
      </x:c>
      <x:c r="B488" s="10" t="str">
        <x:v>WFP-06</x:v>
      </x:c>
      <x:c r="C488" s="10" t="str">
        <x:v>create_share_test</x:v>
      </x:c>
      <x:c r="D488" s="10" t="str">
        <x:v>WinFsp fork 默认子集</x:v>
      </x:c>
      <x:c r="E488" s="10" t="str">
        <x:v>local</x:v>
      </x:c>
      <x:c r="F488" s="10" t="str">
        <x:v>同步</x:v>
      </x:c>
      <x:c r="G488" s="19" t="d">
        <x:v>2026-10-15T00:00:00.000Z</x:v>
      </x:c>
      <x:c r="H488" s="10" t="str">
        <x:v>已通过</x:v>
      </x:c>
      <x:c r="I488" s="21" t="n">
        <x:v>0.413</x:v>
      </x:c>
      <x:c r="J488" s="10" t="str">
        <x:v>JuiceFS 1.3.0+30190ca / WinFsp 2.1.25156；测试工具 S01–S04</x:v>
      </x:c>
      <x:c r="K488" s="10" t="str">
        <x:v>JuiceFS Windows CI 子集；attr-cache=0；云端 get-timeout=5m</x:v>
      </x:c>
      <x:c r="L488" s="10" t="str">
        <x:v>e920ead94a8e28f04e326664178b0c9f02d492b1 + productChanges / plansSha256 见 E01</x:v>
      </x:c>
      <x:c r="M488" s="10" t="str">
        <x:v>E01 / juicefs-upstream-run-75InRg</x:v>
      </x:c>
      <x:c r="N488" s="10" t="str">
        <x:v>--fuse-external --resilient --case-insensitive-cmp</x:v>
      </x:c>
    </x:row>
    <x:row r="489" ht="74" customHeight="1">
      <x:c r="A489" s="11" t="str">
        <x:v>SUBSET-20261015-local-sync</x:v>
      </x:c>
      <x:c r="B489" s="11" t="str">
        <x:v>WFP-07</x:v>
      </x:c>
      <x:c r="C489" s="11" t="str">
        <x:v>create_curdir_test</x:v>
      </x:c>
      <x:c r="D489" s="11" t="str">
        <x:v>WinFsp fork 默认子集</x:v>
      </x:c>
      <x:c r="E489" s="11" t="str">
        <x:v>local</x:v>
      </x:c>
      <x:c r="F489" s="11" t="str">
        <x:v>同步</x:v>
      </x:c>
      <x:c r="G489" s="20" t="d">
        <x:v>2026-10-15T00:00:00.000Z</x:v>
      </x:c>
      <x:c r="H489" s="11" t="str">
        <x:v>已通过</x:v>
      </x:c>
      <x:c r="I489" s="22" t="n">
        <x:v>0.567</x:v>
      </x:c>
      <x:c r="J489" s="11" t="str">
        <x:v>JuiceFS 1.3.0+30190ca / WinFsp 2.1.25156；测试工具 S01–S04</x:v>
      </x:c>
      <x:c r="K489" s="11" t="str">
        <x:v>JuiceFS Windows CI 子集；attr-cache=0；云端 get-timeout=5m</x:v>
      </x:c>
      <x:c r="L489" s="11" t="str">
        <x:v>e920ead94a8e28f04e326664178b0c9f02d492b1 + productChanges / plansSha256 见 E01</x:v>
      </x:c>
      <x:c r="M489" s="11" t="str">
        <x:v>E01 / juicefs-upstream-run-75InRg</x:v>
      </x:c>
      <x:c r="N489" s="11" t="str">
        <x:v>--fuse-external --resilient --case-insensitive-cmp</x:v>
      </x:c>
    </x:row>
    <x:row r="490" ht="74" customHeight="1">
      <x:c r="A490" s="10" t="str">
        <x:v>SUBSET-20261015-local-sync</x:v>
      </x:c>
      <x:c r="B490" s="10" t="str">
        <x:v>WFP-08</x:v>
      </x:c>
      <x:c r="C490" s="10" t="str">
        <x:v>getfileinfo_test</x:v>
      </x:c>
      <x:c r="D490" s="10" t="str">
        <x:v>WinFsp fork 默认子集</x:v>
      </x:c>
      <x:c r="E490" s="10" t="str">
        <x:v>local</x:v>
      </x:c>
      <x:c r="F490" s="10" t="str">
        <x:v>同步</x:v>
      </x:c>
      <x:c r="G490" s="19" t="d">
        <x:v>2026-10-15T00:00:00.000Z</x:v>
      </x:c>
      <x:c r="H490" s="10" t="str">
        <x:v>已通过</x:v>
      </x:c>
      <x:c r="I490" s="21" t="n">
        <x:v>0.502</x:v>
      </x:c>
      <x:c r="J490" s="10" t="str">
        <x:v>JuiceFS 1.3.0+30190ca / WinFsp 2.1.25156；测试工具 S01–S04</x:v>
      </x:c>
      <x:c r="K490" s="10" t="str">
        <x:v>JuiceFS Windows CI 子集；attr-cache=0；云端 get-timeout=5m</x:v>
      </x:c>
      <x:c r="L490" s="10" t="str">
        <x:v>e920ead94a8e28f04e326664178b0c9f02d492b1 + productChanges / plansSha256 见 E01</x:v>
      </x:c>
      <x:c r="M490" s="10" t="str">
        <x:v>E01 / juicefs-upstream-run-75InRg</x:v>
      </x:c>
      <x:c r="N490" s="10" t="str">
        <x:v>--fuse-external --resilient --case-insensitive-cmp</x:v>
      </x:c>
    </x:row>
    <x:row r="491" ht="74" customHeight="1">
      <x:c r="A491" s="11" t="str">
        <x:v>SUBSET-20261015-local-sync</x:v>
      </x:c>
      <x:c r="B491" s="11" t="str">
        <x:v>WFP-09</x:v>
      </x:c>
      <x:c r="C491" s="11" t="str">
        <x:v>setfileinfo_test</x:v>
      </x:c>
      <x:c r="D491" s="11" t="str">
        <x:v>WinFsp fork 默认子集</x:v>
      </x:c>
      <x:c r="E491" s="11" t="str">
        <x:v>local</x:v>
      </x:c>
      <x:c r="F491" s="11" t="str">
        <x:v>同步</x:v>
      </x:c>
      <x:c r="G491" s="20" t="d">
        <x:v>2026-10-15T00:00:00.000Z</x:v>
      </x:c>
      <x:c r="H491" s="11" t="str">
        <x:v>已通过</x:v>
      </x:c>
      <x:c r="I491" s="22" t="n">
        <x:v>0.567</x:v>
      </x:c>
      <x:c r="J491" s="11" t="str">
        <x:v>JuiceFS 1.3.0+30190ca / WinFsp 2.1.25156；测试工具 S01–S04</x:v>
      </x:c>
      <x:c r="K491" s="11" t="str">
        <x:v>JuiceFS Windows CI 子集；attr-cache=0；云端 get-timeout=5m</x:v>
      </x:c>
      <x:c r="L491" s="11" t="str">
        <x:v>e920ead94a8e28f04e326664178b0c9f02d492b1 + productChanges / plansSha256 见 E01</x:v>
      </x:c>
      <x:c r="M491" s="11" t="str">
        <x:v>E01 / juicefs-upstream-run-75InRg</x:v>
      </x:c>
      <x:c r="N491" s="11" t="str">
        <x:v>--fuse-external --resilient --case-insensitive-cmp</x:v>
      </x:c>
    </x:row>
    <x:row r="492" ht="74" customHeight="1">
      <x:c r="A492" s="10" t="str">
        <x:v>SUBSET-20261015-local-sync</x:v>
      </x:c>
      <x:c r="B492" s="10" t="str">
        <x:v>WFP-10</x:v>
      </x:c>
      <x:c r="C492" s="10" t="str">
        <x:v>delete_test</x:v>
      </x:c>
      <x:c r="D492" s="10" t="str">
        <x:v>WinFsp fork 默认子集</x:v>
      </x:c>
      <x:c r="E492" s="10" t="str">
        <x:v>local</x:v>
      </x:c>
      <x:c r="F492" s="10" t="str">
        <x:v>同步</x:v>
      </x:c>
      <x:c r="G492" s="19" t="d">
        <x:v>2026-10-15T00:00:00.000Z</x:v>
      </x:c>
      <x:c r="H492" s="10" t="str">
        <x:v>已通过</x:v>
      </x:c>
      <x:c r="I492" s="21" t="n">
        <x:v>0.562</x:v>
      </x:c>
      <x:c r="J492" s="10" t="str">
        <x:v>JuiceFS 1.3.0+30190ca / WinFsp 2.1.25156；测试工具 S01–S04</x:v>
      </x:c>
      <x:c r="K492" s="10" t="str">
        <x:v>JuiceFS Windows CI 子集；attr-cache=0；云端 get-timeout=5m</x:v>
      </x:c>
      <x:c r="L492" s="10" t="str">
        <x:v>e920ead94a8e28f04e326664178b0c9f02d492b1 + productChanges / plansSha256 见 E01</x:v>
      </x:c>
      <x:c r="M492" s="10" t="str">
        <x:v>E01 / juicefs-upstream-run-75InRg</x:v>
      </x:c>
      <x:c r="N492" s="10" t="str">
        <x:v>--fuse-external --resilient --case-insensitive-cmp</x:v>
      </x:c>
    </x:row>
    <x:row r="493" ht="74" customHeight="1">
      <x:c r="A493" s="11" t="str">
        <x:v>SUBSET-20261015-local-sync</x:v>
      </x:c>
      <x:c r="B493" s="11" t="str">
        <x:v>WFP-11</x:v>
      </x:c>
      <x:c r="C493" s="11" t="str">
        <x:v>delete_access_test</x:v>
      </x:c>
      <x:c r="D493" s="11" t="str">
        <x:v>WinFsp fork 默认子集</x:v>
      </x:c>
      <x:c r="E493" s="11" t="str">
        <x:v>local</x:v>
      </x:c>
      <x:c r="F493" s="11" t="str">
        <x:v>同步</x:v>
      </x:c>
      <x:c r="G493" s="20" t="d">
        <x:v>2026-10-15T00:00:00.000Z</x:v>
      </x:c>
      <x:c r="H493" s="11" t="str">
        <x:v>已通过</x:v>
      </x:c>
      <x:c r="I493" s="22" t="n">
        <x:v>0.438</x:v>
      </x:c>
      <x:c r="J493" s="11" t="str">
        <x:v>JuiceFS 1.3.0+30190ca / WinFsp 2.1.25156；测试工具 S01–S04</x:v>
      </x:c>
      <x:c r="K493" s="11" t="str">
        <x:v>JuiceFS Windows CI 子集；attr-cache=0；云端 get-timeout=5m</x:v>
      </x:c>
      <x:c r="L493" s="11" t="str">
        <x:v>e920ead94a8e28f04e326664178b0c9f02d492b1 + productChanges / plansSha256 见 E01</x:v>
      </x:c>
      <x:c r="M493" s="11" t="str">
        <x:v>E01 / juicefs-upstream-run-75InRg</x:v>
      </x:c>
      <x:c r="N493" s="11" t="str">
        <x:v>--fuse-external --resilient --case-insensitive-cmp</x:v>
      </x:c>
    </x:row>
    <x:row r="494" ht="74" customHeight="1">
      <x:c r="A494" s="10" t="str">
        <x:v>SUBSET-20261015-local-sync</x:v>
      </x:c>
      <x:c r="B494" s="10" t="str">
        <x:v>WFP-12</x:v>
      </x:c>
      <x:c r="C494" s="10" t="str">
        <x:v>delete_pending_test</x:v>
      </x:c>
      <x:c r="D494" s="10" t="str">
        <x:v>WinFsp fork 默认子集</x:v>
      </x:c>
      <x:c r="E494" s="10" t="str">
        <x:v>local</x:v>
      </x:c>
      <x:c r="F494" s="10" t="str">
        <x:v>同步</x:v>
      </x:c>
      <x:c r="G494" s="19" t="d">
        <x:v>2026-10-15T00:00:00.000Z</x:v>
      </x:c>
      <x:c r="H494" s="10" t="str">
        <x:v>已通过</x:v>
      </x:c>
      <x:c r="I494" s="21" t="n">
        <x:v>0.467</x:v>
      </x:c>
      <x:c r="J494" s="10" t="str">
        <x:v>JuiceFS 1.3.0+30190ca / WinFsp 2.1.25156；测试工具 S01–S04</x:v>
      </x:c>
      <x:c r="K494" s="10" t="str">
        <x:v>JuiceFS Windows CI 子集；attr-cache=0；云端 get-timeout=5m</x:v>
      </x:c>
      <x:c r="L494" s="10" t="str">
        <x:v>e920ead94a8e28f04e326664178b0c9f02d492b1 + productChanges / plansSha256 见 E01</x:v>
      </x:c>
      <x:c r="M494" s="10" t="str">
        <x:v>E01 / juicefs-upstream-run-75InRg</x:v>
      </x:c>
      <x:c r="N494" s="10" t="str">
        <x:v>--fuse-external --resilient --case-insensitive-cmp</x:v>
      </x:c>
    </x:row>
    <x:row r="495" ht="74" customHeight="1">
      <x:c r="A495" s="11" t="str">
        <x:v>SUBSET-20261015-local-sync</x:v>
      </x:c>
      <x:c r="B495" s="11" t="str">
        <x:v>WFP-13</x:v>
      </x:c>
      <x:c r="C495" s="11" t="str">
        <x:v>delete_mmap_test</x:v>
      </x:c>
      <x:c r="D495" s="11" t="str">
        <x:v>WinFsp fork 默认子集</x:v>
      </x:c>
      <x:c r="E495" s="11" t="str">
        <x:v>local</x:v>
      </x:c>
      <x:c r="F495" s="11" t="str">
        <x:v>同步</x:v>
      </x:c>
      <x:c r="G495" s="20" t="d">
        <x:v>2026-10-15T00:00:00.000Z</x:v>
      </x:c>
      <x:c r="H495" s="11" t="str">
        <x:v>已通过</x:v>
      </x:c>
      <x:c r="I495" s="22" t="n">
        <x:v>0.412</x:v>
      </x:c>
      <x:c r="J495" s="11" t="str">
        <x:v>JuiceFS 1.3.0+30190ca / WinFsp 2.1.25156；测试工具 S01–S04</x:v>
      </x:c>
      <x:c r="K495" s="11" t="str">
        <x:v>JuiceFS Windows CI 子集；attr-cache=0；云端 get-timeout=5m</x:v>
      </x:c>
      <x:c r="L495" s="11" t="str">
        <x:v>e920ead94a8e28f04e326664178b0c9f02d492b1 + productChanges / plansSha256 见 E01</x:v>
      </x:c>
      <x:c r="M495" s="11" t="str">
        <x:v>E01 / juicefs-upstream-run-75InRg</x:v>
      </x:c>
      <x:c r="N495" s="11" t="str">
        <x:v>--fuse-external --resilient --case-insensitive-cmp</x:v>
      </x:c>
    </x:row>
    <x:row r="496" ht="74" customHeight="1">
      <x:c r="A496" s="10" t="str">
        <x:v>SUBSET-20261015-local-sync</x:v>
      </x:c>
      <x:c r="B496" s="10" t="str">
        <x:v>WFP-14</x:v>
      </x:c>
      <x:c r="C496" s="10" t="str">
        <x:v>delete_standby_test</x:v>
      </x:c>
      <x:c r="D496" s="10" t="str">
        <x:v>WinFsp fork 默认子集</x:v>
      </x:c>
      <x:c r="E496" s="10" t="str">
        <x:v>local</x:v>
      </x:c>
      <x:c r="F496" s="10" t="str">
        <x:v>同步</x:v>
      </x:c>
      <x:c r="G496" s="19" t="d">
        <x:v>2026-10-15T00:00:00.000Z</x:v>
      </x:c>
      <x:c r="H496" s="10" t="str">
        <x:v>已通过</x:v>
      </x:c>
      <x:c r="I496" s="21" t="n">
        <x:v>0.697</x:v>
      </x:c>
      <x:c r="J496" s="10" t="str">
        <x:v>JuiceFS 1.3.0+30190ca / WinFsp 2.1.25156；测试工具 S01–S04</x:v>
      </x:c>
      <x:c r="K496" s="10" t="str">
        <x:v>JuiceFS Windows CI 子集；attr-cache=0；云端 get-timeout=5m</x:v>
      </x:c>
      <x:c r="L496" s="10" t="str">
        <x:v>e920ead94a8e28f04e326664178b0c9f02d492b1 + productChanges / plansSha256 见 E01</x:v>
      </x:c>
      <x:c r="M496" s="10" t="str">
        <x:v>E01 / juicefs-upstream-run-75InRg</x:v>
      </x:c>
      <x:c r="N496" s="10" t="str">
        <x:v>--fuse-external --resilient --case-insensitive-cmp</x:v>
      </x:c>
    </x:row>
    <x:row r="497" ht="74" customHeight="1">
      <x:c r="A497" s="11" t="str">
        <x:v>SUBSET-20261015-local-sync</x:v>
      </x:c>
      <x:c r="B497" s="11" t="str">
        <x:v>WFP-15</x:v>
      </x:c>
      <x:c r="C497" s="11" t="str">
        <x:v>delete_ex_test</x:v>
      </x:c>
      <x:c r="D497" s="11" t="str">
        <x:v>WinFsp fork 默认子集</x:v>
      </x:c>
      <x:c r="E497" s="11" t="str">
        <x:v>local</x:v>
      </x:c>
      <x:c r="F497" s="11" t="str">
        <x:v>同步</x:v>
      </x:c>
      <x:c r="G497" s="20" t="d">
        <x:v>2026-10-15T00:00:00.000Z</x:v>
      </x:c>
      <x:c r="H497" s="11" t="str">
        <x:v>已通过</x:v>
      </x:c>
      <x:c r="I497" s="22" t="n">
        <x:v>0.364</x:v>
      </x:c>
      <x:c r="J497" s="11" t="str">
        <x:v>JuiceFS 1.3.0+30190ca / WinFsp 2.1.25156；测试工具 S01–S04</x:v>
      </x:c>
      <x:c r="K497" s="11" t="str">
        <x:v>JuiceFS Windows CI 子集；attr-cache=0；云端 get-timeout=5m</x:v>
      </x:c>
      <x:c r="L497" s="11" t="str">
        <x:v>e920ead94a8e28f04e326664178b0c9f02d492b1 + productChanges / plansSha256 见 E01</x:v>
      </x:c>
      <x:c r="M497" s="11" t="str">
        <x:v>E01 / juicefs-upstream-run-75InRg</x:v>
      </x:c>
      <x:c r="N497" s="11" t="str">
        <x:v>--fuse-external --resilient --case-insensitive-cmp</x:v>
      </x:c>
    </x:row>
    <x:row r="498" ht="74" customHeight="1">
      <x:c r="A498" s="10" t="str">
        <x:v>SUBSET-20261015-local-sync</x:v>
      </x:c>
      <x:c r="B498" s="10" t="str">
        <x:v>WFP-16</x:v>
      </x:c>
      <x:c r="C498" s="10" t="str">
        <x:v>rename_test</x:v>
      </x:c>
      <x:c r="D498" s="10" t="str">
        <x:v>WinFsp fork 默认子集</x:v>
      </x:c>
      <x:c r="E498" s="10" t="str">
        <x:v>local</x:v>
      </x:c>
      <x:c r="F498" s="10" t="str">
        <x:v>同步</x:v>
      </x:c>
      <x:c r="G498" s="19" t="d">
        <x:v>2026-10-15T00:00:00.000Z</x:v>
      </x:c>
      <x:c r="H498" s="10" t="str">
        <x:v>已通过</x:v>
      </x:c>
      <x:c r="I498" s="21" t="n">
        <x:v>0.717</x:v>
      </x:c>
      <x:c r="J498" s="10" t="str">
        <x:v>JuiceFS 1.3.0+30190ca / WinFsp 2.1.25156；测试工具 S01–S04</x:v>
      </x:c>
      <x:c r="K498" s="10" t="str">
        <x:v>JuiceFS Windows CI 子集；attr-cache=0；云端 get-timeout=5m</x:v>
      </x:c>
      <x:c r="L498" s="10" t="str">
        <x:v>e920ead94a8e28f04e326664178b0c9f02d492b1 + productChanges / plansSha256 见 E01</x:v>
      </x:c>
      <x:c r="M498" s="10" t="str">
        <x:v>E01 / juicefs-upstream-run-75InRg</x:v>
      </x:c>
      <x:c r="N498" s="10" t="str">
        <x:v>--fuse-external --resilient --case-insensitive-cmp</x:v>
      </x:c>
    </x:row>
    <x:row r="499" ht="74" customHeight="1">
      <x:c r="A499" s="11" t="str">
        <x:v>SUBSET-20261015-local-sync</x:v>
      </x:c>
      <x:c r="B499" s="11" t="str">
        <x:v>WFP-17</x:v>
      </x:c>
      <x:c r="C499" s="11" t="str">
        <x:v>rename_backslash_test</x:v>
      </x:c>
      <x:c r="D499" s="11" t="str">
        <x:v>WinFsp fork 默认子集</x:v>
      </x:c>
      <x:c r="E499" s="11" t="str">
        <x:v>local</x:v>
      </x:c>
      <x:c r="F499" s="11" t="str">
        <x:v>同步</x:v>
      </x:c>
      <x:c r="G499" s="20" t="d">
        <x:v>2026-10-15T00:00:00.000Z</x:v>
      </x:c>
      <x:c r="H499" s="11" t="str">
        <x:v>已通过</x:v>
      </x:c>
      <x:c r="I499" s="22" t="n">
        <x:v>0.404</x:v>
      </x:c>
      <x:c r="J499" s="11" t="str">
        <x:v>JuiceFS 1.3.0+30190ca / WinFsp 2.1.25156；测试工具 S01–S04</x:v>
      </x:c>
      <x:c r="K499" s="11" t="str">
        <x:v>JuiceFS Windows CI 子集；attr-cache=0；云端 get-timeout=5m</x:v>
      </x:c>
      <x:c r="L499" s="11" t="str">
        <x:v>e920ead94a8e28f04e326664178b0c9f02d492b1 + productChanges / plansSha256 见 E01</x:v>
      </x:c>
      <x:c r="M499" s="11" t="str">
        <x:v>E01 / juicefs-upstream-run-75InRg</x:v>
      </x:c>
      <x:c r="N499" s="11" t="str">
        <x:v>--fuse-external --resilient --case-insensitive-cmp</x:v>
      </x:c>
    </x:row>
    <x:row r="500" ht="74" customHeight="1">
      <x:c r="A500" s="10" t="str">
        <x:v>SUBSET-20261015-local-sync</x:v>
      </x:c>
      <x:c r="B500" s="10" t="str">
        <x:v>WFP-18</x:v>
      </x:c>
      <x:c r="C500" s="10" t="str">
        <x:v>rename_open_test</x:v>
      </x:c>
      <x:c r="D500" s="10" t="str">
        <x:v>WinFsp fork 默认子集</x:v>
      </x:c>
      <x:c r="E500" s="10" t="str">
        <x:v>local</x:v>
      </x:c>
      <x:c r="F500" s="10" t="str">
        <x:v>同步</x:v>
      </x:c>
      <x:c r="G500" s="19" t="d">
        <x:v>2026-10-15T00:00:00.000Z</x:v>
      </x:c>
      <x:c r="H500" s="10" t="str">
        <x:v>已通过</x:v>
      </x:c>
      <x:c r="I500" s="21" t="n">
        <x:v>0.389</x:v>
      </x:c>
      <x:c r="J500" s="10" t="str">
        <x:v>JuiceFS 1.3.0+30190ca / WinFsp 2.1.25156；测试工具 S01–S04</x:v>
      </x:c>
      <x:c r="K500" s="10" t="str">
        <x:v>JuiceFS Windows CI 子集；attr-cache=0；云端 get-timeout=5m</x:v>
      </x:c>
      <x:c r="L500" s="10" t="str">
        <x:v>e920ead94a8e28f04e326664178b0c9f02d492b1 + productChanges / plansSha256 见 E01</x:v>
      </x:c>
      <x:c r="M500" s="10" t="str">
        <x:v>E01 / juicefs-upstream-run-75InRg</x:v>
      </x:c>
      <x:c r="N500" s="10" t="str">
        <x:v>--fuse-external --resilient --case-insensitive-cmp</x:v>
      </x:c>
    </x:row>
    <x:row r="501" ht="74" customHeight="1">
      <x:c r="A501" s="11" t="str">
        <x:v>SUBSET-20261015-local-sync</x:v>
      </x:c>
      <x:c r="B501" s="11" t="str">
        <x:v>WFP-19</x:v>
      </x:c>
      <x:c r="C501" s="11" t="str">
        <x:v>rename_caseins_test</x:v>
      </x:c>
      <x:c r="D501" s="11" t="str">
        <x:v>WinFsp fork 默认子集</x:v>
      </x:c>
      <x:c r="E501" s="11" t="str">
        <x:v>local</x:v>
      </x:c>
      <x:c r="F501" s="11" t="str">
        <x:v>同步</x:v>
      </x:c>
      <x:c r="G501" s="20" t="d">
        <x:v>2026-10-15T00:00:00.000Z</x:v>
      </x:c>
      <x:c r="H501" s="11" t="str">
        <x:v>已通过</x:v>
      </x:c>
      <x:c r="I501" s="22" t="n">
        <x:v>0.687</x:v>
      </x:c>
      <x:c r="J501" s="11" t="str">
        <x:v>JuiceFS 1.3.0+30190ca / WinFsp 2.1.25156；测试工具 S01–S04</x:v>
      </x:c>
      <x:c r="K501" s="11" t="str">
        <x:v>JuiceFS Windows CI 子集；attr-cache=0；云端 get-timeout=5m</x:v>
      </x:c>
      <x:c r="L501" s="11" t="str">
        <x:v>e920ead94a8e28f04e326664178b0c9f02d492b1 + productChanges / plansSha256 见 E01</x:v>
      </x:c>
      <x:c r="M501" s="11" t="str">
        <x:v>E01 / juicefs-upstream-run-75InRg</x:v>
      </x:c>
      <x:c r="N501" s="11" t="str">
        <x:v>--fuse-external --resilient --case-insensitive-cmp</x:v>
      </x:c>
    </x:row>
    <x:row r="502" ht="74" customHeight="1">
      <x:c r="A502" s="10" t="str">
        <x:v>SUBSET-20261015-local-sync</x:v>
      </x:c>
      <x:c r="B502" s="10" t="str">
        <x:v>WFP-20</x:v>
      </x:c>
      <x:c r="C502" s="10" t="str">
        <x:v>rename_flipflop_test</x:v>
      </x:c>
      <x:c r="D502" s="10" t="str">
        <x:v>WinFsp fork 默认子集</x:v>
      </x:c>
      <x:c r="E502" s="10" t="str">
        <x:v>local</x:v>
      </x:c>
      <x:c r="F502" s="10" t="str">
        <x:v>同步</x:v>
      </x:c>
      <x:c r="G502" s="19" t="d">
        <x:v>2026-10-15T00:00:00.000Z</x:v>
      </x:c>
      <x:c r="H502" s="10" t="str">
        <x:v>已通过</x:v>
      </x:c>
      <x:c r="I502" s="21" t="n">
        <x:v>0.413</x:v>
      </x:c>
      <x:c r="J502" s="10" t="str">
        <x:v>JuiceFS 1.3.0+30190ca / WinFsp 2.1.25156；测试工具 S01–S04</x:v>
      </x:c>
      <x:c r="K502" s="10" t="str">
        <x:v>JuiceFS Windows CI 子集；attr-cache=0；云端 get-timeout=5m</x:v>
      </x:c>
      <x:c r="L502" s="10" t="str">
        <x:v>e920ead94a8e28f04e326664178b0c9f02d492b1 + productChanges / plansSha256 见 E01</x:v>
      </x:c>
      <x:c r="M502" s="10" t="str">
        <x:v>E01 / juicefs-upstream-run-75InRg</x:v>
      </x:c>
      <x:c r="N502" s="10" t="str">
        <x:v>--fuse-external --resilient --case-insensitive-cmp</x:v>
      </x:c>
    </x:row>
    <x:row r="503" ht="74" customHeight="1">
      <x:c r="A503" s="11" t="str">
        <x:v>SUBSET-20261015-local-sync</x:v>
      </x:c>
      <x:c r="B503" s="11" t="str">
        <x:v>WFP-21</x:v>
      </x:c>
      <x:c r="C503" s="11" t="str">
        <x:v>rename_mmap_test</x:v>
      </x:c>
      <x:c r="D503" s="11" t="str">
        <x:v>WinFsp fork 默认子集</x:v>
      </x:c>
      <x:c r="E503" s="11" t="str">
        <x:v>local</x:v>
      </x:c>
      <x:c r="F503" s="11" t="str">
        <x:v>同步</x:v>
      </x:c>
      <x:c r="G503" s="20" t="d">
        <x:v>2026-10-15T00:00:00.000Z</x:v>
      </x:c>
      <x:c r="H503" s="11" t="str">
        <x:v>已通过</x:v>
      </x:c>
      <x:c r="I503" s="22" t="n">
        <x:v>0.625</x:v>
      </x:c>
      <x:c r="J503" s="11" t="str">
        <x:v>JuiceFS 1.3.0+30190ca / WinFsp 2.1.25156；测试工具 S01–S04</x:v>
      </x:c>
      <x:c r="K503" s="11" t="str">
        <x:v>JuiceFS Windows CI 子集；attr-cache=0；云端 get-timeout=5m</x:v>
      </x:c>
      <x:c r="L503" s="11" t="str">
        <x:v>e920ead94a8e28f04e326664178b0c9f02d492b1 + productChanges / plansSha256 见 E01</x:v>
      </x:c>
      <x:c r="M503" s="11" t="str">
        <x:v>E01 / juicefs-upstream-run-75InRg</x:v>
      </x:c>
      <x:c r="N503" s="11" t="str">
        <x:v>--fuse-external --resilient --case-insensitive-cmp</x:v>
      </x:c>
    </x:row>
    <x:row r="504" ht="74" customHeight="1">
      <x:c r="A504" s="10" t="str">
        <x:v>SUBSET-20261015-local-sync</x:v>
      </x:c>
      <x:c r="B504" s="10" t="str">
        <x:v>WFP-22</x:v>
      </x:c>
      <x:c r="C504" s="10" t="str">
        <x:v>rename_standby_test</x:v>
      </x:c>
      <x:c r="D504" s="10" t="str">
        <x:v>WinFsp fork 默认子集</x:v>
      </x:c>
      <x:c r="E504" s="10" t="str">
        <x:v>local</x:v>
      </x:c>
      <x:c r="F504" s="10" t="str">
        <x:v>同步</x:v>
      </x:c>
      <x:c r="G504" s="19" t="d">
        <x:v>2026-10-15T00:00:00.000Z</x:v>
      </x:c>
      <x:c r="H504" s="10" t="str">
        <x:v>已通过</x:v>
      </x:c>
      <x:c r="I504" s="21" t="n">
        <x:v>0.702</x:v>
      </x:c>
      <x:c r="J504" s="10" t="str">
        <x:v>JuiceFS 1.3.0+30190ca / WinFsp 2.1.25156；测试工具 S01–S04</x:v>
      </x:c>
      <x:c r="K504" s="10" t="str">
        <x:v>JuiceFS Windows CI 子集；attr-cache=0；云端 get-timeout=5m</x:v>
      </x:c>
      <x:c r="L504" s="10" t="str">
        <x:v>e920ead94a8e28f04e326664178b0c9f02d492b1 + productChanges / plansSha256 见 E01</x:v>
      </x:c>
      <x:c r="M504" s="10" t="str">
        <x:v>E01 / juicefs-upstream-run-75InRg</x:v>
      </x:c>
      <x:c r="N504" s="10" t="str">
        <x:v>--fuse-external --resilient --case-insensitive-cmp</x:v>
      </x:c>
    </x:row>
    <x:row r="505" ht="74" customHeight="1">
      <x:c r="A505" s="11" t="str">
        <x:v>SUBSET-20261015-local-sync</x:v>
      </x:c>
      <x:c r="B505" s="11" t="str">
        <x:v>WFP-23</x:v>
      </x:c>
      <x:c r="C505" s="11" t="str">
        <x:v>rename_ex_test</x:v>
      </x:c>
      <x:c r="D505" s="11" t="str">
        <x:v>WinFsp fork 默认子集</x:v>
      </x:c>
      <x:c r="E505" s="11" t="str">
        <x:v>local</x:v>
      </x:c>
      <x:c r="F505" s="11" t="str">
        <x:v>同步</x:v>
      </x:c>
      <x:c r="G505" s="20" t="d">
        <x:v>2026-10-15T00:00:00.000Z</x:v>
      </x:c>
      <x:c r="H505" s="11" t="str">
        <x:v>已通过</x:v>
      </x:c>
      <x:c r="I505" s="22" t="n">
        <x:v>0.874</x:v>
      </x:c>
      <x:c r="J505" s="11" t="str">
        <x:v>JuiceFS 1.3.0+30190ca / WinFsp 2.1.25156；测试工具 S01–S04</x:v>
      </x:c>
      <x:c r="K505" s="11" t="str">
        <x:v>JuiceFS Windows CI 子集；attr-cache=0；云端 get-timeout=5m</x:v>
      </x:c>
      <x:c r="L505" s="11" t="str">
        <x:v>e920ead94a8e28f04e326664178b0c9f02d492b1 + productChanges / plansSha256 见 E01</x:v>
      </x:c>
      <x:c r="M505" s="11" t="str">
        <x:v>E01 / juicefs-upstream-run-75InRg</x:v>
      </x:c>
      <x:c r="N505" s="11" t="str">
        <x:v>--fuse-external --resilient --case-insensitive-cmp</x:v>
      </x:c>
    </x:row>
    <x:row r="506" ht="74" customHeight="1">
      <x:c r="A506" s="10" t="str">
        <x:v>SUBSET-20261015-local-sync</x:v>
      </x:c>
      <x:c r="B506" s="10" t="str">
        <x:v>WFP-24</x:v>
      </x:c>
      <x:c r="C506" s="10" t="str">
        <x:v>getvolinfo_test</x:v>
      </x:c>
      <x:c r="D506" s="10" t="str">
        <x:v>WinFsp fork 默认子集</x:v>
      </x:c>
      <x:c r="E506" s="10" t="str">
        <x:v>local</x:v>
      </x:c>
      <x:c r="F506" s="10" t="str">
        <x:v>同步</x:v>
      </x:c>
      <x:c r="G506" s="19" t="d">
        <x:v>2026-10-15T00:00:00.000Z</x:v>
      </x:c>
      <x:c r="H506" s="10" t="str">
        <x:v>已通过</x:v>
      </x:c>
      <x:c r="I506" s="21" t="n">
        <x:v>0.423</x:v>
      </x:c>
      <x:c r="J506" s="10" t="str">
        <x:v>JuiceFS 1.3.0+30190ca / WinFsp 2.1.25156；测试工具 S01–S04</x:v>
      </x:c>
      <x:c r="K506" s="10" t="str">
        <x:v>JuiceFS Windows CI 子集；attr-cache=0；云端 get-timeout=5m</x:v>
      </x:c>
      <x:c r="L506" s="10" t="str">
        <x:v>e920ead94a8e28f04e326664178b0c9f02d492b1 + productChanges / plansSha256 见 E01</x:v>
      </x:c>
      <x:c r="M506" s="10" t="str">
        <x:v>E01 / juicefs-upstream-run-75InRg</x:v>
      </x:c>
      <x:c r="N506" s="10" t="str">
        <x:v>--fuse-external --resilient --case-insensitive-cmp</x:v>
      </x:c>
    </x:row>
    <x:row r="507" ht="74" customHeight="1">
      <x:c r="A507" s="11" t="str">
        <x:v>SUBSET-20261015-local-sync</x:v>
      </x:c>
      <x:c r="B507" s="11" t="str">
        <x:v>WFP-25</x:v>
      </x:c>
      <x:c r="C507" s="11" t="str">
        <x:v>setvolinfo_test</x:v>
      </x:c>
      <x:c r="D507" s="11" t="str">
        <x:v>WinFsp fork 默认子集</x:v>
      </x:c>
      <x:c r="E507" s="11" t="str">
        <x:v>local</x:v>
      </x:c>
      <x:c r="F507" s="11" t="str">
        <x:v>同步</x:v>
      </x:c>
      <x:c r="G507" s="20" t="d">
        <x:v>2026-10-15T00:00:00.000Z</x:v>
      </x:c>
      <x:c r="H507" s="11" t="str">
        <x:v>已通过</x:v>
      </x:c>
      <x:c r="I507" s="22" t="n">
        <x:v>0.588</x:v>
      </x:c>
      <x:c r="J507" s="11" t="str">
        <x:v>JuiceFS 1.3.0+30190ca / WinFsp 2.1.25156；测试工具 S01–S04</x:v>
      </x:c>
      <x:c r="K507" s="11" t="str">
        <x:v>JuiceFS Windows CI 子集；attr-cache=0；云端 get-timeout=5m</x:v>
      </x:c>
      <x:c r="L507" s="11" t="str">
        <x:v>e920ead94a8e28f04e326664178b0c9f02d492b1 + productChanges / plansSha256 见 E01</x:v>
      </x:c>
      <x:c r="M507" s="11" t="str">
        <x:v>E01 / juicefs-upstream-run-75InRg</x:v>
      </x:c>
      <x:c r="N507" s="11" t="str">
        <x:v>--fuse-external --resilient --case-insensitive-cmp</x:v>
      </x:c>
    </x:row>
    <x:row r="508" ht="74" customHeight="1">
      <x:c r="A508" s="10" t="str">
        <x:v>SUBSET-20261015-local-sync</x:v>
      </x:c>
      <x:c r="B508" s="10" t="str">
        <x:v>WFP-26</x:v>
      </x:c>
      <x:c r="C508" s="10" t="str">
        <x:v>getsecurity_test</x:v>
      </x:c>
      <x:c r="D508" s="10" t="str">
        <x:v>WinFsp fork 默认子集</x:v>
      </x:c>
      <x:c r="E508" s="10" t="str">
        <x:v>local</x:v>
      </x:c>
      <x:c r="F508" s="10" t="str">
        <x:v>同步</x:v>
      </x:c>
      <x:c r="G508" s="19" t="d">
        <x:v>2026-10-15T00:00:00.000Z</x:v>
      </x:c>
      <x:c r="H508" s="10" t="str">
        <x:v>已通过</x:v>
      </x:c>
      <x:c r="I508" s="21" t="n">
        <x:v>0.449</x:v>
      </x:c>
      <x:c r="J508" s="10" t="str">
        <x:v>JuiceFS 1.3.0+30190ca / WinFsp 2.1.25156；测试工具 S01–S04</x:v>
      </x:c>
      <x:c r="K508" s="10" t="str">
        <x:v>JuiceFS Windows CI 子集；attr-cache=0；云端 get-timeout=5m</x:v>
      </x:c>
      <x:c r="L508" s="10" t="str">
        <x:v>e920ead94a8e28f04e326664178b0c9f02d492b1 + productChanges / plansSha256 见 E01</x:v>
      </x:c>
      <x:c r="M508" s="10" t="str">
        <x:v>E01 / juicefs-upstream-run-75InRg</x:v>
      </x:c>
      <x:c r="N508" s="10" t="str">
        <x:v>--fuse-external --resilient --case-insensitive-cmp</x:v>
      </x:c>
    </x:row>
    <x:row r="509" ht="74" customHeight="1">
      <x:c r="A509" s="11" t="str">
        <x:v>SUBSET-20261015-local-sync</x:v>
      </x:c>
      <x:c r="B509" s="11" t="str">
        <x:v>WFP-27</x:v>
      </x:c>
      <x:c r="C509" s="11" t="str">
        <x:v>rdwr_noncached_test</x:v>
      </x:c>
      <x:c r="D509" s="11" t="str">
        <x:v>WinFsp fork 默认子集</x:v>
      </x:c>
      <x:c r="E509" s="11" t="str">
        <x:v>local</x:v>
      </x:c>
      <x:c r="F509" s="11" t="str">
        <x:v>同步</x:v>
      </x:c>
      <x:c r="G509" s="20" t="d">
        <x:v>2026-10-15T00:00:00.000Z</x:v>
      </x:c>
      <x:c r="H509" s="11" t="str">
        <x:v>已通过</x:v>
      </x:c>
      <x:c r="I509" s="22" t="n">
        <x:v>0.566</x:v>
      </x:c>
      <x:c r="J509" s="11" t="str">
        <x:v>JuiceFS 1.3.0+30190ca / WinFsp 2.1.25156；测试工具 S01–S04</x:v>
      </x:c>
      <x:c r="K509" s="11" t="str">
        <x:v>JuiceFS Windows CI 子集；attr-cache=0；云端 get-timeout=5m</x:v>
      </x:c>
      <x:c r="L509" s="11" t="str">
        <x:v>e920ead94a8e28f04e326664178b0c9f02d492b1 + productChanges / plansSha256 见 E01</x:v>
      </x:c>
      <x:c r="M509" s="11" t="str">
        <x:v>E01 / juicefs-upstream-run-75InRg</x:v>
      </x:c>
      <x:c r="N509" s="11" t="str">
        <x:v>--fuse-external --resilient --case-insensitive-cmp</x:v>
      </x:c>
    </x:row>
    <x:row r="510" ht="74" customHeight="1">
      <x:c r="A510" s="10" t="str">
        <x:v>SUBSET-20261015-local-sync</x:v>
      </x:c>
      <x:c r="B510" s="10" t="str">
        <x:v>WFP-28</x:v>
      </x:c>
      <x:c r="C510" s="10" t="str">
        <x:v>rdwr_noncached_overlapped_test</x:v>
      </x:c>
      <x:c r="D510" s="10" t="str">
        <x:v>WinFsp fork 默认子集</x:v>
      </x:c>
      <x:c r="E510" s="10" t="str">
        <x:v>local</x:v>
      </x:c>
      <x:c r="F510" s="10" t="str">
        <x:v>同步</x:v>
      </x:c>
      <x:c r="G510" s="19" t="d">
        <x:v>2026-10-15T00:00:00.000Z</x:v>
      </x:c>
      <x:c r="H510" s="10" t="str">
        <x:v>已通过</x:v>
      </x:c>
      <x:c r="I510" s="21" t="n">
        <x:v>0.397</x:v>
      </x:c>
      <x:c r="J510" s="10" t="str">
        <x:v>JuiceFS 1.3.0+30190ca / WinFsp 2.1.25156；测试工具 S01–S04</x:v>
      </x:c>
      <x:c r="K510" s="10" t="str">
        <x:v>JuiceFS Windows CI 子集；attr-cache=0；云端 get-timeout=5m</x:v>
      </x:c>
      <x:c r="L510" s="10" t="str">
        <x:v>e920ead94a8e28f04e326664178b0c9f02d492b1 + productChanges / plansSha256 见 E01</x:v>
      </x:c>
      <x:c r="M510" s="10" t="str">
        <x:v>E01 / juicefs-upstream-run-75InRg</x:v>
      </x:c>
      <x:c r="N510" s="10" t="str">
        <x:v>--fuse-external --resilient --case-insensitive-cmp</x:v>
      </x:c>
    </x:row>
    <x:row r="511" ht="74" customHeight="1">
      <x:c r="A511" s="11" t="str">
        <x:v>SUBSET-20261015-local-sync</x:v>
      </x:c>
      <x:c r="B511" s="11" t="str">
        <x:v>WFP-29</x:v>
      </x:c>
      <x:c r="C511" s="11" t="str">
        <x:v>rdwr_cached_test</x:v>
      </x:c>
      <x:c r="D511" s="11" t="str">
        <x:v>WinFsp fork 默认子集</x:v>
      </x:c>
      <x:c r="E511" s="11" t="str">
        <x:v>local</x:v>
      </x:c>
      <x:c r="F511" s="11" t="str">
        <x:v>同步</x:v>
      </x:c>
      <x:c r="G511" s="20" t="d">
        <x:v>2026-10-15T00:00:00.000Z</x:v>
      </x:c>
      <x:c r="H511" s="11" t="str">
        <x:v>已通过</x:v>
      </x:c>
      <x:c r="I511" s="22" t="n">
        <x:v>0.653</x:v>
      </x:c>
      <x:c r="J511" s="11" t="str">
        <x:v>JuiceFS 1.3.0+30190ca / WinFsp 2.1.25156；测试工具 S01–S04</x:v>
      </x:c>
      <x:c r="K511" s="11" t="str">
        <x:v>JuiceFS Windows CI 子集；attr-cache=0；云端 get-timeout=5m</x:v>
      </x:c>
      <x:c r="L511" s="11" t="str">
        <x:v>e920ead94a8e28f04e326664178b0c9f02d492b1 + productChanges / plansSha256 见 E01</x:v>
      </x:c>
      <x:c r="M511" s="11" t="str">
        <x:v>E01 / juicefs-upstream-run-75InRg</x:v>
      </x:c>
      <x:c r="N511" s="11" t="str">
        <x:v>--fuse-external --resilient --case-insensitive-cmp</x:v>
      </x:c>
    </x:row>
    <x:row r="512" ht="74" customHeight="1">
      <x:c r="A512" s="10" t="str">
        <x:v>SUBSET-20261015-local-sync</x:v>
      </x:c>
      <x:c r="B512" s="10" t="str">
        <x:v>WFP-30</x:v>
      </x:c>
      <x:c r="C512" s="10" t="str">
        <x:v>rdwr_cached_append_test</x:v>
      </x:c>
      <x:c r="D512" s="10" t="str">
        <x:v>WinFsp fork 默认子集</x:v>
      </x:c>
      <x:c r="E512" s="10" t="str">
        <x:v>local</x:v>
      </x:c>
      <x:c r="F512" s="10" t="str">
        <x:v>同步</x:v>
      </x:c>
      <x:c r="G512" s="19" t="d">
        <x:v>2026-10-15T00:00:00.000Z</x:v>
      </x:c>
      <x:c r="H512" s="10" t="str">
        <x:v>已通过</x:v>
      </x:c>
      <x:c r="I512" s="21" t="n">
        <x:v>0.43</x:v>
      </x:c>
      <x:c r="J512" s="10" t="str">
        <x:v>JuiceFS 1.3.0+30190ca / WinFsp 2.1.25156；测试工具 S01–S04</x:v>
      </x:c>
      <x:c r="K512" s="10" t="str">
        <x:v>JuiceFS Windows CI 子集；attr-cache=0；云端 get-timeout=5m</x:v>
      </x:c>
      <x:c r="L512" s="10" t="str">
        <x:v>e920ead94a8e28f04e326664178b0c9f02d492b1 + productChanges / plansSha256 见 E01</x:v>
      </x:c>
      <x:c r="M512" s="10" t="str">
        <x:v>E01 / juicefs-upstream-run-75InRg</x:v>
      </x:c>
      <x:c r="N512" s="10" t="str">
        <x:v>--fuse-external --resilient --case-insensitive-cmp</x:v>
      </x:c>
    </x:row>
    <x:row r="513" ht="74" customHeight="1">
      <x:c r="A513" s="11" t="str">
        <x:v>SUBSET-20261015-local-sync</x:v>
      </x:c>
      <x:c r="B513" s="11" t="str">
        <x:v>WFP-31</x:v>
      </x:c>
      <x:c r="C513" s="11" t="str">
        <x:v>rdwr_cached_overlapped_test</x:v>
      </x:c>
      <x:c r="D513" s="11" t="str">
        <x:v>WinFsp fork 默认子集</x:v>
      </x:c>
      <x:c r="E513" s="11" t="str">
        <x:v>local</x:v>
      </x:c>
      <x:c r="F513" s="11" t="str">
        <x:v>同步</x:v>
      </x:c>
      <x:c r="G513" s="20" t="d">
        <x:v>2026-10-15T00:00:00.000Z</x:v>
      </x:c>
      <x:c r="H513" s="11" t="str">
        <x:v>已通过</x:v>
      </x:c>
      <x:c r="I513" s="22" t="n">
        <x:v>0.595</x:v>
      </x:c>
      <x:c r="J513" s="11" t="str">
        <x:v>JuiceFS 1.3.0+30190ca / WinFsp 2.1.25156；测试工具 S01–S04</x:v>
      </x:c>
      <x:c r="K513" s="11" t="str">
        <x:v>JuiceFS Windows CI 子集；attr-cache=0；云端 get-timeout=5m</x:v>
      </x:c>
      <x:c r="L513" s="11" t="str">
        <x:v>e920ead94a8e28f04e326664178b0c9f02d492b1 + productChanges / plansSha256 见 E01</x:v>
      </x:c>
      <x:c r="M513" s="11" t="str">
        <x:v>E01 / juicefs-upstream-run-75InRg</x:v>
      </x:c>
      <x:c r="N513" s="11" t="str">
        <x:v>--fuse-external --resilient --case-insensitive-cmp</x:v>
      </x:c>
    </x:row>
    <x:row r="514" ht="74" customHeight="1">
      <x:c r="A514" s="10" t="str">
        <x:v>SUBSET-20261015-local-sync</x:v>
      </x:c>
      <x:c r="B514" s="10" t="str">
        <x:v>WFP-32</x:v>
      </x:c>
      <x:c r="C514" s="10" t="str">
        <x:v>rdwr_writethru_test</x:v>
      </x:c>
      <x:c r="D514" s="10" t="str">
        <x:v>WinFsp fork 默认子集</x:v>
      </x:c>
      <x:c r="E514" s="10" t="str">
        <x:v>local</x:v>
      </x:c>
      <x:c r="F514" s="10" t="str">
        <x:v>同步</x:v>
      </x:c>
      <x:c r="G514" s="19" t="d">
        <x:v>2026-10-15T00:00:00.000Z</x:v>
      </x:c>
      <x:c r="H514" s="10" t="str">
        <x:v>已通过</x:v>
      </x:c>
      <x:c r="I514" s="21" t="n">
        <x:v>0.438</x:v>
      </x:c>
      <x:c r="J514" s="10" t="str">
        <x:v>JuiceFS 1.3.0+30190ca / WinFsp 2.1.25156；测试工具 S01–S04</x:v>
      </x:c>
      <x:c r="K514" s="10" t="str">
        <x:v>JuiceFS Windows CI 子集；attr-cache=0；云端 get-timeout=5m</x:v>
      </x:c>
      <x:c r="L514" s="10" t="str">
        <x:v>e920ead94a8e28f04e326664178b0c9f02d492b1 + productChanges / plansSha256 见 E01</x:v>
      </x:c>
      <x:c r="M514" s="10" t="str">
        <x:v>E01 / juicefs-upstream-run-75InRg</x:v>
      </x:c>
      <x:c r="N514" s="10" t="str">
        <x:v>--fuse-external --resilient --case-insensitive-cmp</x:v>
      </x:c>
    </x:row>
    <x:row r="515" ht="74" customHeight="1">
      <x:c r="A515" s="11" t="str">
        <x:v>SUBSET-20261015-local-sync</x:v>
      </x:c>
      <x:c r="B515" s="11" t="str">
        <x:v>WFP-33</x:v>
      </x:c>
      <x:c r="C515" s="11" t="str">
        <x:v>rdwr_writethru_append_test</x:v>
      </x:c>
      <x:c r="D515" s="11" t="str">
        <x:v>WinFsp fork 默认子集</x:v>
      </x:c>
      <x:c r="E515" s="11" t="str">
        <x:v>local</x:v>
      </x:c>
      <x:c r="F515" s="11" t="str">
        <x:v>同步</x:v>
      </x:c>
      <x:c r="G515" s="20" t="d">
        <x:v>2026-10-15T00:00:00.000Z</x:v>
      </x:c>
      <x:c r="H515" s="11" t="str">
        <x:v>已通过</x:v>
      </x:c>
      <x:c r="I515" s="22" t="n">
        <x:v>0.58</x:v>
      </x:c>
      <x:c r="J515" s="11" t="str">
        <x:v>JuiceFS 1.3.0+30190ca / WinFsp 2.1.25156；测试工具 S01–S04</x:v>
      </x:c>
      <x:c r="K515" s="11" t="str">
        <x:v>JuiceFS Windows CI 子集；attr-cache=0；云端 get-timeout=5m</x:v>
      </x:c>
      <x:c r="L515" s="11" t="str">
        <x:v>e920ead94a8e28f04e326664178b0c9f02d492b1 + productChanges / plansSha256 见 E01</x:v>
      </x:c>
      <x:c r="M515" s="11" t="str">
        <x:v>E01 / juicefs-upstream-run-75InRg</x:v>
      </x:c>
      <x:c r="N515" s="11" t="str">
        <x:v>--fuse-external --resilient --case-insensitive-cmp</x:v>
      </x:c>
    </x:row>
    <x:row r="516" ht="74" customHeight="1">
      <x:c r="A516" s="10" t="str">
        <x:v>SUBSET-20261015-local-sync</x:v>
      </x:c>
      <x:c r="B516" s="10" t="str">
        <x:v>WFP-34</x:v>
      </x:c>
      <x:c r="C516" s="10" t="str">
        <x:v>rdwr_writethru_overlapped_test</x:v>
      </x:c>
      <x:c r="D516" s="10" t="str">
        <x:v>WinFsp fork 默认子集</x:v>
      </x:c>
      <x:c r="E516" s="10" t="str">
        <x:v>local</x:v>
      </x:c>
      <x:c r="F516" s="10" t="str">
        <x:v>同步</x:v>
      </x:c>
      <x:c r="G516" s="19" t="d">
        <x:v>2026-10-15T00:00:00.000Z</x:v>
      </x:c>
      <x:c r="H516" s="10" t="str">
        <x:v>已通过</x:v>
      </x:c>
      <x:c r="I516" s="21" t="n">
        <x:v>0.433</x:v>
      </x:c>
      <x:c r="J516" s="10" t="str">
        <x:v>JuiceFS 1.3.0+30190ca / WinFsp 2.1.25156；测试工具 S01–S04</x:v>
      </x:c>
      <x:c r="K516" s="10" t="str">
        <x:v>JuiceFS Windows CI 子集；attr-cache=0；云端 get-timeout=5m</x:v>
      </x:c>
      <x:c r="L516" s="10" t="str">
        <x:v>e920ead94a8e28f04e326664178b0c9f02d492b1 + productChanges / plansSha256 见 E01</x:v>
      </x:c>
      <x:c r="M516" s="10" t="str">
        <x:v>E01 / juicefs-upstream-run-75InRg</x:v>
      </x:c>
      <x:c r="N516" s="10" t="str">
        <x:v>--fuse-external --resilient --case-insensitive-cmp</x:v>
      </x:c>
    </x:row>
    <x:row r="517" ht="74" customHeight="1">
      <x:c r="A517" s="11" t="str">
        <x:v>SUBSET-20261015-local-sync</x:v>
      </x:c>
      <x:c r="B517" s="11" t="str">
        <x:v>WFP-35</x:v>
      </x:c>
      <x:c r="C517" s="11" t="str">
        <x:v>rdwr_mmap_test</x:v>
      </x:c>
      <x:c r="D517" s="11" t="str">
        <x:v>WinFsp fork 默认子集</x:v>
      </x:c>
      <x:c r="E517" s="11" t="str">
        <x:v>local</x:v>
      </x:c>
      <x:c r="F517" s="11" t="str">
        <x:v>同步</x:v>
      </x:c>
      <x:c r="G517" s="20" t="d">
        <x:v>2026-10-15T00:00:00.000Z</x:v>
      </x:c>
      <x:c r="H517" s="11" t="str">
        <x:v>已通过</x:v>
      </x:c>
      <x:c r="I517" s="22" t="n">
        <x:v>0.77</x:v>
      </x:c>
      <x:c r="J517" s="11" t="str">
        <x:v>JuiceFS 1.3.0+30190ca / WinFsp 2.1.25156；测试工具 S01–S04</x:v>
      </x:c>
      <x:c r="K517" s="11" t="str">
        <x:v>JuiceFS Windows CI 子集；attr-cache=0；云端 get-timeout=5m</x:v>
      </x:c>
      <x:c r="L517" s="11" t="str">
        <x:v>e920ead94a8e28f04e326664178b0c9f02d492b1 + productChanges / plansSha256 见 E01</x:v>
      </x:c>
      <x:c r="M517" s="11" t="str">
        <x:v>E01 / juicefs-upstream-run-75InRg</x:v>
      </x:c>
      <x:c r="N517" s="11" t="str">
        <x:v>--fuse-external --resilient --case-insensitive-cmp</x:v>
      </x:c>
    </x:row>
    <x:row r="518" ht="74" customHeight="1">
      <x:c r="A518" s="10" t="str">
        <x:v>SUBSET-20261015-local-sync</x:v>
      </x:c>
      <x:c r="B518" s="10" t="str">
        <x:v>WFP-36</x:v>
      </x:c>
      <x:c r="C518" s="10" t="str">
        <x:v>rdwr_mixed_test</x:v>
      </x:c>
      <x:c r="D518" s="10" t="str">
        <x:v>WinFsp fork 默认子集</x:v>
      </x:c>
      <x:c r="E518" s="10" t="str">
        <x:v>local</x:v>
      </x:c>
      <x:c r="F518" s="10" t="str">
        <x:v>同步</x:v>
      </x:c>
      <x:c r="G518" s="19" t="d">
        <x:v>2026-10-15T00:00:00.000Z</x:v>
      </x:c>
      <x:c r="H518" s="10" t="str">
        <x:v>已通过</x:v>
      </x:c>
      <x:c r="I518" s="21" t="n">
        <x:v>0.914</x:v>
      </x:c>
      <x:c r="J518" s="10" t="str">
        <x:v>JuiceFS 1.3.0+30190ca / WinFsp 2.1.25156；测试工具 S01–S04</x:v>
      </x:c>
      <x:c r="K518" s="10" t="str">
        <x:v>JuiceFS Windows CI 子集；attr-cache=0；云端 get-timeout=5m</x:v>
      </x:c>
      <x:c r="L518" s="10" t="str">
        <x:v>e920ead94a8e28f04e326664178b0c9f02d492b1 + productChanges / plansSha256 见 E01</x:v>
      </x:c>
      <x:c r="M518" s="10" t="str">
        <x:v>E01 / juicefs-upstream-run-75InRg</x:v>
      </x:c>
      <x:c r="N518" s="10" t="str">
        <x:v>--fuse-external --resilient --case-insensitive-cmp</x:v>
      </x:c>
    </x:row>
    <x:row r="519" ht="74" customHeight="1">
      <x:c r="A519" s="11" t="str">
        <x:v>SUBSET-20261015-local-sync</x:v>
      </x:c>
      <x:c r="B519" s="11" t="str">
        <x:v>WFP-37</x:v>
      </x:c>
      <x:c r="C519" s="11" t="str">
        <x:v>flush_test</x:v>
      </x:c>
      <x:c r="D519" s="11" t="str">
        <x:v>WinFsp fork 默认子集</x:v>
      </x:c>
      <x:c r="E519" s="11" t="str">
        <x:v>local</x:v>
      </x:c>
      <x:c r="F519" s="11" t="str">
        <x:v>同步</x:v>
      </x:c>
      <x:c r="G519" s="20" t="d">
        <x:v>2026-10-15T00:00:00.000Z</x:v>
      </x:c>
      <x:c r="H519" s="11" t="str">
        <x:v>已通过</x:v>
      </x:c>
      <x:c r="I519" s="22" t="n">
        <x:v>0.577</x:v>
      </x:c>
      <x:c r="J519" s="11" t="str">
        <x:v>JuiceFS 1.3.0+30190ca / WinFsp 2.1.25156；测试工具 S01–S04</x:v>
      </x:c>
      <x:c r="K519" s="11" t="str">
        <x:v>JuiceFS Windows CI 子集；attr-cache=0；云端 get-timeout=5m</x:v>
      </x:c>
      <x:c r="L519" s="11" t="str">
        <x:v>e920ead94a8e28f04e326664178b0c9f02d492b1 + productChanges / plansSha256 见 E01</x:v>
      </x:c>
      <x:c r="M519" s="11" t="str">
        <x:v>E01 / juicefs-upstream-run-75InRg</x:v>
      </x:c>
      <x:c r="N519" s="11" t="str">
        <x:v>--fuse-external --resilient --case-insensitive-cmp</x:v>
      </x:c>
    </x:row>
    <x:row r="520" ht="74" customHeight="1">
      <x:c r="A520" s="10" t="str">
        <x:v>SUBSET-20261015-local-sync</x:v>
      </x:c>
      <x:c r="B520" s="10" t="str">
        <x:v>WFP-38</x:v>
      </x:c>
      <x:c r="C520" s="10" t="str">
        <x:v>flush_volume_test</x:v>
      </x:c>
      <x:c r="D520" s="10" t="str">
        <x:v>WinFsp fork 默认子集</x:v>
      </x:c>
      <x:c r="E520" s="10" t="str">
        <x:v>local</x:v>
      </x:c>
      <x:c r="F520" s="10" t="str">
        <x:v>同步</x:v>
      </x:c>
      <x:c r="G520" s="19" t="d">
        <x:v>2026-10-15T00:00:00.000Z</x:v>
      </x:c>
      <x:c r="H520" s="10" t="str">
        <x:v>已通过</x:v>
      </x:c>
      <x:c r="I520" s="21" t="n">
        <x:v>0.445</x:v>
      </x:c>
      <x:c r="J520" s="10" t="str">
        <x:v>JuiceFS 1.3.0+30190ca / WinFsp 2.1.25156；测试工具 S01–S04</x:v>
      </x:c>
      <x:c r="K520" s="10" t="str">
        <x:v>JuiceFS Windows CI 子集；attr-cache=0；云端 get-timeout=5m</x:v>
      </x:c>
      <x:c r="L520" s="10" t="str">
        <x:v>e920ead94a8e28f04e326664178b0c9f02d492b1 + productChanges / plansSha256 见 E01</x:v>
      </x:c>
      <x:c r="M520" s="10" t="str">
        <x:v>E01 / juicefs-upstream-run-75InRg</x:v>
      </x:c>
      <x:c r="N520" s="10" t="str">
        <x:v>--fuse-external --resilient --case-insensitive-cmp</x:v>
      </x:c>
    </x:row>
    <x:row r="521" ht="74" customHeight="1">
      <x:c r="A521" s="11" t="str">
        <x:v>SUBSET-20261015-local-sync</x:v>
      </x:c>
      <x:c r="B521" s="11" t="str">
        <x:v>WFP-39</x:v>
      </x:c>
      <x:c r="C521" s="11" t="str">
        <x:v>lock_noncached_test</x:v>
      </x:c>
      <x:c r="D521" s="11" t="str">
        <x:v>WinFsp fork 默认子集</x:v>
      </x:c>
      <x:c r="E521" s="11" t="str">
        <x:v>local</x:v>
      </x:c>
      <x:c r="F521" s="11" t="str">
        <x:v>同步</x:v>
      </x:c>
      <x:c r="G521" s="20" t="d">
        <x:v>2026-10-15T00:00:00.000Z</x:v>
      </x:c>
      <x:c r="H521" s="11" t="str">
        <x:v>已通过</x:v>
      </x:c>
      <x:c r="I521" s="22" t="n">
        <x:v>0.678</x:v>
      </x:c>
      <x:c r="J521" s="11" t="str">
        <x:v>JuiceFS 1.3.0+30190ca / WinFsp 2.1.25156；测试工具 S01–S04</x:v>
      </x:c>
      <x:c r="K521" s="11" t="str">
        <x:v>JuiceFS Windows CI 子集；attr-cache=0；云端 get-timeout=5m</x:v>
      </x:c>
      <x:c r="L521" s="11" t="str">
        <x:v>e920ead94a8e28f04e326664178b0c9f02d492b1 + productChanges / plansSha256 见 E01</x:v>
      </x:c>
      <x:c r="M521" s="11" t="str">
        <x:v>E01 / juicefs-upstream-run-75InRg</x:v>
      </x:c>
      <x:c r="N521" s="11" t="str">
        <x:v>--fuse-external --resilient --case-insensitive-cmp</x:v>
      </x:c>
    </x:row>
    <x:row r="522" ht="74" customHeight="1">
      <x:c r="A522" s="10" t="str">
        <x:v>SUBSET-20261015-local-sync</x:v>
      </x:c>
      <x:c r="B522" s="10" t="str">
        <x:v>WFP-40</x:v>
      </x:c>
      <x:c r="C522" s="10" t="str">
        <x:v>lock_noncached_overlapped_test</x:v>
      </x:c>
      <x:c r="D522" s="10" t="str">
        <x:v>WinFsp fork 默认子集</x:v>
      </x:c>
      <x:c r="E522" s="10" t="str">
        <x:v>local</x:v>
      </x:c>
      <x:c r="F522" s="10" t="str">
        <x:v>同步</x:v>
      </x:c>
      <x:c r="G522" s="19" t="d">
        <x:v>2026-10-15T00:00:00.000Z</x:v>
      </x:c>
      <x:c r="H522" s="10" t="str">
        <x:v>已通过</x:v>
      </x:c>
      <x:c r="I522" s="21" t="n">
        <x:v>0.914</x:v>
      </x:c>
      <x:c r="J522" s="10" t="str">
        <x:v>JuiceFS 1.3.0+30190ca / WinFsp 2.1.25156；测试工具 S01–S04</x:v>
      </x:c>
      <x:c r="K522" s="10" t="str">
        <x:v>JuiceFS Windows CI 子集；attr-cache=0；云端 get-timeout=5m</x:v>
      </x:c>
      <x:c r="L522" s="10" t="str">
        <x:v>e920ead94a8e28f04e326664178b0c9f02d492b1 + productChanges / plansSha256 见 E01</x:v>
      </x:c>
      <x:c r="M522" s="10" t="str">
        <x:v>E01 / juicefs-upstream-run-75InRg</x:v>
      </x:c>
      <x:c r="N522" s="10" t="str">
        <x:v>--fuse-external --resilient --case-insensitive-cmp</x:v>
      </x:c>
    </x:row>
    <x:row r="523" ht="74" customHeight="1">
      <x:c r="A523" s="11" t="str">
        <x:v>SUBSET-20261015-local-sync</x:v>
      </x:c>
      <x:c r="B523" s="11" t="str">
        <x:v>WFP-41</x:v>
      </x:c>
      <x:c r="C523" s="11" t="str">
        <x:v>lock_cached_test</x:v>
      </x:c>
      <x:c r="D523" s="11" t="str">
        <x:v>WinFsp fork 默认子集</x:v>
      </x:c>
      <x:c r="E523" s="11" t="str">
        <x:v>local</x:v>
      </x:c>
      <x:c r="F523" s="11" t="str">
        <x:v>同步</x:v>
      </x:c>
      <x:c r="G523" s="20" t="d">
        <x:v>2026-10-15T00:00:00.000Z</x:v>
      </x:c>
      <x:c r="H523" s="11" t="str">
        <x:v>已通过</x:v>
      </x:c>
      <x:c r="I523" s="22" t="n">
        <x:v>0.435</x:v>
      </x:c>
      <x:c r="J523" s="11" t="str">
        <x:v>JuiceFS 1.3.0+30190ca / WinFsp 2.1.25156；测试工具 S01–S04</x:v>
      </x:c>
      <x:c r="K523" s="11" t="str">
        <x:v>JuiceFS Windows CI 子集；attr-cache=0；云端 get-timeout=5m</x:v>
      </x:c>
      <x:c r="L523" s="11" t="str">
        <x:v>e920ead94a8e28f04e326664178b0c9f02d492b1 + productChanges / plansSha256 见 E01</x:v>
      </x:c>
      <x:c r="M523" s="11" t="str">
        <x:v>E01 / juicefs-upstream-run-75InRg</x:v>
      </x:c>
      <x:c r="N523" s="11" t="str">
        <x:v>--fuse-external --resilient --case-insensitive-cmp</x:v>
      </x:c>
    </x:row>
    <x:row r="524" ht="74" customHeight="1">
      <x:c r="A524" s="10" t="str">
        <x:v>SUBSET-20261015-local-sync</x:v>
      </x:c>
      <x:c r="B524" s="10" t="str">
        <x:v>WFP-42</x:v>
      </x:c>
      <x:c r="C524" s="10" t="str">
        <x:v>lock_cached_overlapped_test</x:v>
      </x:c>
      <x:c r="D524" s="10" t="str">
        <x:v>WinFsp fork 默认子集</x:v>
      </x:c>
      <x:c r="E524" s="10" t="str">
        <x:v>local</x:v>
      </x:c>
      <x:c r="F524" s="10" t="str">
        <x:v>同步</x:v>
      </x:c>
      <x:c r="G524" s="19" t="d">
        <x:v>2026-10-15T00:00:00.000Z</x:v>
      </x:c>
      <x:c r="H524" s="10" t="str">
        <x:v>已通过</x:v>
      </x:c>
      <x:c r="I524" s="21" t="n">
        <x:v>0.547</x:v>
      </x:c>
      <x:c r="J524" s="10" t="str">
        <x:v>JuiceFS 1.3.0+30190ca / WinFsp 2.1.25156；测试工具 S01–S04</x:v>
      </x:c>
      <x:c r="K524" s="10" t="str">
        <x:v>JuiceFS Windows CI 子集；attr-cache=0；云端 get-timeout=5m</x:v>
      </x:c>
      <x:c r="L524" s="10" t="str">
        <x:v>e920ead94a8e28f04e326664178b0c9f02d492b1 + productChanges / plansSha256 见 E01</x:v>
      </x:c>
      <x:c r="M524" s="10" t="str">
        <x:v>E01 / juicefs-upstream-run-75InRg</x:v>
      </x:c>
      <x:c r="N524" s="10" t="str">
        <x:v>--fuse-external --resilient --case-insensitive-cmp</x:v>
      </x:c>
    </x:row>
    <x:row r="525" ht="74" customHeight="1">
      <x:c r="A525" s="11" t="str">
        <x:v>SUBSET-20261015-local-sync</x:v>
      </x:c>
      <x:c r="B525" s="11" t="str">
        <x:v>WFP-43</x:v>
      </x:c>
      <x:c r="C525" s="11" t="str">
        <x:v>querydir_test</x:v>
      </x:c>
      <x:c r="D525" s="11" t="str">
        <x:v>WinFsp fork 默认子集</x:v>
      </x:c>
      <x:c r="E525" s="11" t="str">
        <x:v>local</x:v>
      </x:c>
      <x:c r="F525" s="11" t="str">
        <x:v>同步</x:v>
      </x:c>
      <x:c r="G525" s="20" t="d">
        <x:v>2026-10-15T00:00:00.000Z</x:v>
      </x:c>
      <x:c r="H525" s="11" t="str">
        <x:v>已通过</x:v>
      </x:c>
      <x:c r="I525" s="22" t="n">
        <x:v>10.036</x:v>
      </x:c>
      <x:c r="J525" s="11" t="str">
        <x:v>JuiceFS 1.3.0+30190ca / WinFsp 2.1.25156；测试工具 S01–S04</x:v>
      </x:c>
      <x:c r="K525" s="11" t="str">
        <x:v>JuiceFS Windows CI 子集；attr-cache=0；云端 get-timeout=5m</x:v>
      </x:c>
      <x:c r="L525" s="11" t="str">
        <x:v>e920ead94a8e28f04e326664178b0c9f02d492b1 + productChanges / plansSha256 见 E01</x:v>
      </x:c>
      <x:c r="M525" s="11" t="str">
        <x:v>E01 / juicefs-upstream-run-75InRg</x:v>
      </x:c>
      <x:c r="N525" s="11" t="str">
        <x:v>--fuse-external --resilient --case-insensitive-cmp</x:v>
      </x:c>
    </x:row>
    <x:row r="526" ht="74" customHeight="1">
      <x:c r="A526" s="10" t="str">
        <x:v>SUBSET-20261015-local-sync</x:v>
      </x:c>
      <x:c r="B526" s="10" t="str">
        <x:v>WFP-44</x:v>
      </x:c>
      <x:c r="C526" s="10" t="str">
        <x:v>querydir_expire_cache_test</x:v>
      </x:c>
      <x:c r="D526" s="10" t="str">
        <x:v>WinFsp fork 默认子集</x:v>
      </x:c>
      <x:c r="E526" s="10" t="str">
        <x:v>local</x:v>
      </x:c>
      <x:c r="F526" s="10" t="str">
        <x:v>同步</x:v>
      </x:c>
      <x:c r="G526" s="19" t="d">
        <x:v>2026-10-15T00:00:00.000Z</x:v>
      </x:c>
      <x:c r="H526" s="10" t="str">
        <x:v>已通过</x:v>
      </x:c>
      <x:c r="I526" s="21" t="n">
        <x:v>0.579</x:v>
      </x:c>
      <x:c r="J526" s="10" t="str">
        <x:v>JuiceFS 1.3.0+30190ca / WinFsp 2.1.25156；测试工具 S01–S04</x:v>
      </x:c>
      <x:c r="K526" s="10" t="str">
        <x:v>JuiceFS Windows CI 子集；attr-cache=0；云端 get-timeout=5m</x:v>
      </x:c>
      <x:c r="L526" s="10" t="str">
        <x:v>e920ead94a8e28f04e326664178b0c9f02d492b1 + productChanges / plansSha256 见 E01</x:v>
      </x:c>
      <x:c r="M526" s="10" t="str">
        <x:v>E01 / juicefs-upstream-run-75InRg</x:v>
      </x:c>
      <x:c r="N526" s="10" t="str">
        <x:v>--fuse-external --resilient --case-insensitive-cmp</x:v>
      </x:c>
    </x:row>
    <x:row r="527" ht="74" customHeight="1">
      <x:c r="A527" s="11" t="str">
        <x:v>SUBSET-20261015-local-sync</x:v>
      </x:c>
      <x:c r="B527" s="11" t="str">
        <x:v>WFP-45</x:v>
      </x:c>
      <x:c r="C527" s="11" t="str">
        <x:v>querydir_buffer_overflow_test</x:v>
      </x:c>
      <x:c r="D527" s="11" t="str">
        <x:v>WinFsp fork 默认子集</x:v>
      </x:c>
      <x:c r="E527" s="11" t="str">
        <x:v>local</x:v>
      </x:c>
      <x:c r="F527" s="11" t="str">
        <x:v>同步</x:v>
      </x:c>
      <x:c r="G527" s="20" t="d">
        <x:v>2026-10-15T00:00:00.000Z</x:v>
      </x:c>
      <x:c r="H527" s="11" t="str">
        <x:v>已通过</x:v>
      </x:c>
      <x:c r="I527" s="22" t="n">
        <x:v>0.384</x:v>
      </x:c>
      <x:c r="J527" s="11" t="str">
        <x:v>JuiceFS 1.3.0+30190ca / WinFsp 2.1.25156；测试工具 S01–S04</x:v>
      </x:c>
      <x:c r="K527" s="11" t="str">
        <x:v>JuiceFS Windows CI 子集；attr-cache=0；云端 get-timeout=5m</x:v>
      </x:c>
      <x:c r="L527" s="11" t="str">
        <x:v>e920ead94a8e28f04e326664178b0c9f02d492b1 + productChanges / plansSha256 见 E01</x:v>
      </x:c>
      <x:c r="M527" s="11" t="str">
        <x:v>E01 / juicefs-upstream-run-75InRg</x:v>
      </x:c>
      <x:c r="N527" s="11" t="str">
        <x:v>--fuse-external --resilient --case-insensitive-cmp</x:v>
      </x:c>
    </x:row>
    <x:row r="528" ht="74" customHeight="1">
      <x:c r="A528" s="10" t="str">
        <x:v>SUBSET-20261015-local-sync</x:v>
      </x:c>
      <x:c r="B528" s="10" t="str">
        <x:v>WFP-46</x:v>
      </x:c>
      <x:c r="C528" s="10" t="str">
        <x:v>querydir_namelen_test</x:v>
      </x:c>
      <x:c r="D528" s="10" t="str">
        <x:v>WinFsp fork 默认子集</x:v>
      </x:c>
      <x:c r="E528" s="10" t="str">
        <x:v>local</x:v>
      </x:c>
      <x:c r="F528" s="10" t="str">
        <x:v>同步</x:v>
      </x:c>
      <x:c r="G528" s="19" t="d">
        <x:v>2026-10-15T00:00:00.000Z</x:v>
      </x:c>
      <x:c r="H528" s="10" t="str">
        <x:v>已通过</x:v>
      </x:c>
      <x:c r="I528" s="21" t="n">
        <x:v>0.708</x:v>
      </x:c>
      <x:c r="J528" s="10" t="str">
        <x:v>JuiceFS 1.3.0+30190ca / WinFsp 2.1.25156；测试工具 S01–S04</x:v>
      </x:c>
      <x:c r="K528" s="10" t="str">
        <x:v>JuiceFS Windows CI 子集；attr-cache=0；云端 get-timeout=5m</x:v>
      </x:c>
      <x:c r="L528" s="10" t="str">
        <x:v>e920ead94a8e28f04e326664178b0c9f02d492b1 + productChanges / plansSha256 见 E01</x:v>
      </x:c>
      <x:c r="M528" s="10" t="str">
        <x:v>E01 / juicefs-upstream-run-75InRg</x:v>
      </x:c>
      <x:c r="N528" s="10" t="str">
        <x:v>--fuse-external --resilient --case-insensitive-cmp</x:v>
      </x:c>
    </x:row>
    <x:row r="529" ht="74" customHeight="1">
      <x:c r="A529" s="11" t="str">
        <x:v>SUBSET-20261015-local-sync</x:v>
      </x:c>
      <x:c r="B529" s="11" t="str">
        <x:v>WFP-47</x:v>
      </x:c>
      <x:c r="C529" s="11" t="str">
        <x:v>dirnotify_test</x:v>
      </x:c>
      <x:c r="D529" s="11" t="str">
        <x:v>WinFsp fork 默认子集</x:v>
      </x:c>
      <x:c r="E529" s="11" t="str">
        <x:v>local</x:v>
      </x:c>
      <x:c r="F529" s="11" t="str">
        <x:v>同步</x:v>
      </x:c>
      <x:c r="G529" s="20" t="d">
        <x:v>2026-10-15T00:00:00.000Z</x:v>
      </x:c>
      <x:c r="H529" s="11" t="str">
        <x:v>已通过</x:v>
      </x:c>
      <x:c r="I529" s="22" t="n">
        <x:v>1.471</x:v>
      </x:c>
      <x:c r="J529" s="11" t="str">
        <x:v>JuiceFS 1.3.0+30190ca / WinFsp 2.1.25156；测试工具 S01–S04</x:v>
      </x:c>
      <x:c r="K529" s="11" t="str">
        <x:v>JuiceFS Windows CI 子集；attr-cache=0；云端 get-timeout=5m</x:v>
      </x:c>
      <x:c r="L529" s="11" t="str">
        <x:v>e920ead94a8e28f04e326664178b0c9f02d492b1 + productChanges / plansSha256 见 E01</x:v>
      </x:c>
      <x:c r="M529" s="11" t="str">
        <x:v>E01 / juicefs-upstream-run-75InRg</x:v>
      </x:c>
      <x:c r="N529" s="11" t="str">
        <x:v>--fuse-external --resilient --case-insensitive-cmp</x:v>
      </x:c>
    </x:row>
    <x:row r="530" ht="74" customHeight="1">
      <x:c r="A530" s="10" t="str">
        <x:v>SUBSET-20261015-local-sync</x:v>
      </x:c>
      <x:c r="B530" s="10" t="str">
        <x:v>WFP-48</x:v>
      </x:c>
      <x:c r="C530" s="10" t="str">
        <x:v>exec_test</x:v>
      </x:c>
      <x:c r="D530" s="10" t="str">
        <x:v>WinFsp fork 默认子集</x:v>
      </x:c>
      <x:c r="E530" s="10" t="str">
        <x:v>local</x:v>
      </x:c>
      <x:c r="F530" s="10" t="str">
        <x:v>同步</x:v>
      </x:c>
      <x:c r="G530" s="19" t="d">
        <x:v>2026-10-15T00:00:00.000Z</x:v>
      </x:c>
      <x:c r="H530" s="10" t="str">
        <x:v>已通过</x:v>
      </x:c>
      <x:c r="I530" s="21" t="n">
        <x:v>1.235</x:v>
      </x:c>
      <x:c r="J530" s="10" t="str">
        <x:v>JuiceFS 1.3.0+30190ca / WinFsp 2.1.25156；测试工具 S01–S04</x:v>
      </x:c>
      <x:c r="K530" s="10" t="str">
        <x:v>JuiceFS Windows CI 子集；attr-cache=0；云端 get-timeout=5m</x:v>
      </x:c>
      <x:c r="L530" s="10" t="str">
        <x:v>e920ead94a8e28f04e326664178b0c9f02d492b1 + productChanges / plansSha256 见 E01</x:v>
      </x:c>
      <x:c r="M530" s="10" t="str">
        <x:v>E01 / juicefs-upstream-run-75InRg</x:v>
      </x:c>
      <x:c r="N530" s="10" t="str">
        <x:v>--fuse-external --resilient --case-insensitive-cmp</x:v>
      </x:c>
    </x:row>
    <x:row r="531" ht="74" customHeight="1">
      <x:c r="A531" s="11" t="str">
        <x:v>SUBSET-20261015-local-sync</x:v>
      </x:c>
      <x:c r="B531" s="11" t="str">
        <x:v>WFP-49</x:v>
      </x:c>
      <x:c r="C531" s="11" t="str">
        <x:v>exec_delete_test</x:v>
      </x:c>
      <x:c r="D531" s="11" t="str">
        <x:v>WinFsp fork 默认子集</x:v>
      </x:c>
      <x:c r="E531" s="11" t="str">
        <x:v>local</x:v>
      </x:c>
      <x:c r="F531" s="11" t="str">
        <x:v>同步</x:v>
      </x:c>
      <x:c r="G531" s="20" t="d">
        <x:v>2026-10-15T00:00:00.000Z</x:v>
      </x:c>
      <x:c r="H531" s="11" t="str">
        <x:v>已通过</x:v>
      </x:c>
      <x:c r="I531" s="22" t="n">
        <x:v>1.488</x:v>
      </x:c>
      <x:c r="J531" s="11" t="str">
        <x:v>JuiceFS 1.3.0+30190ca / WinFsp 2.1.25156；测试工具 S01–S04</x:v>
      </x:c>
      <x:c r="K531" s="11" t="str">
        <x:v>JuiceFS Windows CI 子集；attr-cache=0；云端 get-timeout=5m</x:v>
      </x:c>
      <x:c r="L531" s="11" t="str">
        <x:v>e920ead94a8e28f04e326664178b0c9f02d492b1 + productChanges / plansSha256 见 E01</x:v>
      </x:c>
      <x:c r="M531" s="11" t="str">
        <x:v>E01 / juicefs-upstream-run-75InRg</x:v>
      </x:c>
      <x:c r="N531" s="11" t="str">
        <x:v>--fuse-external --resilient --case-insensitive-cmp</x:v>
      </x:c>
    </x:row>
    <x:row r="532" ht="74" customHeight="1">
      <x:c r="A532" s="10" t="str">
        <x:v>SUBSET-20261015-local-sync</x:v>
      </x:c>
      <x:c r="B532" s="10" t="str">
        <x:v>WFP-50</x:v>
      </x:c>
      <x:c r="C532" s="10" t="str">
        <x:v>exec_rename_test</x:v>
      </x:c>
      <x:c r="D532" s="10" t="str">
        <x:v>WinFsp fork 默认子集</x:v>
      </x:c>
      <x:c r="E532" s="10" t="str">
        <x:v>local</x:v>
      </x:c>
      <x:c r="F532" s="10" t="str">
        <x:v>同步</x:v>
      </x:c>
      <x:c r="G532" s="19" t="d">
        <x:v>2026-10-15T00:00:00.000Z</x:v>
      </x:c>
      <x:c r="H532" s="10" t="str">
        <x:v>已通过</x:v>
      </x:c>
      <x:c r="I532" s="21" t="n">
        <x:v>1.496</x:v>
      </x:c>
      <x:c r="J532" s="10" t="str">
        <x:v>JuiceFS 1.3.0+30190ca / WinFsp 2.1.25156；测试工具 S01–S04</x:v>
      </x:c>
      <x:c r="K532" s="10" t="str">
        <x:v>JuiceFS Windows CI 子集；attr-cache=0；云端 get-timeout=5m</x:v>
      </x:c>
      <x:c r="L532" s="10" t="str">
        <x:v>e920ead94a8e28f04e326664178b0c9f02d492b1 + productChanges / plansSha256 见 E01</x:v>
      </x:c>
      <x:c r="M532" s="10" t="str">
        <x:v>E01 / juicefs-upstream-run-75InRg</x:v>
      </x:c>
      <x:c r="N532" s="10" t="str">
        <x:v>--fuse-external --resilient --case-insensitive-cmp</x:v>
      </x:c>
    </x:row>
    <x:row r="533" ht="74" customHeight="1">
      <x:c r="A533" s="11" t="str">
        <x:v>SUBSET-20261015-local-sync</x:v>
      </x:c>
      <x:c r="B533" s="11" t="str">
        <x:v>WFP-51</x:v>
      </x:c>
      <x:c r="C533" s="11" t="str">
        <x:v>exec_rename_dir_test</x:v>
      </x:c>
      <x:c r="D533" s="11" t="str">
        <x:v>WinFsp fork 默认子集</x:v>
      </x:c>
      <x:c r="E533" s="11" t="str">
        <x:v>local</x:v>
      </x:c>
      <x:c r="F533" s="11" t="str">
        <x:v>同步</x:v>
      </x:c>
      <x:c r="G533" s="20" t="d">
        <x:v>2026-10-15T00:00:00.000Z</x:v>
      </x:c>
      <x:c r="H533" s="11" t="str">
        <x:v>已通过</x:v>
      </x:c>
      <x:c r="I533" s="22" t="n">
        <x:v>2.452</x:v>
      </x:c>
      <x:c r="J533" s="11" t="str">
        <x:v>JuiceFS 1.3.0+30190ca / WinFsp 2.1.25156；测试工具 S01–S04</x:v>
      </x:c>
      <x:c r="K533" s="11" t="str">
        <x:v>JuiceFS Windows CI 子集；attr-cache=0；云端 get-timeout=5m</x:v>
      </x:c>
      <x:c r="L533" s="11" t="str">
        <x:v>e920ead94a8e28f04e326664178b0c9f02d492b1 + productChanges / plansSha256 见 E01</x:v>
      </x:c>
      <x:c r="M533" s="11" t="str">
        <x:v>E01 / juicefs-upstream-run-75InRg</x:v>
      </x:c>
      <x:c r="N533" s="11" t="str">
        <x:v>--fuse-external --resilient --case-insensitive-cmp</x:v>
      </x:c>
    </x:row>
    <x:row r="534" ht="74" customHeight="1">
      <x:c r="A534" s="10" t="str">
        <x:v>SUBSET-20261015-local-sync</x:v>
      </x:c>
      <x:c r="B534" s="10" t="str">
        <x:v>WFP-52</x:v>
      </x:c>
      <x:c r="C534" s="10" t="str">
        <x:v>reparse_nfs_test</x:v>
      </x:c>
      <x:c r="D534" s="10" t="str">
        <x:v>WinFsp fork 默认子集</x:v>
      </x:c>
      <x:c r="E534" s="10" t="str">
        <x:v>local</x:v>
      </x:c>
      <x:c r="F534" s="10" t="str">
        <x:v>同步</x:v>
      </x:c>
      <x:c r="G534" s="19" t="d">
        <x:v>2026-10-15T00:00:00.000Z</x:v>
      </x:c>
      <x:c r="H534" s="10" t="str">
        <x:v>已通过</x:v>
      </x:c>
      <x:c r="I534" s="21" t="n">
        <x:v>0.369</x:v>
      </x:c>
      <x:c r="J534" s="10" t="str">
        <x:v>JuiceFS 1.3.0+30190ca / WinFsp 2.1.25156；测试工具 S01–S04</x:v>
      </x:c>
      <x:c r="K534" s="10" t="str">
        <x:v>JuiceFS Windows CI 子集；attr-cache=0；云端 get-timeout=5m</x:v>
      </x:c>
      <x:c r="L534" s="10" t="str">
        <x:v>e920ead94a8e28f04e326664178b0c9f02d492b1 + productChanges / plansSha256 见 E01</x:v>
      </x:c>
      <x:c r="M534" s="10" t="str">
        <x:v>E01 / juicefs-upstream-run-75InRg</x:v>
      </x:c>
      <x:c r="N534" s="10" t="str">
        <x:v>--fuse-external --resilient --case-insensitive-cmp</x:v>
      </x:c>
    </x:row>
    <x:row r="535" ht="74" customHeight="1">
      <x:c r="A535" s="11" t="str">
        <x:v>SUBSET-20261015-local-sync</x:v>
      </x:c>
      <x:c r="B535" s="11" t="str">
        <x:v>WFP-53</x:v>
      </x:c>
      <x:c r="C535" s="11" t="str">
        <x:v>reparse_symlink_test</x:v>
      </x:c>
      <x:c r="D535" s="11" t="str">
        <x:v>WinFsp fork 默认子集</x:v>
      </x:c>
      <x:c r="E535" s="11" t="str">
        <x:v>local</x:v>
      </x:c>
      <x:c r="F535" s="11" t="str">
        <x:v>同步</x:v>
      </x:c>
      <x:c r="G535" s="20" t="d">
        <x:v>2026-10-15T00:00:00.000Z</x:v>
      </x:c>
      <x:c r="H535" s="11" t="str">
        <x:v>已通过</x:v>
      </x:c>
      <x:c r="I535" s="22" t="n">
        <x:v>0.381</x:v>
      </x:c>
      <x:c r="J535" s="11" t="str">
        <x:v>JuiceFS 1.3.0+30190ca / WinFsp 2.1.25156；测试工具 S01–S04</x:v>
      </x:c>
      <x:c r="K535" s="11" t="str">
        <x:v>JuiceFS Windows CI 子集；attr-cache=0；云端 get-timeout=5m</x:v>
      </x:c>
      <x:c r="L535" s="11" t="str">
        <x:v>e920ead94a8e28f04e326664178b0c9f02d492b1 + productChanges / plansSha256 见 E01</x:v>
      </x:c>
      <x:c r="M535" s="11" t="str">
        <x:v>E01 / juicefs-upstream-run-75InRg</x:v>
      </x:c>
      <x:c r="N535" s="11" t="str">
        <x:v>--fuse-external --resilient --case-insensitive-cmp</x:v>
      </x:c>
    </x:row>
    <x:row r="536" ht="74" customHeight="1">
      <x:c r="A536" s="10" t="str">
        <x:v>SUBSET-20261015-local-sync</x:v>
      </x:c>
      <x:c r="B536" s="10" t="str">
        <x:v>WFP-54</x:v>
      </x:c>
      <x:c r="C536" s="10" t="str">
        <x:v>reparse_symlink_relative_test</x:v>
      </x:c>
      <x:c r="D536" s="10" t="str">
        <x:v>WinFsp fork 默认子集</x:v>
      </x:c>
      <x:c r="E536" s="10" t="str">
        <x:v>local</x:v>
      </x:c>
      <x:c r="F536" s="10" t="str">
        <x:v>同步</x:v>
      </x:c>
      <x:c r="G536" s="19" t="d">
        <x:v>2026-10-15T00:00:00.000Z</x:v>
      </x:c>
      <x:c r="H536" s="10" t="str">
        <x:v>已通过</x:v>
      </x:c>
      <x:c r="I536" s="21" t="n">
        <x:v>0.361</x:v>
      </x:c>
      <x:c r="J536" s="10" t="str">
        <x:v>JuiceFS 1.3.0+30190ca / WinFsp 2.1.25156；测试工具 S01–S04</x:v>
      </x:c>
      <x:c r="K536" s="10" t="str">
        <x:v>JuiceFS Windows CI 子集；attr-cache=0；云端 get-timeout=5m</x:v>
      </x:c>
      <x:c r="L536" s="10" t="str">
        <x:v>e920ead94a8e28f04e326664178b0c9f02d492b1 + productChanges / plansSha256 见 E01</x:v>
      </x:c>
      <x:c r="M536" s="10" t="str">
        <x:v>E01 / juicefs-upstream-run-75InRg</x:v>
      </x:c>
      <x:c r="N536" s="10" t="str">
        <x:v>--fuse-external --resilient --case-insensitive-cmp</x:v>
      </x:c>
    </x:row>
    <x:row r="537" ht="74" customHeight="1">
      <x:c r="A537" s="11" t="str">
        <x:v>SUBSET-20261015-local-sync</x:v>
      </x:c>
      <x:c r="B537" s="11" t="str">
        <x:v>WFT-00…WFT-10</x:v>
      </x:c>
      <x:c r="C537" s="11" t="str">
        <x:v>11 个脚本的整套结果</x:v>
      </x:c>
      <x:c r="D537" s="11" t="str">
        <x:v>winfstest fork</x:v>
      </x:c>
      <x:c r="E537" s="11" t="str">
        <x:v>local</x:v>
      </x:c>
      <x:c r="F537" s="11" t="str">
        <x:v>同步</x:v>
      </x:c>
      <x:c r="G537" s="20" t="d">
        <x:v>2026-10-15T00:00:00.000Z</x:v>
      </x:c>
      <x:c r="H537" s="11" t="str">
        <x:v>已通过</x:v>
      </x:c>
      <x:c r="I537" s="22"/>
      <x:c r="J537" s="11" t="str">
        <x:v>JuiceFS 1.3.0+30190ca / WinFsp 2.1.25156；测试工具 S01–S04</x:v>
      </x:c>
      <x:c r="K537" s="11" t="str">
        <x:v>JuiceFS Windows CI 子集；attr-cache=0；云端 get-timeout=5m</x:v>
      </x:c>
      <x:c r="L537" s="11" t="str">
        <x:v>e920ead94a8e28f04e326664178b0c9f02d492b1 + productChanges / plansSha256 见 E01</x:v>
      </x:c>
      <x:c r="M537" s="11" t="str">
        <x:v>E01 / juicefs-upstream-run-75InRg</x:v>
      </x:c>
      <x:c r="N537" s="11" t="str">
        <x:v>152/152 断言；报告粒度为整套，不虚构每个脚本的耗时</x:v>
      </x:c>
    </x:row>
    <x:row r="538" ht="74" customHeight="1">
      <x:c r="A538" s="10" t="str">
        <x:v>SUBSET-20261015-local-sync</x:v>
      </x:c>
      <x:c r="B538" s="10" t="str">
        <x:v>JFS-FSX-01</x:v>
      </x:c>
      <x:c r="C538" s="10" t="str">
        <x:v>FSX 正常完成运行</x:v>
      </x:c>
      <x:c r="D538" s="10" t="str">
        <x:v>FSX fork</x:v>
      </x:c>
      <x:c r="E538" s="10" t="str">
        <x:v>local</x:v>
      </x:c>
      <x:c r="F538" s="10" t="str">
        <x:v>同步</x:v>
      </x:c>
      <x:c r="G538" s="19" t="d">
        <x:v>2026-10-15T00:00:00.000Z</x:v>
      </x:c>
      <x:c r="H538" s="10" t="str">
        <x:v>已通过</x:v>
      </x:c>
      <x:c r="I538" s="21"/>
      <x:c r="J538" s="10" t="str">
        <x:v>JuiceFS 1.3.0+30190ca / WinFsp 2.1.25156；测试工具 S01–S04</x:v>
      </x:c>
      <x:c r="K538" s="10" t="str">
        <x:v>JuiceFS Windows CI 子集；attr-cache=0；云端 get-timeout=5m</x:v>
      </x:c>
      <x:c r="L538" s="10" t="str">
        <x:v>e920ead94a8e28f04e326664178b0c9f02d492b1 + productChanges / plansSha256 见 E01</x:v>
      </x:c>
      <x:c r="M538" s="10" t="str">
        <x:v>E01 / juicefs-upstream-run-75InRg</x:v>
      </x:c>
      <x:c r="N538" s="10" t="str">
        <x:v>-N 10000 -S 20261014 -p 100 -F 100000 fsxtest；实际 10822 操作</x:v>
      </x:c>
    </x:row>
    <x:row r="539" ht="74" customHeight="1">
      <x:c r="A539" s="11" t="str">
        <x:v>SUBSET-20261015-local-sync</x:v>
      </x:c>
      <x:c r="B539" s="11" t="str">
        <x:v>CLOUD-006</x:v>
      </x:c>
      <x:c r="C539" s="11" t="str">
        <x:v>排空后冷读校验</x:v>
      </x:c>
      <x:c r="D539" s="11" t="str">
        <x:v>项目验证</x:v>
      </x:c>
      <x:c r="E539" s="11" t="str">
        <x:v>local</x:v>
      </x:c>
      <x:c r="F539" s="11" t="str">
        <x:v>同步</x:v>
      </x:c>
      <x:c r="G539" s="20" t="d">
        <x:v>2026-10-15T00:00:00.000Z</x:v>
      </x:c>
      <x:c r="H539" s="11" t="str">
        <x:v>已通过</x:v>
      </x:c>
      <x:c r="I539" s="22"/>
      <x:c r="J539" s="11" t="str">
        <x:v>JuiceFS 1.3.0+30190ca / WinFsp 2.1.25156；测试工具 S01–S04</x:v>
      </x:c>
      <x:c r="K539" s="11" t="str">
        <x:v>JuiceFS Windows CI 子集；attr-cache=0；云端 get-timeout=5m</x:v>
      </x:c>
      <x:c r="L539" s="11" t="str">
        <x:v>e920ead94a8e28f04e326664178b0c9f02d492b1 + productChanges / plansSha256 见 E01</x:v>
      </x:c>
      <x:c r="M539" s="11" t="str">
        <x:v>E01 / juicefs-upstream-run-75InRg</x:v>
      </x:c>
      <x:c r="N539" s="11" t="str">
        <x:v>原始记录见 E01；不代表故障恢复或 repair 测试</x:v>
      </x:c>
    </x:row>
    <x:row r="540" ht="74" customHeight="1">
      <x:c r="A540" s="10" t="str">
        <x:v>SUBSET-20261015-local-sync</x:v>
      </x:c>
      <x:c r="B540" s="10" t="str">
        <x:v>CLOUD-007</x:v>
      </x:c>
      <x:c r="C540" s="10" t="str">
        <x:v>只读 fsck</x:v>
      </x:c>
      <x:c r="D540" s="10" t="str">
        <x:v>项目验证</x:v>
      </x:c>
      <x:c r="E540" s="10" t="str">
        <x:v>local</x:v>
      </x:c>
      <x:c r="F540" s="10" t="str">
        <x:v>同步</x:v>
      </x:c>
      <x:c r="G540" s="19" t="d">
        <x:v>2026-10-15T00:00:00.000Z</x:v>
      </x:c>
      <x:c r="H540" s="10" t="str">
        <x:v>已通过</x:v>
      </x:c>
      <x:c r="I540" s="21"/>
      <x:c r="J540" s="10" t="str">
        <x:v>JuiceFS 1.3.0+30190ca / WinFsp 2.1.25156；测试工具 S01–S04</x:v>
      </x:c>
      <x:c r="K540" s="10" t="str">
        <x:v>JuiceFS Windows CI 子集；attr-cache=0；云端 get-timeout=5m</x:v>
      </x:c>
      <x:c r="L540" s="10" t="str">
        <x:v>e920ead94a8e28f04e326664178b0c9f02d492b1 + productChanges / plansSha256 见 E01</x:v>
      </x:c>
      <x:c r="M540" s="10" t="str">
        <x:v>E01 / juicefs-upstream-run-75InRg</x:v>
      </x:c>
      <x:c r="N540" s="10" t="str">
        <x:v>原始记录见 E01；不代表故障恢复或 repair 测试</x:v>
      </x:c>
    </x:row>
    <x:row r="541" ht="74" customHeight="1">
      <x:c r="A541" s="11" t="str">
        <x:v>SUBSET-20261015-local-wb</x:v>
      </x:c>
      <x:c r="B541" s="11" t="str">
        <x:v>JFS-PY-01</x:v>
      </x:c>
      <x:c r="C541" s="11" t="str">
        <x:v>test_basic_operations</x:v>
      </x:c>
      <x:c r="D541" s="11" t="str">
        <x:v>Python</x:v>
      </x:c>
      <x:c r="E541" s="11" t="str">
        <x:v>local</x:v>
      </x:c>
      <x:c r="F541" s="11" t="str">
        <x:v>后台</x:v>
      </x:c>
      <x:c r="G541" s="20" t="d">
        <x:v>2026-10-15T00:00:00.000Z</x:v>
      </x:c>
      <x:c r="H541" s="11" t="str">
        <x:v>已通过</x:v>
      </x:c>
      <x:c r="I541" s="22"/>
      <x:c r="J541" s="11" t="str">
        <x:v>JuiceFS 1.3.0+30190ca / WinFsp 2.1.25156；测试工具 S01–S04</x:v>
      </x:c>
      <x:c r="K541" s="11" t="str">
        <x:v>JuiceFS Windows CI 子集；attr-cache=0；云端 get-timeout=5m</x:v>
      </x:c>
      <x:c r="L541" s="11" t="str">
        <x:v>e920ead94a8e28f04e326664178b0c9f02d492b1 + productChanges / plansSha256 见 E01</x:v>
      </x:c>
      <x:c r="M541" s="11" t="str">
        <x:v>E01 / juicefs-upstream-run-75InRg</x:v>
      </x:c>
      <x:c r="N541" s="11" t="str">
        <x:v>上游原断言</x:v>
      </x:c>
    </x:row>
    <x:row r="542" ht="74" customHeight="1">
      <x:c r="A542" s="10" t="str">
        <x:v>SUBSET-20261015-local-wb</x:v>
      </x:c>
      <x:c r="B542" s="10" t="str">
        <x:v>JFS-PY-02</x:v>
      </x:c>
      <x:c r="C542" s="10" t="str">
        <x:v>test_concurrent_operations</x:v>
      </x:c>
      <x:c r="D542" s="10" t="str">
        <x:v>Python</x:v>
      </x:c>
      <x:c r="E542" s="10" t="str">
        <x:v>local</x:v>
      </x:c>
      <x:c r="F542" s="10" t="str">
        <x:v>后台</x:v>
      </x:c>
      <x:c r="G542" s="19" t="d">
        <x:v>2026-10-15T00:00:00.000Z</x:v>
      </x:c>
      <x:c r="H542" s="10" t="str">
        <x:v>已通过</x:v>
      </x:c>
      <x:c r="I542" s="21"/>
      <x:c r="J542" s="10" t="str">
        <x:v>JuiceFS 1.3.0+30190ca / WinFsp 2.1.25156；测试工具 S01–S04</x:v>
      </x:c>
      <x:c r="K542" s="10" t="str">
        <x:v>JuiceFS Windows CI 子集；attr-cache=0；云端 get-timeout=5m</x:v>
      </x:c>
      <x:c r="L542" s="10" t="str">
        <x:v>e920ead94a8e28f04e326664178b0c9f02d492b1 + productChanges / plansSha256 见 E01</x:v>
      </x:c>
      <x:c r="M542" s="10" t="str">
        <x:v>E01 / juicefs-upstream-run-75InRg</x:v>
      </x:c>
      <x:c r="N542" s="10" t="str">
        <x:v>上游原断言</x:v>
      </x:c>
    </x:row>
    <x:row r="543" ht="74" customHeight="1">
      <x:c r="A543" s="11" t="str">
        <x:v>SUBSET-20261015-local-wb</x:v>
      </x:c>
      <x:c r="B543" s="11" t="str">
        <x:v>JFS-PY-03</x:v>
      </x:c>
      <x:c r="C543" s="11" t="str">
        <x:v>test_directory_operations</x:v>
      </x:c>
      <x:c r="D543" s="11" t="str">
        <x:v>Python</x:v>
      </x:c>
      <x:c r="E543" s="11" t="str">
        <x:v>local</x:v>
      </x:c>
      <x:c r="F543" s="11" t="str">
        <x:v>后台</x:v>
      </x:c>
      <x:c r="G543" s="20" t="d">
        <x:v>2026-10-15T00:00:00.000Z</x:v>
      </x:c>
      <x:c r="H543" s="11" t="str">
        <x:v>已通过</x:v>
      </x:c>
      <x:c r="I543" s="22"/>
      <x:c r="J543" s="11" t="str">
        <x:v>JuiceFS 1.3.0+30190ca / WinFsp 2.1.25156；测试工具 S01–S04</x:v>
      </x:c>
      <x:c r="K543" s="11" t="str">
        <x:v>JuiceFS Windows CI 子集；attr-cache=0；云端 get-timeout=5m</x:v>
      </x:c>
      <x:c r="L543" s="11" t="str">
        <x:v>e920ead94a8e28f04e326664178b0c9f02d492b1 + productChanges / plansSha256 见 E01</x:v>
      </x:c>
      <x:c r="M543" s="11" t="str">
        <x:v>E01 / juicefs-upstream-run-75InRg</x:v>
      </x:c>
      <x:c r="N543" s="11" t="str">
        <x:v>上游原断言</x:v>
      </x:c>
    </x:row>
    <x:row r="544" ht="74" customHeight="1">
      <x:c r="A544" s="10" t="str">
        <x:v>SUBSET-20261015-local-wb</x:v>
      </x:c>
      <x:c r="B544" s="10" t="str">
        <x:v>JFS-PY-04</x:v>
      </x:c>
      <x:c r="C544" s="10" t="str">
        <x:v>test_file_attributes</x:v>
      </x:c>
      <x:c r="D544" s="10" t="str">
        <x:v>Python</x:v>
      </x:c>
      <x:c r="E544" s="10" t="str">
        <x:v>local</x:v>
      </x:c>
      <x:c r="F544" s="10" t="str">
        <x:v>后台</x:v>
      </x:c>
      <x:c r="G544" s="19" t="d">
        <x:v>2026-10-15T00:00:00.000Z</x:v>
      </x:c>
      <x:c r="H544" s="10" t="str">
        <x:v>已通过</x:v>
      </x:c>
      <x:c r="I544" s="21"/>
      <x:c r="J544" s="10" t="str">
        <x:v>JuiceFS 1.3.0+30190ca / WinFsp 2.1.25156；测试工具 S01–S04</x:v>
      </x:c>
      <x:c r="K544" s="10" t="str">
        <x:v>JuiceFS Windows CI 子集；attr-cache=0；云端 get-timeout=5m</x:v>
      </x:c>
      <x:c r="L544" s="10" t="str">
        <x:v>e920ead94a8e28f04e326664178b0c9f02d492b1 + productChanges / plansSha256 见 E01</x:v>
      </x:c>
      <x:c r="M544" s="10" t="str">
        <x:v>E01 / juicefs-upstream-run-75InRg</x:v>
      </x:c>
      <x:c r="N544" s="10" t="str">
        <x:v>上游原断言</x:v>
      </x:c>
    </x:row>
    <x:row r="545" ht="74" customHeight="1">
      <x:c r="A545" s="11" t="str">
        <x:v>SUBSET-20261015-local-wb</x:v>
      </x:c>
      <x:c r="B545" s="11" t="str">
        <x:v>JFS-PY-05</x:v>
      </x:c>
      <x:c r="C545" s="11" t="str">
        <x:v>test_large_files</x:v>
      </x:c>
      <x:c r="D545" s="11" t="str">
        <x:v>Python</x:v>
      </x:c>
      <x:c r="E545" s="11" t="str">
        <x:v>local</x:v>
      </x:c>
      <x:c r="F545" s="11" t="str">
        <x:v>后台</x:v>
      </x:c>
      <x:c r="G545" s="20" t="d">
        <x:v>2026-10-15T00:00:00.000Z</x:v>
      </x:c>
      <x:c r="H545" s="11" t="str">
        <x:v>已通过</x:v>
      </x:c>
      <x:c r="I545" s="22"/>
      <x:c r="J545" s="11" t="str">
        <x:v>JuiceFS 1.3.0+30190ca / WinFsp 2.1.25156；测试工具 S01–S04</x:v>
      </x:c>
      <x:c r="K545" s="11" t="str">
        <x:v>JuiceFS Windows CI 子集；attr-cache=0；云端 get-timeout=5m</x:v>
      </x:c>
      <x:c r="L545" s="11" t="str">
        <x:v>e920ead94a8e28f04e326664178b0c9f02d492b1 + productChanges / plansSha256 见 E01</x:v>
      </x:c>
      <x:c r="M545" s="11" t="str">
        <x:v>E01 / juicefs-upstream-run-75InRg</x:v>
      </x:c>
      <x:c r="N545" s="11" t="str">
        <x:v>上游原断言</x:v>
      </x:c>
    </x:row>
    <x:row r="546" ht="74" customHeight="1">
      <x:c r="A546" s="10" t="str">
        <x:v>SUBSET-20261015-local-wb</x:v>
      </x:c>
      <x:c r="B546" s="10" t="str">
        <x:v>JFS-PY-06</x:v>
      </x:c>
      <x:c r="C546" s="10" t="str">
        <x:v>test_long_paths</x:v>
      </x:c>
      <x:c r="D546" s="10" t="str">
        <x:v>Python</x:v>
      </x:c>
      <x:c r="E546" s="10" t="str">
        <x:v>local</x:v>
      </x:c>
      <x:c r="F546" s="10" t="str">
        <x:v>后台</x:v>
      </x:c>
      <x:c r="G546" s="19" t="d">
        <x:v>2026-10-15T00:00:00.000Z</x:v>
      </x:c>
      <x:c r="H546" s="10" t="str">
        <x:v>已通过</x:v>
      </x:c>
      <x:c r="I546" s="21"/>
      <x:c r="J546" s="10" t="str">
        <x:v>JuiceFS 1.3.0+30190ca / WinFsp 2.1.25156；测试工具 S01–S04</x:v>
      </x:c>
      <x:c r="K546" s="10" t="str">
        <x:v>JuiceFS Windows CI 子集；attr-cache=0；云端 get-timeout=5m</x:v>
      </x:c>
      <x:c r="L546" s="10" t="str">
        <x:v>e920ead94a8e28f04e326664178b0c9f02d492b1 + productChanges / plansSha256 见 E01</x:v>
      </x:c>
      <x:c r="M546" s="10" t="str">
        <x:v>E01 / juicefs-upstream-run-75InRg</x:v>
      </x:c>
      <x:c r="N546" s="10" t="str">
        <x:v>上游原断言</x:v>
      </x:c>
    </x:row>
    <x:row r="547" ht="74" customHeight="1">
      <x:c r="A547" s="11" t="str">
        <x:v>SUBSET-20261015-local-wb</x:v>
      </x:c>
      <x:c r="B547" s="11" t="str">
        <x:v>JFS-PY-07</x:v>
      </x:c>
      <x:c r="C547" s="11" t="str">
        <x:v>test_rename_case_change</x:v>
      </x:c>
      <x:c r="D547" s="11" t="str">
        <x:v>Python</x:v>
      </x:c>
      <x:c r="E547" s="11" t="str">
        <x:v>local</x:v>
      </x:c>
      <x:c r="F547" s="11" t="str">
        <x:v>后台</x:v>
      </x:c>
      <x:c r="G547" s="20" t="d">
        <x:v>2026-10-15T00:00:00.000Z</x:v>
      </x:c>
      <x:c r="H547" s="11" t="str">
        <x:v>已通过</x:v>
      </x:c>
      <x:c r="I547" s="22"/>
      <x:c r="J547" s="11" t="str">
        <x:v>JuiceFS 1.3.0+30190ca / WinFsp 2.1.25156；测试工具 S01–S04</x:v>
      </x:c>
      <x:c r="K547" s="11" t="str">
        <x:v>JuiceFS Windows CI 子集；attr-cache=0；云端 get-timeout=5m</x:v>
      </x:c>
      <x:c r="L547" s="11" t="str">
        <x:v>e920ead94a8e28f04e326664178b0c9f02d492b1 + productChanges / plansSha256 见 E01</x:v>
      </x:c>
      <x:c r="M547" s="11" t="str">
        <x:v>E01 / juicefs-upstream-run-75InRg</x:v>
      </x:c>
      <x:c r="N547" s="11" t="str">
        <x:v>上游原断言</x:v>
      </x:c>
    </x:row>
    <x:row r="548" ht="74" customHeight="1">
      <x:c r="A548" s="10" t="str">
        <x:v>SUBSET-20261015-local-wb</x:v>
      </x:c>
      <x:c r="B548" s="10" t="str">
        <x:v>JFS-PY-08</x:v>
      </x:c>
      <x:c r="C548" s="10" t="str">
        <x:v>test_special_characters</x:v>
      </x:c>
      <x:c r="D548" s="10" t="str">
        <x:v>Python</x:v>
      </x:c>
      <x:c r="E548" s="10" t="str">
        <x:v>local</x:v>
      </x:c>
      <x:c r="F548" s="10" t="str">
        <x:v>后台</x:v>
      </x:c>
      <x:c r="G548" s="19" t="d">
        <x:v>2026-10-15T00:00:00.000Z</x:v>
      </x:c>
      <x:c r="H548" s="10" t="str">
        <x:v>已通过</x:v>
      </x:c>
      <x:c r="I548" s="21"/>
      <x:c r="J548" s="10" t="str">
        <x:v>JuiceFS 1.3.0+30190ca / WinFsp 2.1.25156；测试工具 S01–S04</x:v>
      </x:c>
      <x:c r="K548" s="10" t="str">
        <x:v>JuiceFS Windows CI 子集；attr-cache=0；云端 get-timeout=5m</x:v>
      </x:c>
      <x:c r="L548" s="10" t="str">
        <x:v>e920ead94a8e28f04e326664178b0c9f02d492b1 + productChanges / plansSha256 见 E01</x:v>
      </x:c>
      <x:c r="M548" s="10" t="str">
        <x:v>E01 / juicefs-upstream-run-75InRg</x:v>
      </x:c>
      <x:c r="N548" s="10" t="str">
        <x:v>上游原断言</x:v>
      </x:c>
    </x:row>
    <x:row r="549" ht="74" customHeight="1">
      <x:c r="A549" s="11" t="str">
        <x:v>SUBSET-20261015-local-wb</x:v>
      </x:c>
      <x:c r="B549" s="11" t="str">
        <x:v>JFS-PY-09</x:v>
      </x:c>
      <x:c r="C549" s="11" t="str">
        <x:v>test_symlinks</x:v>
      </x:c>
      <x:c r="D549" s="11" t="str">
        <x:v>Python</x:v>
      </x:c>
      <x:c r="E549" s="11" t="str">
        <x:v>local</x:v>
      </x:c>
      <x:c r="F549" s="11" t="str">
        <x:v>后台</x:v>
      </x:c>
      <x:c r="G549" s="20" t="d">
        <x:v>2026-10-15T00:00:00.000Z</x:v>
      </x:c>
      <x:c r="H549" s="11" t="str">
        <x:v>已跳过</x:v>
      </x:c>
      <x:c r="I549" s="22"/>
      <x:c r="J549" s="11" t="str">
        <x:v>JuiceFS 1.3.0+30190ca / WinFsp 2.1.25156；测试工具 S01–S04</x:v>
      </x:c>
      <x:c r="K549" s="11" t="str">
        <x:v>JuiceFS Windows CI 子集；attr-cache=0；云端 get-timeout=5m</x:v>
      </x:c>
      <x:c r="L549" s="11" t="str">
        <x:v>e920ead94a8e28f04e326664178b0c9f02d492b1 + productChanges / plansSha256 见 E01</x:v>
      </x:c>
      <x:c r="M549" s="11" t="str">
        <x:v>E01 / juicefs-upstream-run-75InRg</x:v>
      </x:c>
      <x:c r="N549" s="11" t="str">
        <x:v>Windows Do not support</x:v>
      </x:c>
    </x:row>
    <x:row r="550" ht="74" customHeight="1">
      <x:c r="A550" s="10" t="str">
        <x:v>SUBSET-20261015-local-wb</x:v>
      </x:c>
      <x:c r="B550" s="10" t="str">
        <x:v>WFP-01</x:v>
      </x:c>
      <x:c r="C550" s="10" t="str">
        <x:v>create_test</x:v>
      </x:c>
      <x:c r="D550" s="10" t="str">
        <x:v>WinFsp fork 默认子集</x:v>
      </x:c>
      <x:c r="E550" s="10" t="str">
        <x:v>local</x:v>
      </x:c>
      <x:c r="F550" s="10" t="str">
        <x:v>后台</x:v>
      </x:c>
      <x:c r="G550" s="19" t="d">
        <x:v>2026-10-15T00:00:00.000Z</x:v>
      </x:c>
      <x:c r="H550" s="10" t="str">
        <x:v>已通过</x:v>
      </x:c>
      <x:c r="I550" s="21" t="n">
        <x:v>0.486</x:v>
      </x:c>
      <x:c r="J550" s="10" t="str">
        <x:v>JuiceFS 1.3.0+30190ca / WinFsp 2.1.25156；测试工具 S01–S04</x:v>
      </x:c>
      <x:c r="K550" s="10" t="str">
        <x:v>JuiceFS Windows CI 子集；attr-cache=0；云端 get-timeout=5m</x:v>
      </x:c>
      <x:c r="L550" s="10" t="str">
        <x:v>e920ead94a8e28f04e326664178b0c9f02d492b1 + productChanges / plansSha256 见 E01</x:v>
      </x:c>
      <x:c r="M550" s="10" t="str">
        <x:v>E01 / juicefs-upstream-run-75InRg</x:v>
      </x:c>
      <x:c r="N550" s="10" t="str">
        <x:v>--fuse-external --resilient --case-insensitive-cmp</x:v>
      </x:c>
    </x:row>
    <x:row r="551" ht="74" customHeight="1">
      <x:c r="A551" s="11" t="str">
        <x:v>SUBSET-20261015-local-wb</x:v>
      </x:c>
      <x:c r="B551" s="11" t="str">
        <x:v>WFP-02</x:v>
      </x:c>
      <x:c r="C551" s="11" t="str">
        <x:v>create_fileattr_test</x:v>
      </x:c>
      <x:c r="D551" s="11" t="str">
        <x:v>WinFsp fork 默认子集</x:v>
      </x:c>
      <x:c r="E551" s="11" t="str">
        <x:v>local</x:v>
      </x:c>
      <x:c r="F551" s="11" t="str">
        <x:v>后台</x:v>
      </x:c>
      <x:c r="G551" s="20" t="d">
        <x:v>2026-10-15T00:00:00.000Z</x:v>
      </x:c>
      <x:c r="H551" s="11" t="str">
        <x:v>已通过</x:v>
      </x:c>
      <x:c r="I551" s="22" t="n">
        <x:v>0.411</x:v>
      </x:c>
      <x:c r="J551" s="11" t="str">
        <x:v>JuiceFS 1.3.0+30190ca / WinFsp 2.1.25156；测试工具 S01–S04</x:v>
      </x:c>
      <x:c r="K551" s="11" t="str">
        <x:v>JuiceFS Windows CI 子集；attr-cache=0；云端 get-timeout=5m</x:v>
      </x:c>
      <x:c r="L551" s="11" t="str">
        <x:v>e920ead94a8e28f04e326664178b0c9f02d492b1 + productChanges / plansSha256 见 E01</x:v>
      </x:c>
      <x:c r="M551" s="11" t="str">
        <x:v>E01 / juicefs-upstream-run-75InRg</x:v>
      </x:c>
      <x:c r="N551" s="11" t="str">
        <x:v>--fuse-external --resilient --case-insensitive-cmp</x:v>
      </x:c>
    </x:row>
    <x:row r="552" ht="74" customHeight="1">
      <x:c r="A552" s="10" t="str">
        <x:v>SUBSET-20261015-local-wb</x:v>
      </x:c>
      <x:c r="B552" s="10" t="str">
        <x:v>WFP-03</x:v>
      </x:c>
      <x:c r="C552" s="10" t="str">
        <x:v>create_readonlydir_test</x:v>
      </x:c>
      <x:c r="D552" s="10" t="str">
        <x:v>WinFsp fork 默认子集</x:v>
      </x:c>
      <x:c r="E552" s="10" t="str">
        <x:v>local</x:v>
      </x:c>
      <x:c r="F552" s="10" t="str">
        <x:v>后台</x:v>
      </x:c>
      <x:c r="G552" s="19" t="d">
        <x:v>2026-10-15T00:00:00.000Z</x:v>
      </x:c>
      <x:c r="H552" s="10" t="str">
        <x:v>已通过</x:v>
      </x:c>
      <x:c r="I552" s="21" t="n">
        <x:v>0.57</x:v>
      </x:c>
      <x:c r="J552" s="10" t="str">
        <x:v>JuiceFS 1.3.0+30190ca / WinFsp 2.1.25156；测试工具 S01–S04</x:v>
      </x:c>
      <x:c r="K552" s="10" t="str">
        <x:v>JuiceFS Windows CI 子集；attr-cache=0；云端 get-timeout=5m</x:v>
      </x:c>
      <x:c r="L552" s="10" t="str">
        <x:v>e920ead94a8e28f04e326664178b0c9f02d492b1 + productChanges / plansSha256 见 E01</x:v>
      </x:c>
      <x:c r="M552" s="10" t="str">
        <x:v>E01 / juicefs-upstream-run-75InRg</x:v>
      </x:c>
      <x:c r="N552" s="10" t="str">
        <x:v>--fuse-external --resilient --case-insensitive-cmp</x:v>
      </x:c>
    </x:row>
    <x:row r="553" ht="74" customHeight="1">
      <x:c r="A553" s="11" t="str">
        <x:v>SUBSET-20261015-local-wb</x:v>
      </x:c>
      <x:c r="B553" s="11" t="str">
        <x:v>WFP-04</x:v>
      </x:c>
      <x:c r="C553" s="11" t="str">
        <x:v>create_related_test</x:v>
      </x:c>
      <x:c r="D553" s="11" t="str">
        <x:v>WinFsp fork 默认子集</x:v>
      </x:c>
      <x:c r="E553" s="11" t="str">
        <x:v>local</x:v>
      </x:c>
      <x:c r="F553" s="11" t="str">
        <x:v>后台</x:v>
      </x:c>
      <x:c r="G553" s="20" t="d">
        <x:v>2026-10-15T00:00:00.000Z</x:v>
      </x:c>
      <x:c r="H553" s="11" t="str">
        <x:v>已通过</x:v>
      </x:c>
      <x:c r="I553" s="22" t="n">
        <x:v>0.382</x:v>
      </x:c>
      <x:c r="J553" s="11" t="str">
        <x:v>JuiceFS 1.3.0+30190ca / WinFsp 2.1.25156；测试工具 S01–S04</x:v>
      </x:c>
      <x:c r="K553" s="11" t="str">
        <x:v>JuiceFS Windows CI 子集；attr-cache=0；云端 get-timeout=5m</x:v>
      </x:c>
      <x:c r="L553" s="11" t="str">
        <x:v>e920ead94a8e28f04e326664178b0c9f02d492b1 + productChanges / plansSha256 见 E01</x:v>
      </x:c>
      <x:c r="M553" s="11" t="str">
        <x:v>E01 / juicefs-upstream-run-75InRg</x:v>
      </x:c>
      <x:c r="N553" s="11" t="str">
        <x:v>--fuse-external --resilient --case-insensitive-cmp</x:v>
      </x:c>
    </x:row>
    <x:row r="554" ht="74" customHeight="1">
      <x:c r="A554" s="10" t="str">
        <x:v>SUBSET-20261015-local-wb</x:v>
      </x:c>
      <x:c r="B554" s="10" t="str">
        <x:v>WFP-05</x:v>
      </x:c>
      <x:c r="C554" s="10" t="str">
        <x:v>create_sd_test</x:v>
      </x:c>
      <x:c r="D554" s="10" t="str">
        <x:v>WinFsp fork 默认子集</x:v>
      </x:c>
      <x:c r="E554" s="10" t="str">
        <x:v>local</x:v>
      </x:c>
      <x:c r="F554" s="10" t="str">
        <x:v>后台</x:v>
      </x:c>
      <x:c r="G554" s="19" t="d">
        <x:v>2026-10-15T00:00:00.000Z</x:v>
      </x:c>
      <x:c r="H554" s="10" t="str">
        <x:v>已通过</x:v>
      </x:c>
      <x:c r="I554" s="21" t="n">
        <x:v>0.724</x:v>
      </x:c>
      <x:c r="J554" s="10" t="str">
        <x:v>JuiceFS 1.3.0+30190ca / WinFsp 2.1.25156；测试工具 S01–S04</x:v>
      </x:c>
      <x:c r="K554" s="10" t="str">
        <x:v>JuiceFS Windows CI 子集；attr-cache=0；云端 get-timeout=5m</x:v>
      </x:c>
      <x:c r="L554" s="10" t="str">
        <x:v>e920ead94a8e28f04e326664178b0c9f02d492b1 + productChanges / plansSha256 见 E01</x:v>
      </x:c>
      <x:c r="M554" s="10" t="str">
        <x:v>E01 / juicefs-upstream-run-75InRg</x:v>
      </x:c>
      <x:c r="N554" s="10" t="str">
        <x:v>--fuse-external --resilient --case-insensitive-cmp</x:v>
      </x:c>
    </x:row>
    <x:row r="555" ht="74" customHeight="1">
      <x:c r="A555" s="11" t="str">
        <x:v>SUBSET-20261015-local-wb</x:v>
      </x:c>
      <x:c r="B555" s="11" t="str">
        <x:v>WFP-06</x:v>
      </x:c>
      <x:c r="C555" s="11" t="str">
        <x:v>create_share_test</x:v>
      </x:c>
      <x:c r="D555" s="11" t="str">
        <x:v>WinFsp fork 默认子集</x:v>
      </x:c>
      <x:c r="E555" s="11" t="str">
        <x:v>local</x:v>
      </x:c>
      <x:c r="F555" s="11" t="str">
        <x:v>后台</x:v>
      </x:c>
      <x:c r="G555" s="20" t="d">
        <x:v>2026-10-15T00:00:00.000Z</x:v>
      </x:c>
      <x:c r="H555" s="11" t="str">
        <x:v>已通过</x:v>
      </x:c>
      <x:c r="I555" s="22" t="n">
        <x:v>0.907</x:v>
      </x:c>
      <x:c r="J555" s="11" t="str">
        <x:v>JuiceFS 1.3.0+30190ca / WinFsp 2.1.25156；测试工具 S01–S04</x:v>
      </x:c>
      <x:c r="K555" s="11" t="str">
        <x:v>JuiceFS Windows CI 子集；attr-cache=0；云端 get-timeout=5m</x:v>
      </x:c>
      <x:c r="L555" s="11" t="str">
        <x:v>e920ead94a8e28f04e326664178b0c9f02d492b1 + productChanges / plansSha256 见 E01</x:v>
      </x:c>
      <x:c r="M555" s="11" t="str">
        <x:v>E01 / juicefs-upstream-run-75InRg</x:v>
      </x:c>
      <x:c r="N555" s="11" t="str">
        <x:v>--fuse-external --resilient --case-insensitive-cmp</x:v>
      </x:c>
    </x:row>
    <x:row r="556" ht="74" customHeight="1">
      <x:c r="A556" s="10" t="str">
        <x:v>SUBSET-20261015-local-wb</x:v>
      </x:c>
      <x:c r="B556" s="10" t="str">
        <x:v>WFP-07</x:v>
      </x:c>
      <x:c r="C556" s="10" t="str">
        <x:v>create_curdir_test</x:v>
      </x:c>
      <x:c r="D556" s="10" t="str">
        <x:v>WinFsp fork 默认子集</x:v>
      </x:c>
      <x:c r="E556" s="10" t="str">
        <x:v>local</x:v>
      </x:c>
      <x:c r="F556" s="10" t="str">
        <x:v>后台</x:v>
      </x:c>
      <x:c r="G556" s="19" t="d">
        <x:v>2026-10-15T00:00:00.000Z</x:v>
      </x:c>
      <x:c r="H556" s="10" t="str">
        <x:v>已通过</x:v>
      </x:c>
      <x:c r="I556" s="21" t="n">
        <x:v>0.439</x:v>
      </x:c>
      <x:c r="J556" s="10" t="str">
        <x:v>JuiceFS 1.3.0+30190ca / WinFsp 2.1.25156；测试工具 S01–S04</x:v>
      </x:c>
      <x:c r="K556" s="10" t="str">
        <x:v>JuiceFS Windows CI 子集；attr-cache=0；云端 get-timeout=5m</x:v>
      </x:c>
      <x:c r="L556" s="10" t="str">
        <x:v>e920ead94a8e28f04e326664178b0c9f02d492b1 + productChanges / plansSha256 见 E01</x:v>
      </x:c>
      <x:c r="M556" s="10" t="str">
        <x:v>E01 / juicefs-upstream-run-75InRg</x:v>
      </x:c>
      <x:c r="N556" s="10" t="str">
        <x:v>--fuse-external --resilient --case-insensitive-cmp</x:v>
      </x:c>
    </x:row>
    <x:row r="557" ht="74" customHeight="1">
      <x:c r="A557" s="11" t="str">
        <x:v>SUBSET-20261015-local-wb</x:v>
      </x:c>
      <x:c r="B557" s="11" t="str">
        <x:v>WFP-08</x:v>
      </x:c>
      <x:c r="C557" s="11" t="str">
        <x:v>getfileinfo_test</x:v>
      </x:c>
      <x:c r="D557" s="11" t="str">
        <x:v>WinFsp fork 默认子集</x:v>
      </x:c>
      <x:c r="E557" s="11" t="str">
        <x:v>local</x:v>
      </x:c>
      <x:c r="F557" s="11" t="str">
        <x:v>后台</x:v>
      </x:c>
      <x:c r="G557" s="20" t="d">
        <x:v>2026-10-15T00:00:00.000Z</x:v>
      </x:c>
      <x:c r="H557" s="11" t="str">
        <x:v>已通过</x:v>
      </x:c>
      <x:c r="I557" s="22" t="n">
        <x:v>0.539</x:v>
      </x:c>
      <x:c r="J557" s="11" t="str">
        <x:v>JuiceFS 1.3.0+30190ca / WinFsp 2.1.25156；测试工具 S01–S04</x:v>
      </x:c>
      <x:c r="K557" s="11" t="str">
        <x:v>JuiceFS Windows CI 子集；attr-cache=0；云端 get-timeout=5m</x:v>
      </x:c>
      <x:c r="L557" s="11" t="str">
        <x:v>e920ead94a8e28f04e326664178b0c9f02d492b1 + productChanges / plansSha256 见 E01</x:v>
      </x:c>
      <x:c r="M557" s="11" t="str">
        <x:v>E01 / juicefs-upstream-run-75InRg</x:v>
      </x:c>
      <x:c r="N557" s="11" t="str">
        <x:v>--fuse-external --resilient --case-insensitive-cmp</x:v>
      </x:c>
    </x:row>
    <x:row r="558" ht="74" customHeight="1">
      <x:c r="A558" s="10" t="str">
        <x:v>SUBSET-20261015-local-wb</x:v>
      </x:c>
      <x:c r="B558" s="10" t="str">
        <x:v>WFP-09</x:v>
      </x:c>
      <x:c r="C558" s="10" t="str">
        <x:v>setfileinfo_test</x:v>
      </x:c>
      <x:c r="D558" s="10" t="str">
        <x:v>WinFsp fork 默认子集</x:v>
      </x:c>
      <x:c r="E558" s="10" t="str">
        <x:v>local</x:v>
      </x:c>
      <x:c r="F558" s="10" t="str">
        <x:v>后台</x:v>
      </x:c>
      <x:c r="G558" s="19" t="d">
        <x:v>2026-10-15T00:00:00.000Z</x:v>
      </x:c>
      <x:c r="H558" s="10" t="str">
        <x:v>已通过</x:v>
      </x:c>
      <x:c r="I558" s="21" t="n">
        <x:v>0.399</x:v>
      </x:c>
      <x:c r="J558" s="10" t="str">
        <x:v>JuiceFS 1.3.0+30190ca / WinFsp 2.1.25156；测试工具 S01–S04</x:v>
      </x:c>
      <x:c r="K558" s="10" t="str">
        <x:v>JuiceFS Windows CI 子集；attr-cache=0；云端 get-timeout=5m</x:v>
      </x:c>
      <x:c r="L558" s="10" t="str">
        <x:v>e920ead94a8e28f04e326664178b0c9f02d492b1 + productChanges / plansSha256 见 E01</x:v>
      </x:c>
      <x:c r="M558" s="10" t="str">
        <x:v>E01 / juicefs-upstream-run-75InRg</x:v>
      </x:c>
      <x:c r="N558" s="10" t="str">
        <x:v>--fuse-external --resilient --case-insensitive-cmp</x:v>
      </x:c>
    </x:row>
    <x:row r="559" ht="74" customHeight="1">
      <x:c r="A559" s="11" t="str">
        <x:v>SUBSET-20261015-local-wb</x:v>
      </x:c>
      <x:c r="B559" s="11" t="str">
        <x:v>WFP-10</x:v>
      </x:c>
      <x:c r="C559" s="11" t="str">
        <x:v>delete_test</x:v>
      </x:c>
      <x:c r="D559" s="11" t="str">
        <x:v>WinFsp fork 默认子集</x:v>
      </x:c>
      <x:c r="E559" s="11" t="str">
        <x:v>local</x:v>
      </x:c>
      <x:c r="F559" s="11" t="str">
        <x:v>后台</x:v>
      </x:c>
      <x:c r="G559" s="20" t="d">
        <x:v>2026-10-15T00:00:00.000Z</x:v>
      </x:c>
      <x:c r="H559" s="11" t="str">
        <x:v>已通过</x:v>
      </x:c>
      <x:c r="I559" s="22" t="n">
        <x:v>0.604</x:v>
      </x:c>
      <x:c r="J559" s="11" t="str">
        <x:v>JuiceFS 1.3.0+30190ca / WinFsp 2.1.25156；测试工具 S01–S04</x:v>
      </x:c>
      <x:c r="K559" s="11" t="str">
        <x:v>JuiceFS Windows CI 子集；attr-cache=0；云端 get-timeout=5m</x:v>
      </x:c>
      <x:c r="L559" s="11" t="str">
        <x:v>e920ead94a8e28f04e326664178b0c9f02d492b1 + productChanges / plansSha256 见 E01</x:v>
      </x:c>
      <x:c r="M559" s="11" t="str">
        <x:v>E01 / juicefs-upstream-run-75InRg</x:v>
      </x:c>
      <x:c r="N559" s="11" t="str">
        <x:v>--fuse-external --resilient --case-insensitive-cmp</x:v>
      </x:c>
    </x:row>
    <x:row r="560" ht="74" customHeight="1">
      <x:c r="A560" s="10" t="str">
        <x:v>SUBSET-20261015-local-wb</x:v>
      </x:c>
      <x:c r="B560" s="10" t="str">
        <x:v>WFP-11</x:v>
      </x:c>
      <x:c r="C560" s="10" t="str">
        <x:v>delete_access_test</x:v>
      </x:c>
      <x:c r="D560" s="10" t="str">
        <x:v>WinFsp fork 默认子集</x:v>
      </x:c>
      <x:c r="E560" s="10" t="str">
        <x:v>local</x:v>
      </x:c>
      <x:c r="F560" s="10" t="str">
        <x:v>后台</x:v>
      </x:c>
      <x:c r="G560" s="19" t="d">
        <x:v>2026-10-15T00:00:00.000Z</x:v>
      </x:c>
      <x:c r="H560" s="10" t="str">
        <x:v>已通过</x:v>
      </x:c>
      <x:c r="I560" s="21" t="n">
        <x:v>0.358</x:v>
      </x:c>
      <x:c r="J560" s="10" t="str">
        <x:v>JuiceFS 1.3.0+30190ca / WinFsp 2.1.25156；测试工具 S01–S04</x:v>
      </x:c>
      <x:c r="K560" s="10" t="str">
        <x:v>JuiceFS Windows CI 子集；attr-cache=0；云端 get-timeout=5m</x:v>
      </x:c>
      <x:c r="L560" s="10" t="str">
        <x:v>e920ead94a8e28f04e326664178b0c9f02d492b1 + productChanges / plansSha256 见 E01</x:v>
      </x:c>
      <x:c r="M560" s="10" t="str">
        <x:v>E01 / juicefs-upstream-run-75InRg</x:v>
      </x:c>
      <x:c r="N560" s="10" t="str">
        <x:v>--fuse-external --resilient --case-insensitive-cmp</x:v>
      </x:c>
    </x:row>
    <x:row r="561" ht="74" customHeight="1">
      <x:c r="A561" s="11" t="str">
        <x:v>SUBSET-20261015-local-wb</x:v>
      </x:c>
      <x:c r="B561" s="11" t="str">
        <x:v>WFP-12</x:v>
      </x:c>
      <x:c r="C561" s="11" t="str">
        <x:v>delete_pending_test</x:v>
      </x:c>
      <x:c r="D561" s="11" t="str">
        <x:v>WinFsp fork 默认子集</x:v>
      </x:c>
      <x:c r="E561" s="11" t="str">
        <x:v>local</x:v>
      </x:c>
      <x:c r="F561" s="11" t="str">
        <x:v>后台</x:v>
      </x:c>
      <x:c r="G561" s="20" t="d">
        <x:v>2026-10-15T00:00:00.000Z</x:v>
      </x:c>
      <x:c r="H561" s="11" t="str">
        <x:v>已通过</x:v>
      </x:c>
      <x:c r="I561" s="22" t="n">
        <x:v>0.582</x:v>
      </x:c>
      <x:c r="J561" s="11" t="str">
        <x:v>JuiceFS 1.3.0+30190ca / WinFsp 2.1.25156；测试工具 S01–S04</x:v>
      </x:c>
      <x:c r="K561" s="11" t="str">
        <x:v>JuiceFS Windows CI 子集；attr-cache=0；云端 get-timeout=5m</x:v>
      </x:c>
      <x:c r="L561" s="11" t="str">
        <x:v>e920ead94a8e28f04e326664178b0c9f02d492b1 + productChanges / plansSha256 见 E01</x:v>
      </x:c>
      <x:c r="M561" s="11" t="str">
        <x:v>E01 / juicefs-upstream-run-75InRg</x:v>
      </x:c>
      <x:c r="N561" s="11" t="str">
        <x:v>--fuse-external --resilient --case-insensitive-cmp</x:v>
      </x:c>
    </x:row>
    <x:row r="562" ht="74" customHeight="1">
      <x:c r="A562" s="10" t="str">
        <x:v>SUBSET-20261015-local-wb</x:v>
      </x:c>
      <x:c r="B562" s="10" t="str">
        <x:v>WFP-13</x:v>
      </x:c>
      <x:c r="C562" s="10" t="str">
        <x:v>delete_mmap_test</x:v>
      </x:c>
      <x:c r="D562" s="10" t="str">
        <x:v>WinFsp fork 默认子集</x:v>
      </x:c>
      <x:c r="E562" s="10" t="str">
        <x:v>local</x:v>
      </x:c>
      <x:c r="F562" s="10" t="str">
        <x:v>后台</x:v>
      </x:c>
      <x:c r="G562" s="19" t="d">
        <x:v>2026-10-15T00:00:00.000Z</x:v>
      </x:c>
      <x:c r="H562" s="10" t="str">
        <x:v>已通过</x:v>
      </x:c>
      <x:c r="I562" s="21" t="n">
        <x:v>0.589</x:v>
      </x:c>
      <x:c r="J562" s="10" t="str">
        <x:v>JuiceFS 1.3.0+30190ca / WinFsp 2.1.25156；测试工具 S01–S04</x:v>
      </x:c>
      <x:c r="K562" s="10" t="str">
        <x:v>JuiceFS Windows CI 子集；attr-cache=0；云端 get-timeout=5m</x:v>
      </x:c>
      <x:c r="L562" s="10" t="str">
        <x:v>e920ead94a8e28f04e326664178b0c9f02d492b1 + productChanges / plansSha256 见 E01</x:v>
      </x:c>
      <x:c r="M562" s="10" t="str">
        <x:v>E01 / juicefs-upstream-run-75InRg</x:v>
      </x:c>
      <x:c r="N562" s="10" t="str">
        <x:v>--fuse-external --resilient --case-insensitive-cmp</x:v>
      </x:c>
    </x:row>
    <x:row r="563" ht="74" customHeight="1">
      <x:c r="A563" s="11" t="str">
        <x:v>SUBSET-20261015-local-wb</x:v>
      </x:c>
      <x:c r="B563" s="11" t="str">
        <x:v>WFP-14</x:v>
      </x:c>
      <x:c r="C563" s="11" t="str">
        <x:v>delete_standby_test</x:v>
      </x:c>
      <x:c r="D563" s="11" t="str">
        <x:v>WinFsp fork 默认子集</x:v>
      </x:c>
      <x:c r="E563" s="11" t="str">
        <x:v>local</x:v>
      </x:c>
      <x:c r="F563" s="11" t="str">
        <x:v>后台</x:v>
      </x:c>
      <x:c r="G563" s="20" t="d">
        <x:v>2026-10-15T00:00:00.000Z</x:v>
      </x:c>
      <x:c r="H563" s="11" t="str">
        <x:v>已通过</x:v>
      </x:c>
      <x:c r="I563" s="22" t="n">
        <x:v>0.483</x:v>
      </x:c>
      <x:c r="J563" s="11" t="str">
        <x:v>JuiceFS 1.3.0+30190ca / WinFsp 2.1.25156；测试工具 S01–S04</x:v>
      </x:c>
      <x:c r="K563" s="11" t="str">
        <x:v>JuiceFS Windows CI 子集；attr-cache=0；云端 get-timeout=5m</x:v>
      </x:c>
      <x:c r="L563" s="11" t="str">
        <x:v>e920ead94a8e28f04e326664178b0c9f02d492b1 + productChanges / plansSha256 见 E01</x:v>
      </x:c>
      <x:c r="M563" s="11" t="str">
        <x:v>E01 / juicefs-upstream-run-75InRg</x:v>
      </x:c>
      <x:c r="N563" s="11" t="str">
        <x:v>--fuse-external --resilient --case-insensitive-cmp</x:v>
      </x:c>
    </x:row>
    <x:row r="564" ht="74" customHeight="1">
      <x:c r="A564" s="10" t="str">
        <x:v>SUBSET-20261015-local-wb</x:v>
      </x:c>
      <x:c r="B564" s="10" t="str">
        <x:v>WFP-15</x:v>
      </x:c>
      <x:c r="C564" s="10" t="str">
        <x:v>delete_ex_test</x:v>
      </x:c>
      <x:c r="D564" s="10" t="str">
        <x:v>WinFsp fork 默认子集</x:v>
      </x:c>
      <x:c r="E564" s="10" t="str">
        <x:v>local</x:v>
      </x:c>
      <x:c r="F564" s="10" t="str">
        <x:v>后台</x:v>
      </x:c>
      <x:c r="G564" s="19" t="d">
        <x:v>2026-10-15T00:00:00.000Z</x:v>
      </x:c>
      <x:c r="H564" s="10" t="str">
        <x:v>已通过</x:v>
      </x:c>
      <x:c r="I564" s="21" t="n">
        <x:v>0.47</x:v>
      </x:c>
      <x:c r="J564" s="10" t="str">
        <x:v>JuiceFS 1.3.0+30190ca / WinFsp 2.1.25156；测试工具 S01–S04</x:v>
      </x:c>
      <x:c r="K564" s="10" t="str">
        <x:v>JuiceFS Windows CI 子集；attr-cache=0；云端 get-timeout=5m</x:v>
      </x:c>
      <x:c r="L564" s="10" t="str">
        <x:v>e920ead94a8e28f04e326664178b0c9f02d492b1 + productChanges / plansSha256 见 E01</x:v>
      </x:c>
      <x:c r="M564" s="10" t="str">
        <x:v>E01 / juicefs-upstream-run-75InRg</x:v>
      </x:c>
      <x:c r="N564" s="10" t="str">
        <x:v>--fuse-external --resilient --case-insensitive-cmp</x:v>
      </x:c>
    </x:row>
    <x:row r="565" ht="74" customHeight="1">
      <x:c r="A565" s="11" t="str">
        <x:v>SUBSET-20261015-local-wb</x:v>
      </x:c>
      <x:c r="B565" s="11" t="str">
        <x:v>WFP-16</x:v>
      </x:c>
      <x:c r="C565" s="11" t="str">
        <x:v>rename_test</x:v>
      </x:c>
      <x:c r="D565" s="11" t="str">
        <x:v>WinFsp fork 默认子集</x:v>
      </x:c>
      <x:c r="E565" s="11" t="str">
        <x:v>local</x:v>
      </x:c>
      <x:c r="F565" s="11" t="str">
        <x:v>后台</x:v>
      </x:c>
      <x:c r="G565" s="20" t="d">
        <x:v>2026-10-15T00:00:00.000Z</x:v>
      </x:c>
      <x:c r="H565" s="11" t="str">
        <x:v>已通过</x:v>
      </x:c>
      <x:c r="I565" s="22" t="n">
        <x:v>0.663</x:v>
      </x:c>
      <x:c r="J565" s="11" t="str">
        <x:v>JuiceFS 1.3.0+30190ca / WinFsp 2.1.25156；测试工具 S01–S04</x:v>
      </x:c>
      <x:c r="K565" s="11" t="str">
        <x:v>JuiceFS Windows CI 子集；attr-cache=0；云端 get-timeout=5m</x:v>
      </x:c>
      <x:c r="L565" s="11" t="str">
        <x:v>e920ead94a8e28f04e326664178b0c9f02d492b1 + productChanges / plansSha256 见 E01</x:v>
      </x:c>
      <x:c r="M565" s="11" t="str">
        <x:v>E01 / juicefs-upstream-run-75InRg</x:v>
      </x:c>
      <x:c r="N565" s="11" t="str">
        <x:v>--fuse-external --resilient --case-insensitive-cmp</x:v>
      </x:c>
    </x:row>
    <x:row r="566" ht="74" customHeight="1">
      <x:c r="A566" s="10" t="str">
        <x:v>SUBSET-20261015-local-wb</x:v>
      </x:c>
      <x:c r="B566" s="10" t="str">
        <x:v>WFP-17</x:v>
      </x:c>
      <x:c r="C566" s="10" t="str">
        <x:v>rename_backslash_test</x:v>
      </x:c>
      <x:c r="D566" s="10" t="str">
        <x:v>WinFsp fork 默认子集</x:v>
      </x:c>
      <x:c r="E566" s="10" t="str">
        <x:v>local</x:v>
      </x:c>
      <x:c r="F566" s="10" t="str">
        <x:v>后台</x:v>
      </x:c>
      <x:c r="G566" s="19" t="d">
        <x:v>2026-10-15T00:00:00.000Z</x:v>
      </x:c>
      <x:c r="H566" s="10" t="str">
        <x:v>已通过</x:v>
      </x:c>
      <x:c r="I566" s="21" t="n">
        <x:v>0.444</x:v>
      </x:c>
      <x:c r="J566" s="10" t="str">
        <x:v>JuiceFS 1.3.0+30190ca / WinFsp 2.1.25156；测试工具 S01–S04</x:v>
      </x:c>
      <x:c r="K566" s="10" t="str">
        <x:v>JuiceFS Windows CI 子集；attr-cache=0；云端 get-timeout=5m</x:v>
      </x:c>
      <x:c r="L566" s="10" t="str">
        <x:v>e920ead94a8e28f04e326664178b0c9f02d492b1 + productChanges / plansSha256 见 E01</x:v>
      </x:c>
      <x:c r="M566" s="10" t="str">
        <x:v>E01 / juicefs-upstream-run-75InRg</x:v>
      </x:c>
      <x:c r="N566" s="10" t="str">
        <x:v>--fuse-external --resilient --case-insensitive-cmp</x:v>
      </x:c>
    </x:row>
    <x:row r="567" ht="74" customHeight="1">
      <x:c r="A567" s="11" t="str">
        <x:v>SUBSET-20261015-local-wb</x:v>
      </x:c>
      <x:c r="B567" s="11" t="str">
        <x:v>WFP-18</x:v>
      </x:c>
      <x:c r="C567" s="11" t="str">
        <x:v>rename_open_test</x:v>
      </x:c>
      <x:c r="D567" s="11" t="str">
        <x:v>WinFsp fork 默认子集</x:v>
      </x:c>
      <x:c r="E567" s="11" t="str">
        <x:v>local</x:v>
      </x:c>
      <x:c r="F567" s="11" t="str">
        <x:v>后台</x:v>
      </x:c>
      <x:c r="G567" s="20" t="d">
        <x:v>2026-10-15T00:00:00.000Z</x:v>
      </x:c>
      <x:c r="H567" s="11" t="str">
        <x:v>已通过</x:v>
      </x:c>
      <x:c r="I567" s="22" t="n">
        <x:v>0.41</x:v>
      </x:c>
      <x:c r="J567" s="11" t="str">
        <x:v>JuiceFS 1.3.0+30190ca / WinFsp 2.1.25156；测试工具 S01–S04</x:v>
      </x:c>
      <x:c r="K567" s="11" t="str">
        <x:v>JuiceFS Windows CI 子集；attr-cache=0；云端 get-timeout=5m</x:v>
      </x:c>
      <x:c r="L567" s="11" t="str">
        <x:v>e920ead94a8e28f04e326664178b0c9f02d492b1 + productChanges / plansSha256 见 E01</x:v>
      </x:c>
      <x:c r="M567" s="11" t="str">
        <x:v>E01 / juicefs-upstream-run-75InRg</x:v>
      </x:c>
      <x:c r="N567" s="11" t="str">
        <x:v>--fuse-external --resilient --case-insensitive-cmp</x:v>
      </x:c>
    </x:row>
    <x:row r="568" ht="74" customHeight="1">
      <x:c r="A568" s="10" t="str">
        <x:v>SUBSET-20261015-local-wb</x:v>
      </x:c>
      <x:c r="B568" s="10" t="str">
        <x:v>WFP-19</x:v>
      </x:c>
      <x:c r="C568" s="10" t="str">
        <x:v>rename_caseins_test</x:v>
      </x:c>
      <x:c r="D568" s="10" t="str">
        <x:v>WinFsp fork 默认子集</x:v>
      </x:c>
      <x:c r="E568" s="10" t="str">
        <x:v>local</x:v>
      </x:c>
      <x:c r="F568" s="10" t="str">
        <x:v>后台</x:v>
      </x:c>
      <x:c r="G568" s="19" t="d">
        <x:v>2026-10-15T00:00:00.000Z</x:v>
      </x:c>
      <x:c r="H568" s="10" t="str">
        <x:v>已通过</x:v>
      </x:c>
      <x:c r="I568" s="21" t="n">
        <x:v>0.691</x:v>
      </x:c>
      <x:c r="J568" s="10" t="str">
        <x:v>JuiceFS 1.3.0+30190ca / WinFsp 2.1.25156；测试工具 S01–S04</x:v>
      </x:c>
      <x:c r="K568" s="10" t="str">
        <x:v>JuiceFS Windows CI 子集；attr-cache=0；云端 get-timeout=5m</x:v>
      </x:c>
      <x:c r="L568" s="10" t="str">
        <x:v>e920ead94a8e28f04e326664178b0c9f02d492b1 + productChanges / plansSha256 见 E01</x:v>
      </x:c>
      <x:c r="M568" s="10" t="str">
        <x:v>E01 / juicefs-upstream-run-75InRg</x:v>
      </x:c>
      <x:c r="N568" s="10" t="str">
        <x:v>--fuse-external --resilient --case-insensitive-cmp</x:v>
      </x:c>
    </x:row>
    <x:row r="569" ht="74" customHeight="1">
      <x:c r="A569" s="11" t="str">
        <x:v>SUBSET-20261015-local-wb</x:v>
      </x:c>
      <x:c r="B569" s="11" t="str">
        <x:v>WFP-20</x:v>
      </x:c>
      <x:c r="C569" s="11" t="str">
        <x:v>rename_flipflop_test</x:v>
      </x:c>
      <x:c r="D569" s="11" t="str">
        <x:v>WinFsp fork 默认子集</x:v>
      </x:c>
      <x:c r="E569" s="11" t="str">
        <x:v>local</x:v>
      </x:c>
      <x:c r="F569" s="11" t="str">
        <x:v>后台</x:v>
      </x:c>
      <x:c r="G569" s="20" t="d">
        <x:v>2026-10-15T00:00:00.000Z</x:v>
      </x:c>
      <x:c r="H569" s="11" t="str">
        <x:v>已通过</x:v>
      </x:c>
      <x:c r="I569" s="22" t="n">
        <x:v>0.903</x:v>
      </x:c>
      <x:c r="J569" s="11" t="str">
        <x:v>JuiceFS 1.3.0+30190ca / WinFsp 2.1.25156；测试工具 S01–S04</x:v>
      </x:c>
      <x:c r="K569" s="11" t="str">
        <x:v>JuiceFS Windows CI 子集；attr-cache=0；云端 get-timeout=5m</x:v>
      </x:c>
      <x:c r="L569" s="11" t="str">
        <x:v>e920ead94a8e28f04e326664178b0c9f02d492b1 + productChanges / plansSha256 见 E01</x:v>
      </x:c>
      <x:c r="M569" s="11" t="str">
        <x:v>E01 / juicefs-upstream-run-75InRg</x:v>
      </x:c>
      <x:c r="N569" s="11" t="str">
        <x:v>--fuse-external --resilient --case-insensitive-cmp</x:v>
      </x:c>
    </x:row>
    <x:row r="570" ht="74" customHeight="1">
      <x:c r="A570" s="10" t="str">
        <x:v>SUBSET-20261015-local-wb</x:v>
      </x:c>
      <x:c r="B570" s="10" t="str">
        <x:v>WFP-21</x:v>
      </x:c>
      <x:c r="C570" s="10" t="str">
        <x:v>rename_mmap_test</x:v>
      </x:c>
      <x:c r="D570" s="10" t="str">
        <x:v>WinFsp fork 默认子集</x:v>
      </x:c>
      <x:c r="E570" s="10" t="str">
        <x:v>local</x:v>
      </x:c>
      <x:c r="F570" s="10" t="str">
        <x:v>后台</x:v>
      </x:c>
      <x:c r="G570" s="19" t="d">
        <x:v>2026-10-15T00:00:00.000Z</x:v>
      </x:c>
      <x:c r="H570" s="10" t="str">
        <x:v>已通过</x:v>
      </x:c>
      <x:c r="I570" s="21" t="n">
        <x:v>0.465</x:v>
      </x:c>
      <x:c r="J570" s="10" t="str">
        <x:v>JuiceFS 1.3.0+30190ca / WinFsp 2.1.25156；测试工具 S01–S04</x:v>
      </x:c>
      <x:c r="K570" s="10" t="str">
        <x:v>JuiceFS Windows CI 子集；attr-cache=0；云端 get-timeout=5m</x:v>
      </x:c>
      <x:c r="L570" s="10" t="str">
        <x:v>e920ead94a8e28f04e326664178b0c9f02d492b1 + productChanges / plansSha256 见 E01</x:v>
      </x:c>
      <x:c r="M570" s="10" t="str">
        <x:v>E01 / juicefs-upstream-run-75InRg</x:v>
      </x:c>
      <x:c r="N570" s="10" t="str">
        <x:v>--fuse-external --resilient --case-insensitive-cmp</x:v>
      </x:c>
    </x:row>
    <x:row r="571" ht="74" customHeight="1">
      <x:c r="A571" s="11" t="str">
        <x:v>SUBSET-20261015-local-wb</x:v>
      </x:c>
      <x:c r="B571" s="11" t="str">
        <x:v>WFP-22</x:v>
      </x:c>
      <x:c r="C571" s="11" t="str">
        <x:v>rename_standby_test</x:v>
      </x:c>
      <x:c r="D571" s="11" t="str">
        <x:v>WinFsp fork 默认子集</x:v>
      </x:c>
      <x:c r="E571" s="11" t="str">
        <x:v>local</x:v>
      </x:c>
      <x:c r="F571" s="11" t="str">
        <x:v>后台</x:v>
      </x:c>
      <x:c r="G571" s="20" t="d">
        <x:v>2026-10-15T00:00:00.000Z</x:v>
      </x:c>
      <x:c r="H571" s="11" t="str">
        <x:v>已通过</x:v>
      </x:c>
      <x:c r="I571" s="22" t="n">
        <x:v>0.718</x:v>
      </x:c>
      <x:c r="J571" s="11" t="str">
        <x:v>JuiceFS 1.3.0+30190ca / WinFsp 2.1.25156；测试工具 S01–S04</x:v>
      </x:c>
      <x:c r="K571" s="11" t="str">
        <x:v>JuiceFS Windows CI 子集；attr-cache=0；云端 get-timeout=5m</x:v>
      </x:c>
      <x:c r="L571" s="11" t="str">
        <x:v>e920ead94a8e28f04e326664178b0c9f02d492b1 + productChanges / plansSha256 见 E01</x:v>
      </x:c>
      <x:c r="M571" s="11" t="str">
        <x:v>E01 / juicefs-upstream-run-75InRg</x:v>
      </x:c>
      <x:c r="N571" s="11" t="str">
        <x:v>--fuse-external --resilient --case-insensitive-cmp</x:v>
      </x:c>
    </x:row>
    <x:row r="572" ht="74" customHeight="1">
      <x:c r="A572" s="10" t="str">
        <x:v>SUBSET-20261015-local-wb</x:v>
      </x:c>
      <x:c r="B572" s="10" t="str">
        <x:v>WFP-23</x:v>
      </x:c>
      <x:c r="C572" s="10" t="str">
        <x:v>rename_ex_test</x:v>
      </x:c>
      <x:c r="D572" s="10" t="str">
        <x:v>WinFsp fork 默认子集</x:v>
      </x:c>
      <x:c r="E572" s="10" t="str">
        <x:v>local</x:v>
      </x:c>
      <x:c r="F572" s="10" t="str">
        <x:v>后台</x:v>
      </x:c>
      <x:c r="G572" s="19" t="d">
        <x:v>2026-10-15T00:00:00.000Z</x:v>
      </x:c>
      <x:c r="H572" s="10" t="str">
        <x:v>已通过</x:v>
      </x:c>
      <x:c r="I572" s="21" t="n">
        <x:v>0.481</x:v>
      </x:c>
      <x:c r="J572" s="10" t="str">
        <x:v>JuiceFS 1.3.0+30190ca / WinFsp 2.1.25156；测试工具 S01–S04</x:v>
      </x:c>
      <x:c r="K572" s="10" t="str">
        <x:v>JuiceFS Windows CI 子集；attr-cache=0；云端 get-timeout=5m</x:v>
      </x:c>
      <x:c r="L572" s="10" t="str">
        <x:v>e920ead94a8e28f04e326664178b0c9f02d492b1 + productChanges / plansSha256 见 E01</x:v>
      </x:c>
      <x:c r="M572" s="10" t="str">
        <x:v>E01 / juicefs-upstream-run-75InRg</x:v>
      </x:c>
      <x:c r="N572" s="10" t="str">
        <x:v>--fuse-external --resilient --case-insensitive-cmp</x:v>
      </x:c>
    </x:row>
    <x:row r="573" ht="74" customHeight="1">
      <x:c r="A573" s="11" t="str">
        <x:v>SUBSET-20261015-local-wb</x:v>
      </x:c>
      <x:c r="B573" s="11" t="str">
        <x:v>WFP-24</x:v>
      </x:c>
      <x:c r="C573" s="11" t="str">
        <x:v>getvolinfo_test</x:v>
      </x:c>
      <x:c r="D573" s="11" t="str">
        <x:v>WinFsp fork 默认子集</x:v>
      </x:c>
      <x:c r="E573" s="11" t="str">
        <x:v>local</x:v>
      </x:c>
      <x:c r="F573" s="11" t="str">
        <x:v>后台</x:v>
      </x:c>
      <x:c r="G573" s="20" t="d">
        <x:v>2026-10-15T00:00:00.000Z</x:v>
      </x:c>
      <x:c r="H573" s="11" t="str">
        <x:v>已通过</x:v>
      </x:c>
      <x:c r="I573" s="22" t="n">
        <x:v>0.957</x:v>
      </x:c>
      <x:c r="J573" s="11" t="str">
        <x:v>JuiceFS 1.3.0+30190ca / WinFsp 2.1.25156；测试工具 S01–S04</x:v>
      </x:c>
      <x:c r="K573" s="11" t="str">
        <x:v>JuiceFS Windows CI 子集；attr-cache=0；云端 get-timeout=5m</x:v>
      </x:c>
      <x:c r="L573" s="11" t="str">
        <x:v>e920ead94a8e28f04e326664178b0c9f02d492b1 + productChanges / plansSha256 见 E01</x:v>
      </x:c>
      <x:c r="M573" s="11" t="str">
        <x:v>E01 / juicefs-upstream-run-75InRg</x:v>
      </x:c>
      <x:c r="N573" s="11" t="str">
        <x:v>--fuse-external --resilient --case-insensitive-cmp</x:v>
      </x:c>
    </x:row>
    <x:row r="574" ht="74" customHeight="1">
      <x:c r="A574" s="10" t="str">
        <x:v>SUBSET-20261015-local-wb</x:v>
      </x:c>
      <x:c r="B574" s="10" t="str">
        <x:v>WFP-25</x:v>
      </x:c>
      <x:c r="C574" s="10" t="str">
        <x:v>setvolinfo_test</x:v>
      </x:c>
      <x:c r="D574" s="10" t="str">
        <x:v>WinFsp fork 默认子集</x:v>
      </x:c>
      <x:c r="E574" s="10" t="str">
        <x:v>local</x:v>
      </x:c>
      <x:c r="F574" s="10" t="str">
        <x:v>后台</x:v>
      </x:c>
      <x:c r="G574" s="19" t="d">
        <x:v>2026-10-15T00:00:00.000Z</x:v>
      </x:c>
      <x:c r="H574" s="10" t="str">
        <x:v>已通过</x:v>
      </x:c>
      <x:c r="I574" s="21" t="n">
        <x:v>0.455</x:v>
      </x:c>
      <x:c r="J574" s="10" t="str">
        <x:v>JuiceFS 1.3.0+30190ca / WinFsp 2.1.25156；测试工具 S01–S04</x:v>
      </x:c>
      <x:c r="K574" s="10" t="str">
        <x:v>JuiceFS Windows CI 子集；attr-cache=0；云端 get-timeout=5m</x:v>
      </x:c>
      <x:c r="L574" s="10" t="str">
        <x:v>e920ead94a8e28f04e326664178b0c9f02d492b1 + productChanges / plansSha256 见 E01</x:v>
      </x:c>
      <x:c r="M574" s="10" t="str">
        <x:v>E01 / juicefs-upstream-run-75InRg</x:v>
      </x:c>
      <x:c r="N574" s="10" t="str">
        <x:v>--fuse-external --resilient --case-insensitive-cmp</x:v>
      </x:c>
    </x:row>
    <x:row r="575" ht="74" customHeight="1">
      <x:c r="A575" s="11" t="str">
        <x:v>SUBSET-20261015-local-wb</x:v>
      </x:c>
      <x:c r="B575" s="11" t="str">
        <x:v>WFP-26</x:v>
      </x:c>
      <x:c r="C575" s="11" t="str">
        <x:v>getsecurity_test</x:v>
      </x:c>
      <x:c r="D575" s="11" t="str">
        <x:v>WinFsp fork 默认子集</x:v>
      </x:c>
      <x:c r="E575" s="11" t="str">
        <x:v>local</x:v>
      </x:c>
      <x:c r="F575" s="11" t="str">
        <x:v>后台</x:v>
      </x:c>
      <x:c r="G575" s="20" t="d">
        <x:v>2026-10-15T00:00:00.000Z</x:v>
      </x:c>
      <x:c r="H575" s="11" t="str">
        <x:v>已通过</x:v>
      </x:c>
      <x:c r="I575" s="22" t="n">
        <x:v>0.534</x:v>
      </x:c>
      <x:c r="J575" s="11" t="str">
        <x:v>JuiceFS 1.3.0+30190ca / WinFsp 2.1.25156；测试工具 S01–S04</x:v>
      </x:c>
      <x:c r="K575" s="11" t="str">
        <x:v>JuiceFS Windows CI 子集；attr-cache=0；云端 get-timeout=5m</x:v>
      </x:c>
      <x:c r="L575" s="11" t="str">
        <x:v>e920ead94a8e28f04e326664178b0c9f02d492b1 + productChanges / plansSha256 见 E01</x:v>
      </x:c>
      <x:c r="M575" s="11" t="str">
        <x:v>E01 / juicefs-upstream-run-75InRg</x:v>
      </x:c>
      <x:c r="N575" s="11" t="str">
        <x:v>--fuse-external --resilient --case-insensitive-cmp</x:v>
      </x:c>
    </x:row>
    <x:row r="576" ht="74" customHeight="1">
      <x:c r="A576" s="10" t="str">
        <x:v>SUBSET-20261015-local-wb</x:v>
      </x:c>
      <x:c r="B576" s="10" t="str">
        <x:v>WFP-27</x:v>
      </x:c>
      <x:c r="C576" s="10" t="str">
        <x:v>rdwr_noncached_test</x:v>
      </x:c>
      <x:c r="D576" s="10" t="str">
        <x:v>WinFsp fork 默认子集</x:v>
      </x:c>
      <x:c r="E576" s="10" t="str">
        <x:v>local</x:v>
      </x:c>
      <x:c r="F576" s="10" t="str">
        <x:v>后台</x:v>
      </x:c>
      <x:c r="G576" s="19" t="d">
        <x:v>2026-10-15T00:00:00.000Z</x:v>
      </x:c>
      <x:c r="H576" s="10" t="str">
        <x:v>已通过</x:v>
      </x:c>
      <x:c r="I576" s="21" t="n">
        <x:v>0.556</x:v>
      </x:c>
      <x:c r="J576" s="10" t="str">
        <x:v>JuiceFS 1.3.0+30190ca / WinFsp 2.1.25156；测试工具 S01–S04</x:v>
      </x:c>
      <x:c r="K576" s="10" t="str">
        <x:v>JuiceFS Windows CI 子集；attr-cache=0；云端 get-timeout=5m</x:v>
      </x:c>
      <x:c r="L576" s="10" t="str">
        <x:v>e920ead94a8e28f04e326664178b0c9f02d492b1 + productChanges / plansSha256 见 E01</x:v>
      </x:c>
      <x:c r="M576" s="10" t="str">
        <x:v>E01 / juicefs-upstream-run-75InRg</x:v>
      </x:c>
      <x:c r="N576" s="10" t="str">
        <x:v>--fuse-external --resilient --case-insensitive-cmp</x:v>
      </x:c>
    </x:row>
    <x:row r="577" ht="74" customHeight="1">
      <x:c r="A577" s="11" t="str">
        <x:v>SUBSET-20261015-local-wb</x:v>
      </x:c>
      <x:c r="B577" s="11" t="str">
        <x:v>WFP-28</x:v>
      </x:c>
      <x:c r="C577" s="11" t="str">
        <x:v>rdwr_noncached_overlapped_test</x:v>
      </x:c>
      <x:c r="D577" s="11" t="str">
        <x:v>WinFsp fork 默认子集</x:v>
      </x:c>
      <x:c r="E577" s="11" t="str">
        <x:v>local</x:v>
      </x:c>
      <x:c r="F577" s="11" t="str">
        <x:v>后台</x:v>
      </x:c>
      <x:c r="G577" s="20" t="d">
        <x:v>2026-10-15T00:00:00.000Z</x:v>
      </x:c>
      <x:c r="H577" s="11" t="str">
        <x:v>已通过</x:v>
      </x:c>
      <x:c r="I577" s="22" t="n">
        <x:v>0.385</x:v>
      </x:c>
      <x:c r="J577" s="11" t="str">
        <x:v>JuiceFS 1.3.0+30190ca / WinFsp 2.1.25156；测试工具 S01–S04</x:v>
      </x:c>
      <x:c r="K577" s="11" t="str">
        <x:v>JuiceFS Windows CI 子集；attr-cache=0；云端 get-timeout=5m</x:v>
      </x:c>
      <x:c r="L577" s="11" t="str">
        <x:v>e920ead94a8e28f04e326664178b0c9f02d492b1 + productChanges / plansSha256 见 E01</x:v>
      </x:c>
      <x:c r="M577" s="11" t="str">
        <x:v>E01 / juicefs-upstream-run-75InRg</x:v>
      </x:c>
      <x:c r="N577" s="11" t="str">
        <x:v>--fuse-external --resilient --case-insensitive-cmp</x:v>
      </x:c>
    </x:row>
    <x:row r="578" ht="74" customHeight="1">
      <x:c r="A578" s="10" t="str">
        <x:v>SUBSET-20261015-local-wb</x:v>
      </x:c>
      <x:c r="B578" s="10" t="str">
        <x:v>WFP-29</x:v>
      </x:c>
      <x:c r="C578" s="10" t="str">
        <x:v>rdwr_cached_test</x:v>
      </x:c>
      <x:c r="D578" s="10" t="str">
        <x:v>WinFsp fork 默认子集</x:v>
      </x:c>
      <x:c r="E578" s="10" t="str">
        <x:v>local</x:v>
      </x:c>
      <x:c r="F578" s="10" t="str">
        <x:v>后台</x:v>
      </x:c>
      <x:c r="G578" s="19" t="d">
        <x:v>2026-10-15T00:00:00.000Z</x:v>
      </x:c>
      <x:c r="H578" s="10" t="str">
        <x:v>已通过</x:v>
      </x:c>
      <x:c r="I578" s="21" t="n">
        <x:v>0.609</x:v>
      </x:c>
      <x:c r="J578" s="10" t="str">
        <x:v>JuiceFS 1.3.0+30190ca / WinFsp 2.1.25156；测试工具 S01–S04</x:v>
      </x:c>
      <x:c r="K578" s="10" t="str">
        <x:v>JuiceFS Windows CI 子集；attr-cache=0；云端 get-timeout=5m</x:v>
      </x:c>
      <x:c r="L578" s="10" t="str">
        <x:v>e920ead94a8e28f04e326664178b0c9f02d492b1 + productChanges / plansSha256 见 E01</x:v>
      </x:c>
      <x:c r="M578" s="10" t="str">
        <x:v>E01 / juicefs-upstream-run-75InRg</x:v>
      </x:c>
      <x:c r="N578" s="10" t="str">
        <x:v>--fuse-external --resilient --case-insensitive-cmp</x:v>
      </x:c>
    </x:row>
    <x:row r="579" ht="74" customHeight="1">
      <x:c r="A579" s="11" t="str">
        <x:v>SUBSET-20261015-local-wb</x:v>
      </x:c>
      <x:c r="B579" s="11" t="str">
        <x:v>WFP-30</x:v>
      </x:c>
      <x:c r="C579" s="11" t="str">
        <x:v>rdwr_cached_append_test</x:v>
      </x:c>
      <x:c r="D579" s="11" t="str">
        <x:v>WinFsp fork 默认子集</x:v>
      </x:c>
      <x:c r="E579" s="11" t="str">
        <x:v>local</x:v>
      </x:c>
      <x:c r="F579" s="11" t="str">
        <x:v>后台</x:v>
      </x:c>
      <x:c r="G579" s="20" t="d">
        <x:v>2026-10-15T00:00:00.000Z</x:v>
      </x:c>
      <x:c r="H579" s="11" t="str">
        <x:v>已通过</x:v>
      </x:c>
      <x:c r="I579" s="22" t="n">
        <x:v>0.562</x:v>
      </x:c>
      <x:c r="J579" s="11" t="str">
        <x:v>JuiceFS 1.3.0+30190ca / WinFsp 2.1.25156；测试工具 S01–S04</x:v>
      </x:c>
      <x:c r="K579" s="11" t="str">
        <x:v>JuiceFS Windows CI 子集；attr-cache=0；云端 get-timeout=5m</x:v>
      </x:c>
      <x:c r="L579" s="11" t="str">
        <x:v>e920ead94a8e28f04e326664178b0c9f02d492b1 + productChanges / plansSha256 见 E01</x:v>
      </x:c>
      <x:c r="M579" s="11" t="str">
        <x:v>E01 / juicefs-upstream-run-75InRg</x:v>
      </x:c>
      <x:c r="N579" s="11" t="str">
        <x:v>--fuse-external --resilient --case-insensitive-cmp</x:v>
      </x:c>
    </x:row>
    <x:row r="580" ht="74" customHeight="1">
      <x:c r="A580" s="10" t="str">
        <x:v>SUBSET-20261015-local-wb</x:v>
      </x:c>
      <x:c r="B580" s="10" t="str">
        <x:v>WFP-31</x:v>
      </x:c>
      <x:c r="C580" s="10" t="str">
        <x:v>rdwr_cached_overlapped_test</x:v>
      </x:c>
      <x:c r="D580" s="10" t="str">
        <x:v>WinFsp fork 默认子集</x:v>
      </x:c>
      <x:c r="E580" s="10" t="str">
        <x:v>local</x:v>
      </x:c>
      <x:c r="F580" s="10" t="str">
        <x:v>后台</x:v>
      </x:c>
      <x:c r="G580" s="19" t="d">
        <x:v>2026-10-15T00:00:00.000Z</x:v>
      </x:c>
      <x:c r="H580" s="10" t="str">
        <x:v>已通过</x:v>
      </x:c>
      <x:c r="I580" s="21" t="n">
        <x:v>0.468</x:v>
      </x:c>
      <x:c r="J580" s="10" t="str">
        <x:v>JuiceFS 1.3.0+30190ca / WinFsp 2.1.25156；测试工具 S01–S04</x:v>
      </x:c>
      <x:c r="K580" s="10" t="str">
        <x:v>JuiceFS Windows CI 子集；attr-cache=0；云端 get-timeout=5m</x:v>
      </x:c>
      <x:c r="L580" s="10" t="str">
        <x:v>e920ead94a8e28f04e326664178b0c9f02d492b1 + productChanges / plansSha256 见 E01</x:v>
      </x:c>
      <x:c r="M580" s="10" t="str">
        <x:v>E01 / juicefs-upstream-run-75InRg</x:v>
      </x:c>
      <x:c r="N580" s="10" t="str">
        <x:v>--fuse-external --resilient --case-insensitive-cmp</x:v>
      </x:c>
    </x:row>
    <x:row r="581" ht="74" customHeight="1">
      <x:c r="A581" s="11" t="str">
        <x:v>SUBSET-20261015-local-wb</x:v>
      </x:c>
      <x:c r="B581" s="11" t="str">
        <x:v>WFP-32</x:v>
      </x:c>
      <x:c r="C581" s="11" t="str">
        <x:v>rdwr_writethru_test</x:v>
      </x:c>
      <x:c r="D581" s="11" t="str">
        <x:v>WinFsp fork 默认子集</x:v>
      </x:c>
      <x:c r="E581" s="11" t="str">
        <x:v>local</x:v>
      </x:c>
      <x:c r="F581" s="11" t="str">
        <x:v>后台</x:v>
      </x:c>
      <x:c r="G581" s="20" t="d">
        <x:v>2026-10-15T00:00:00.000Z</x:v>
      </x:c>
      <x:c r="H581" s="11" t="str">
        <x:v>已通过</x:v>
      </x:c>
      <x:c r="I581" s="22" t="n">
        <x:v>0.588</x:v>
      </x:c>
      <x:c r="J581" s="11" t="str">
        <x:v>JuiceFS 1.3.0+30190ca / WinFsp 2.1.25156；测试工具 S01–S04</x:v>
      </x:c>
      <x:c r="K581" s="11" t="str">
        <x:v>JuiceFS Windows CI 子集；attr-cache=0；云端 get-timeout=5m</x:v>
      </x:c>
      <x:c r="L581" s="11" t="str">
        <x:v>e920ead94a8e28f04e326664178b0c9f02d492b1 + productChanges / plansSha256 见 E01</x:v>
      </x:c>
      <x:c r="M581" s="11" t="str">
        <x:v>E01 / juicefs-upstream-run-75InRg</x:v>
      </x:c>
      <x:c r="N581" s="11" t="str">
        <x:v>--fuse-external --resilient --case-insensitive-cmp</x:v>
      </x:c>
    </x:row>
    <x:row r="582" ht="74" customHeight="1">
      <x:c r="A582" s="10" t="str">
        <x:v>SUBSET-20261015-local-wb</x:v>
      </x:c>
      <x:c r="B582" s="10" t="str">
        <x:v>WFP-33</x:v>
      </x:c>
      <x:c r="C582" s="10" t="str">
        <x:v>rdwr_writethru_append_test</x:v>
      </x:c>
      <x:c r="D582" s="10" t="str">
        <x:v>WinFsp fork 默认子集</x:v>
      </x:c>
      <x:c r="E582" s="10" t="str">
        <x:v>local</x:v>
      </x:c>
      <x:c r="F582" s="10" t="str">
        <x:v>后台</x:v>
      </x:c>
      <x:c r="G582" s="19" t="d">
        <x:v>2026-10-15T00:00:00.000Z</x:v>
      </x:c>
      <x:c r="H582" s="10" t="str">
        <x:v>已通过</x:v>
      </x:c>
      <x:c r="I582" s="21" t="n">
        <x:v>0.437</x:v>
      </x:c>
      <x:c r="J582" s="10" t="str">
        <x:v>JuiceFS 1.3.0+30190ca / WinFsp 2.1.25156；测试工具 S01–S04</x:v>
      </x:c>
      <x:c r="K582" s="10" t="str">
        <x:v>JuiceFS Windows CI 子集；attr-cache=0；云端 get-timeout=5m</x:v>
      </x:c>
      <x:c r="L582" s="10" t="str">
        <x:v>e920ead94a8e28f04e326664178b0c9f02d492b1 + productChanges / plansSha256 见 E01</x:v>
      </x:c>
      <x:c r="M582" s="10" t="str">
        <x:v>E01 / juicefs-upstream-run-75InRg</x:v>
      </x:c>
      <x:c r="N582" s="10" t="str">
        <x:v>--fuse-external --resilient --case-insensitive-cmp</x:v>
      </x:c>
    </x:row>
    <x:row r="583" ht="74" customHeight="1">
      <x:c r="A583" s="11" t="str">
        <x:v>SUBSET-20261015-local-wb</x:v>
      </x:c>
      <x:c r="B583" s="11" t="str">
        <x:v>WFP-34</x:v>
      </x:c>
      <x:c r="C583" s="11" t="str">
        <x:v>rdwr_writethru_overlapped_test</x:v>
      </x:c>
      <x:c r="D583" s="11" t="str">
        <x:v>WinFsp fork 默认子集</x:v>
      </x:c>
      <x:c r="E583" s="11" t="str">
        <x:v>local</x:v>
      </x:c>
      <x:c r="F583" s="11" t="str">
        <x:v>后台</x:v>
      </x:c>
      <x:c r="G583" s="20" t="d">
        <x:v>2026-10-15T00:00:00.000Z</x:v>
      </x:c>
      <x:c r="H583" s="11" t="str">
        <x:v>已通过</x:v>
      </x:c>
      <x:c r="I583" s="22" t="n">
        <x:v>0.568</x:v>
      </x:c>
      <x:c r="J583" s="11" t="str">
        <x:v>JuiceFS 1.3.0+30190ca / WinFsp 2.1.25156；测试工具 S01–S04</x:v>
      </x:c>
      <x:c r="K583" s="11" t="str">
        <x:v>JuiceFS Windows CI 子集；attr-cache=0；云端 get-timeout=5m</x:v>
      </x:c>
      <x:c r="L583" s="11" t="str">
        <x:v>e920ead94a8e28f04e326664178b0c9f02d492b1 + productChanges / plansSha256 见 E01</x:v>
      </x:c>
      <x:c r="M583" s="11" t="str">
        <x:v>E01 / juicefs-upstream-run-75InRg</x:v>
      </x:c>
      <x:c r="N583" s="11" t="str">
        <x:v>--fuse-external --resilient --case-insensitive-cmp</x:v>
      </x:c>
    </x:row>
    <x:row r="584" ht="74" customHeight="1">
      <x:c r="A584" s="10" t="str">
        <x:v>SUBSET-20261015-local-wb</x:v>
      </x:c>
      <x:c r="B584" s="10" t="str">
        <x:v>WFP-35</x:v>
      </x:c>
      <x:c r="C584" s="10" t="str">
        <x:v>rdwr_mmap_test</x:v>
      </x:c>
      <x:c r="D584" s="10" t="str">
        <x:v>WinFsp fork 默认子集</x:v>
      </x:c>
      <x:c r="E584" s="10" t="str">
        <x:v>local</x:v>
      </x:c>
      <x:c r="F584" s="10" t="str">
        <x:v>后台</x:v>
      </x:c>
      <x:c r="G584" s="19" t="d">
        <x:v>2026-10-15T00:00:00.000Z</x:v>
      </x:c>
      <x:c r="H584" s="10" t="str">
        <x:v>已通过</x:v>
      </x:c>
      <x:c r="I584" s="21" t="n">
        <x:v>0.614</x:v>
      </x:c>
      <x:c r="J584" s="10" t="str">
        <x:v>JuiceFS 1.3.0+30190ca / WinFsp 2.1.25156；测试工具 S01–S04</x:v>
      </x:c>
      <x:c r="K584" s="10" t="str">
        <x:v>JuiceFS Windows CI 子集；attr-cache=0；云端 get-timeout=5m</x:v>
      </x:c>
      <x:c r="L584" s="10" t="str">
        <x:v>e920ead94a8e28f04e326664178b0c9f02d492b1 + productChanges / plansSha256 见 E01</x:v>
      </x:c>
      <x:c r="M584" s="10" t="str">
        <x:v>E01 / juicefs-upstream-run-75InRg</x:v>
      </x:c>
      <x:c r="N584" s="10" t="str">
        <x:v>--fuse-external --resilient --case-insensitive-cmp</x:v>
      </x:c>
    </x:row>
    <x:row r="585" ht="74" customHeight="1">
      <x:c r="A585" s="11" t="str">
        <x:v>SUBSET-20261015-local-wb</x:v>
      </x:c>
      <x:c r="B585" s="11" t="str">
        <x:v>WFP-36</x:v>
      </x:c>
      <x:c r="C585" s="11" t="str">
        <x:v>rdwr_mixed_test</x:v>
      </x:c>
      <x:c r="D585" s="11" t="str">
        <x:v>WinFsp fork 默认子集</x:v>
      </x:c>
      <x:c r="E585" s="11" t="str">
        <x:v>local</x:v>
      </x:c>
      <x:c r="F585" s="11" t="str">
        <x:v>后台</x:v>
      </x:c>
      <x:c r="G585" s="20" t="d">
        <x:v>2026-10-15T00:00:00.000Z</x:v>
      </x:c>
      <x:c r="H585" s="11" t="str">
        <x:v>已通过</x:v>
      </x:c>
      <x:c r="I585" s="22" t="n">
        <x:v>0.923</x:v>
      </x:c>
      <x:c r="J585" s="11" t="str">
        <x:v>JuiceFS 1.3.0+30190ca / WinFsp 2.1.25156；测试工具 S01–S04</x:v>
      </x:c>
      <x:c r="K585" s="11" t="str">
        <x:v>JuiceFS Windows CI 子集；attr-cache=0；云端 get-timeout=5m</x:v>
      </x:c>
      <x:c r="L585" s="11" t="str">
        <x:v>e920ead94a8e28f04e326664178b0c9f02d492b1 + productChanges / plansSha256 见 E01</x:v>
      </x:c>
      <x:c r="M585" s="11" t="str">
        <x:v>E01 / juicefs-upstream-run-75InRg</x:v>
      </x:c>
      <x:c r="N585" s="11" t="str">
        <x:v>--fuse-external --resilient --case-insensitive-cmp</x:v>
      </x:c>
    </x:row>
    <x:row r="586" ht="74" customHeight="1">
      <x:c r="A586" s="10" t="str">
        <x:v>SUBSET-20261015-local-wb</x:v>
      </x:c>
      <x:c r="B586" s="10" t="str">
        <x:v>WFP-37</x:v>
      </x:c>
      <x:c r="C586" s="10" t="str">
        <x:v>flush_test</x:v>
      </x:c>
      <x:c r="D586" s="10" t="str">
        <x:v>WinFsp fork 默认子集</x:v>
      </x:c>
      <x:c r="E586" s="10" t="str">
        <x:v>local</x:v>
      </x:c>
      <x:c r="F586" s="10" t="str">
        <x:v>后台</x:v>
      </x:c>
      <x:c r="G586" s="19" t="d">
        <x:v>2026-10-15T00:00:00.000Z</x:v>
      </x:c>
      <x:c r="H586" s="10" t="str">
        <x:v>已通过</x:v>
      </x:c>
      <x:c r="I586" s="21" t="n">
        <x:v>0.554</x:v>
      </x:c>
      <x:c r="J586" s="10" t="str">
        <x:v>JuiceFS 1.3.0+30190ca / WinFsp 2.1.25156；测试工具 S01–S04</x:v>
      </x:c>
      <x:c r="K586" s="10" t="str">
        <x:v>JuiceFS Windows CI 子集；attr-cache=0；云端 get-timeout=5m</x:v>
      </x:c>
      <x:c r="L586" s="10" t="str">
        <x:v>e920ead94a8e28f04e326664178b0c9f02d492b1 + productChanges / plansSha256 见 E01</x:v>
      </x:c>
      <x:c r="M586" s="10" t="str">
        <x:v>E01 / juicefs-upstream-run-75InRg</x:v>
      </x:c>
      <x:c r="N586" s="10" t="str">
        <x:v>--fuse-external --resilient --case-insensitive-cmp</x:v>
      </x:c>
    </x:row>
    <x:row r="587" ht="74" customHeight="1">
      <x:c r="A587" s="11" t="str">
        <x:v>SUBSET-20261015-local-wb</x:v>
      </x:c>
      <x:c r="B587" s="11" t="str">
        <x:v>WFP-38</x:v>
      </x:c>
      <x:c r="C587" s="11" t="str">
        <x:v>flush_volume_test</x:v>
      </x:c>
      <x:c r="D587" s="11" t="str">
        <x:v>WinFsp fork 默认子集</x:v>
      </x:c>
      <x:c r="E587" s="11" t="str">
        <x:v>local</x:v>
      </x:c>
      <x:c r="F587" s="11" t="str">
        <x:v>后台</x:v>
      </x:c>
      <x:c r="G587" s="20" t="d">
        <x:v>2026-10-15T00:00:00.000Z</x:v>
      </x:c>
      <x:c r="H587" s="11" t="str">
        <x:v>已通过</x:v>
      </x:c>
      <x:c r="I587" s="22" t="n">
        <x:v>0.467</x:v>
      </x:c>
      <x:c r="J587" s="11" t="str">
        <x:v>JuiceFS 1.3.0+30190ca / WinFsp 2.1.25156；测试工具 S01–S04</x:v>
      </x:c>
      <x:c r="K587" s="11" t="str">
        <x:v>JuiceFS Windows CI 子集；attr-cache=0；云端 get-timeout=5m</x:v>
      </x:c>
      <x:c r="L587" s="11" t="str">
        <x:v>e920ead94a8e28f04e326664178b0c9f02d492b1 + productChanges / plansSha256 见 E01</x:v>
      </x:c>
      <x:c r="M587" s="11" t="str">
        <x:v>E01 / juicefs-upstream-run-75InRg</x:v>
      </x:c>
      <x:c r="N587" s="11" t="str">
        <x:v>--fuse-external --resilient --case-insensitive-cmp</x:v>
      </x:c>
    </x:row>
    <x:row r="588" ht="74" customHeight="1">
      <x:c r="A588" s="10" t="str">
        <x:v>SUBSET-20261015-local-wb</x:v>
      </x:c>
      <x:c r="B588" s="10" t="str">
        <x:v>WFP-39</x:v>
      </x:c>
      <x:c r="C588" s="10" t="str">
        <x:v>lock_noncached_test</x:v>
      </x:c>
      <x:c r="D588" s="10" t="str">
        <x:v>WinFsp fork 默认子集</x:v>
      </x:c>
      <x:c r="E588" s="10" t="str">
        <x:v>local</x:v>
      </x:c>
      <x:c r="F588" s="10" t="str">
        <x:v>后台</x:v>
      </x:c>
      <x:c r="G588" s="19" t="d">
        <x:v>2026-10-15T00:00:00.000Z</x:v>
      </x:c>
      <x:c r="H588" s="10" t="str">
        <x:v>已通过</x:v>
      </x:c>
      <x:c r="I588" s="21" t="n">
        <x:v>0.495</x:v>
      </x:c>
      <x:c r="J588" s="10" t="str">
        <x:v>JuiceFS 1.3.0+30190ca / WinFsp 2.1.25156；测试工具 S01–S04</x:v>
      </x:c>
      <x:c r="K588" s="10" t="str">
        <x:v>JuiceFS Windows CI 子集；attr-cache=0；云端 get-timeout=5m</x:v>
      </x:c>
      <x:c r="L588" s="10" t="str">
        <x:v>e920ead94a8e28f04e326664178b0c9f02d492b1 + productChanges / plansSha256 见 E01</x:v>
      </x:c>
      <x:c r="M588" s="10" t="str">
        <x:v>E01 / juicefs-upstream-run-75InRg</x:v>
      </x:c>
      <x:c r="N588" s="10" t="str">
        <x:v>--fuse-external --resilient --case-insensitive-cmp</x:v>
      </x:c>
    </x:row>
    <x:row r="589" ht="74" customHeight="1">
      <x:c r="A589" s="11" t="str">
        <x:v>SUBSET-20261015-local-wb</x:v>
      </x:c>
      <x:c r="B589" s="11" t="str">
        <x:v>WFP-40</x:v>
      </x:c>
      <x:c r="C589" s="11" t="str">
        <x:v>lock_noncached_overlapped_test</x:v>
      </x:c>
      <x:c r="D589" s="11" t="str">
        <x:v>WinFsp fork 默认子集</x:v>
      </x:c>
      <x:c r="E589" s="11" t="str">
        <x:v>local</x:v>
      </x:c>
      <x:c r="F589" s="11" t="str">
        <x:v>后台</x:v>
      </x:c>
      <x:c r="G589" s="20" t="d">
        <x:v>2026-10-15T00:00:00.000Z</x:v>
      </x:c>
      <x:c r="H589" s="11" t="str">
        <x:v>已通过</x:v>
      </x:c>
      <x:c r="I589" s="22" t="n">
        <x:v>0.54</x:v>
      </x:c>
      <x:c r="J589" s="11" t="str">
        <x:v>JuiceFS 1.3.0+30190ca / WinFsp 2.1.25156；测试工具 S01–S04</x:v>
      </x:c>
      <x:c r="K589" s="11" t="str">
        <x:v>JuiceFS Windows CI 子集；attr-cache=0；云端 get-timeout=5m</x:v>
      </x:c>
      <x:c r="L589" s="11" t="str">
        <x:v>e920ead94a8e28f04e326664178b0c9f02d492b1 + productChanges / plansSha256 见 E01</x:v>
      </x:c>
      <x:c r="M589" s="11" t="str">
        <x:v>E01 / juicefs-upstream-run-75InRg</x:v>
      </x:c>
      <x:c r="N589" s="11" t="str">
        <x:v>--fuse-external --resilient --case-insensitive-cmp</x:v>
      </x:c>
    </x:row>
    <x:row r="590" ht="74" customHeight="1">
      <x:c r="A590" s="10" t="str">
        <x:v>SUBSET-20261015-local-wb</x:v>
      </x:c>
      <x:c r="B590" s="10" t="str">
        <x:v>WFP-41</x:v>
      </x:c>
      <x:c r="C590" s="10" t="str">
        <x:v>lock_cached_test</x:v>
      </x:c>
      <x:c r="D590" s="10" t="str">
        <x:v>WinFsp fork 默认子集</x:v>
      </x:c>
      <x:c r="E590" s="10" t="str">
        <x:v>local</x:v>
      </x:c>
      <x:c r="F590" s="10" t="str">
        <x:v>后台</x:v>
      </x:c>
      <x:c r="G590" s="19" t="d">
        <x:v>2026-10-15T00:00:00.000Z</x:v>
      </x:c>
      <x:c r="H590" s="10" t="str">
        <x:v>已通过</x:v>
      </x:c>
      <x:c r="I590" s="21" t="n">
        <x:v>0.446</x:v>
      </x:c>
      <x:c r="J590" s="10" t="str">
        <x:v>JuiceFS 1.3.0+30190ca / WinFsp 2.1.25156；测试工具 S01–S04</x:v>
      </x:c>
      <x:c r="K590" s="10" t="str">
        <x:v>JuiceFS Windows CI 子集；attr-cache=0；云端 get-timeout=5m</x:v>
      </x:c>
      <x:c r="L590" s="10" t="str">
        <x:v>e920ead94a8e28f04e326664178b0c9f02d492b1 + productChanges / plansSha256 见 E01</x:v>
      </x:c>
      <x:c r="M590" s="10" t="str">
        <x:v>E01 / juicefs-upstream-run-75InRg</x:v>
      </x:c>
      <x:c r="N590" s="10" t="str">
        <x:v>--fuse-external --resilient --case-insensitive-cmp</x:v>
      </x:c>
    </x:row>
    <x:row r="591" ht="74" customHeight="1">
      <x:c r="A591" s="11" t="str">
        <x:v>SUBSET-20261015-local-wb</x:v>
      </x:c>
      <x:c r="B591" s="11" t="str">
        <x:v>WFP-42</x:v>
      </x:c>
      <x:c r="C591" s="11" t="str">
        <x:v>lock_cached_overlapped_test</x:v>
      </x:c>
      <x:c r="D591" s="11" t="str">
        <x:v>WinFsp fork 默认子集</x:v>
      </x:c>
      <x:c r="E591" s="11" t="str">
        <x:v>local</x:v>
      </x:c>
      <x:c r="F591" s="11" t="str">
        <x:v>后台</x:v>
      </x:c>
      <x:c r="G591" s="20" t="d">
        <x:v>2026-10-15T00:00:00.000Z</x:v>
      </x:c>
      <x:c r="H591" s="11" t="str">
        <x:v>已通过</x:v>
      </x:c>
      <x:c r="I591" s="22" t="n">
        <x:v>0.579</x:v>
      </x:c>
      <x:c r="J591" s="11" t="str">
        <x:v>JuiceFS 1.3.0+30190ca / WinFsp 2.1.25156；测试工具 S01–S04</x:v>
      </x:c>
      <x:c r="K591" s="11" t="str">
        <x:v>JuiceFS Windows CI 子集；attr-cache=0；云端 get-timeout=5m</x:v>
      </x:c>
      <x:c r="L591" s="11" t="str">
        <x:v>e920ead94a8e28f04e326664178b0c9f02d492b1 + productChanges / plansSha256 见 E01</x:v>
      </x:c>
      <x:c r="M591" s="11" t="str">
        <x:v>E01 / juicefs-upstream-run-75InRg</x:v>
      </x:c>
      <x:c r="N591" s="11" t="str">
        <x:v>--fuse-external --resilient --case-insensitive-cmp</x:v>
      </x:c>
    </x:row>
    <x:row r="592" ht="74" customHeight="1">
      <x:c r="A592" s="10" t="str">
        <x:v>SUBSET-20261015-local-wb</x:v>
      </x:c>
      <x:c r="B592" s="10" t="str">
        <x:v>WFP-43</x:v>
      </x:c>
      <x:c r="C592" s="10" t="str">
        <x:v>querydir_test</x:v>
      </x:c>
      <x:c r="D592" s="10" t="str">
        <x:v>WinFsp fork 默认子集</x:v>
      </x:c>
      <x:c r="E592" s="10" t="str">
        <x:v>local</x:v>
      </x:c>
      <x:c r="F592" s="10" t="str">
        <x:v>后台</x:v>
      </x:c>
      <x:c r="G592" s="19" t="d">
        <x:v>2026-10-15T00:00:00.000Z</x:v>
      </x:c>
      <x:c r="H592" s="10" t="str">
        <x:v>已通过</x:v>
      </x:c>
      <x:c r="I592" s="21" t="n">
        <x:v>10.108</x:v>
      </x:c>
      <x:c r="J592" s="10" t="str">
        <x:v>JuiceFS 1.3.0+30190ca / WinFsp 2.1.25156；测试工具 S01–S04</x:v>
      </x:c>
      <x:c r="K592" s="10" t="str">
        <x:v>JuiceFS Windows CI 子集；attr-cache=0；云端 get-timeout=5m</x:v>
      </x:c>
      <x:c r="L592" s="10" t="str">
        <x:v>e920ead94a8e28f04e326664178b0c9f02d492b1 + productChanges / plansSha256 见 E01</x:v>
      </x:c>
      <x:c r="M592" s="10" t="str">
        <x:v>E01 / juicefs-upstream-run-75InRg</x:v>
      </x:c>
      <x:c r="N592" s="10" t="str">
        <x:v>--fuse-external --resilient --case-insensitive-cmp</x:v>
      </x:c>
    </x:row>
    <x:row r="593" ht="74" customHeight="1">
      <x:c r="A593" s="11" t="str">
        <x:v>SUBSET-20261015-local-wb</x:v>
      </x:c>
      <x:c r="B593" s="11" t="str">
        <x:v>WFP-44</x:v>
      </x:c>
      <x:c r="C593" s="11" t="str">
        <x:v>querydir_expire_cache_test</x:v>
      </x:c>
      <x:c r="D593" s="11" t="str">
        <x:v>WinFsp fork 默认子集</x:v>
      </x:c>
      <x:c r="E593" s="11" t="str">
        <x:v>local</x:v>
      </x:c>
      <x:c r="F593" s="11" t="str">
        <x:v>后台</x:v>
      </x:c>
      <x:c r="G593" s="20" t="d">
        <x:v>2026-10-15T00:00:00.000Z</x:v>
      </x:c>
      <x:c r="H593" s="11" t="str">
        <x:v>已通过</x:v>
      </x:c>
      <x:c r="I593" s="22" t="n">
        <x:v>0.367</x:v>
      </x:c>
      <x:c r="J593" s="11" t="str">
        <x:v>JuiceFS 1.3.0+30190ca / WinFsp 2.1.25156；测试工具 S01–S04</x:v>
      </x:c>
      <x:c r="K593" s="11" t="str">
        <x:v>JuiceFS Windows CI 子集；attr-cache=0；云端 get-timeout=5m</x:v>
      </x:c>
      <x:c r="L593" s="11" t="str">
        <x:v>e920ead94a8e28f04e326664178b0c9f02d492b1 + productChanges / plansSha256 见 E01</x:v>
      </x:c>
      <x:c r="M593" s="11" t="str">
        <x:v>E01 / juicefs-upstream-run-75InRg</x:v>
      </x:c>
      <x:c r="N593" s="11" t="str">
        <x:v>--fuse-external --resilient --case-insensitive-cmp</x:v>
      </x:c>
    </x:row>
    <x:row r="594" ht="74" customHeight="1">
      <x:c r="A594" s="10" t="str">
        <x:v>SUBSET-20261015-local-wb</x:v>
      </x:c>
      <x:c r="B594" s="10" t="str">
        <x:v>WFP-45</x:v>
      </x:c>
      <x:c r="C594" s="10" t="str">
        <x:v>querydir_buffer_overflow_test</x:v>
      </x:c>
      <x:c r="D594" s="10" t="str">
        <x:v>WinFsp fork 默认子集</x:v>
      </x:c>
      <x:c r="E594" s="10" t="str">
        <x:v>local</x:v>
      </x:c>
      <x:c r="F594" s="10" t="str">
        <x:v>后台</x:v>
      </x:c>
      <x:c r="G594" s="19" t="d">
        <x:v>2026-10-15T00:00:00.000Z</x:v>
      </x:c>
      <x:c r="H594" s="10" t="str">
        <x:v>已通过</x:v>
      </x:c>
      <x:c r="I594" s="21" t="n">
        <x:v>0.728</x:v>
      </x:c>
      <x:c r="J594" s="10" t="str">
        <x:v>JuiceFS 1.3.0+30190ca / WinFsp 2.1.25156；测试工具 S01–S04</x:v>
      </x:c>
      <x:c r="K594" s="10" t="str">
        <x:v>JuiceFS Windows CI 子集；attr-cache=0；云端 get-timeout=5m</x:v>
      </x:c>
      <x:c r="L594" s="10" t="str">
        <x:v>e920ead94a8e28f04e326664178b0c9f02d492b1 + productChanges / plansSha256 见 E01</x:v>
      </x:c>
      <x:c r="M594" s="10" t="str">
        <x:v>E01 / juicefs-upstream-run-75InRg</x:v>
      </x:c>
      <x:c r="N594" s="10" t="str">
        <x:v>--fuse-external --resilient --case-insensitive-cmp</x:v>
      </x:c>
    </x:row>
    <x:row r="595" ht="74" customHeight="1">
      <x:c r="A595" s="11" t="str">
        <x:v>SUBSET-20261015-local-wb</x:v>
      </x:c>
      <x:c r="B595" s="11" t="str">
        <x:v>WFP-46</x:v>
      </x:c>
      <x:c r="C595" s="11" t="str">
        <x:v>querydir_namelen_test</x:v>
      </x:c>
      <x:c r="D595" s="11" t="str">
        <x:v>WinFsp fork 默认子集</x:v>
      </x:c>
      <x:c r="E595" s="11" t="str">
        <x:v>local</x:v>
      </x:c>
      <x:c r="F595" s="11" t="str">
        <x:v>后台</x:v>
      </x:c>
      <x:c r="G595" s="20" t="d">
        <x:v>2026-10-15T00:00:00.000Z</x:v>
      </x:c>
      <x:c r="H595" s="11" t="str">
        <x:v>已通过</x:v>
      </x:c>
      <x:c r="I595" s="22" t="n">
        <x:v>0.377</x:v>
      </x:c>
      <x:c r="J595" s="11" t="str">
        <x:v>JuiceFS 1.3.0+30190ca / WinFsp 2.1.25156；测试工具 S01–S04</x:v>
      </x:c>
      <x:c r="K595" s="11" t="str">
        <x:v>JuiceFS Windows CI 子集；attr-cache=0；云端 get-timeout=5m</x:v>
      </x:c>
      <x:c r="L595" s="11" t="str">
        <x:v>e920ead94a8e28f04e326664178b0c9f02d492b1 + productChanges / plansSha256 见 E01</x:v>
      </x:c>
      <x:c r="M595" s="11" t="str">
        <x:v>E01 / juicefs-upstream-run-75InRg</x:v>
      </x:c>
      <x:c r="N595" s="11" t="str">
        <x:v>--fuse-external --resilient --case-insensitive-cmp</x:v>
      </x:c>
    </x:row>
    <x:row r="596" ht="74" customHeight="1">
      <x:c r="A596" s="10" t="str">
        <x:v>SUBSET-20261015-local-wb</x:v>
      </x:c>
      <x:c r="B596" s="10" t="str">
        <x:v>WFP-47</x:v>
      </x:c>
      <x:c r="C596" s="10" t="str">
        <x:v>dirnotify_test</x:v>
      </x:c>
      <x:c r="D596" s="10" t="str">
        <x:v>WinFsp fork 默认子集</x:v>
      </x:c>
      <x:c r="E596" s="10" t="str">
        <x:v>local</x:v>
      </x:c>
      <x:c r="F596" s="10" t="str">
        <x:v>后台</x:v>
      </x:c>
      <x:c r="G596" s="19" t="d">
        <x:v>2026-10-15T00:00:00.000Z</x:v>
      </x:c>
      <x:c r="H596" s="10" t="str">
        <x:v>已通过</x:v>
      </x:c>
      <x:c r="I596" s="21" t="n">
        <x:v>1.611</x:v>
      </x:c>
      <x:c r="J596" s="10" t="str">
        <x:v>JuiceFS 1.3.0+30190ca / WinFsp 2.1.25156；测试工具 S01–S04</x:v>
      </x:c>
      <x:c r="K596" s="10" t="str">
        <x:v>JuiceFS Windows CI 子集；attr-cache=0；云端 get-timeout=5m</x:v>
      </x:c>
      <x:c r="L596" s="10" t="str">
        <x:v>e920ead94a8e28f04e326664178b0c9f02d492b1 + productChanges / plansSha256 见 E01</x:v>
      </x:c>
      <x:c r="M596" s="10" t="str">
        <x:v>E01 / juicefs-upstream-run-75InRg</x:v>
      </x:c>
      <x:c r="N596" s="10" t="str">
        <x:v>--fuse-external --resilient --case-insensitive-cmp</x:v>
      </x:c>
    </x:row>
    <x:row r="597" ht="74" customHeight="1">
      <x:c r="A597" s="11" t="str">
        <x:v>SUBSET-20261015-local-wb</x:v>
      </x:c>
      <x:c r="B597" s="11" t="str">
        <x:v>WFP-48</x:v>
      </x:c>
      <x:c r="C597" s="11" t="str">
        <x:v>exec_test</x:v>
      </x:c>
      <x:c r="D597" s="11" t="str">
        <x:v>WinFsp fork 默认子集</x:v>
      </x:c>
      <x:c r="E597" s="11" t="str">
        <x:v>local</x:v>
      </x:c>
      <x:c r="F597" s="11" t="str">
        <x:v>后台</x:v>
      </x:c>
      <x:c r="G597" s="20" t="d">
        <x:v>2026-10-15T00:00:00.000Z</x:v>
      </x:c>
      <x:c r="H597" s="11" t="str">
        <x:v>已通过</x:v>
      </x:c>
      <x:c r="I597" s="22" t="n">
        <x:v>0.74</x:v>
      </x:c>
      <x:c r="J597" s="11" t="str">
        <x:v>JuiceFS 1.3.0+30190ca / WinFsp 2.1.25156；测试工具 S01–S04</x:v>
      </x:c>
      <x:c r="K597" s="11" t="str">
        <x:v>JuiceFS Windows CI 子集；attr-cache=0；云端 get-timeout=5m</x:v>
      </x:c>
      <x:c r="L597" s="11" t="str">
        <x:v>e920ead94a8e28f04e326664178b0c9f02d492b1 + productChanges / plansSha256 见 E01</x:v>
      </x:c>
      <x:c r="M597" s="11" t="str">
        <x:v>E01 / juicefs-upstream-run-75InRg</x:v>
      </x:c>
      <x:c r="N597" s="11" t="str">
        <x:v>--fuse-external --resilient --case-insensitive-cmp</x:v>
      </x:c>
    </x:row>
    <x:row r="598" ht="74" customHeight="1">
      <x:c r="A598" s="10" t="str">
        <x:v>SUBSET-20261015-local-wb</x:v>
      </x:c>
      <x:c r="B598" s="10" t="str">
        <x:v>WFP-49</x:v>
      </x:c>
      <x:c r="C598" s="10" t="str">
        <x:v>exec_delete_test</x:v>
      </x:c>
      <x:c r="D598" s="10" t="str">
        <x:v>WinFsp fork 默认子集</x:v>
      </x:c>
      <x:c r="E598" s="10" t="str">
        <x:v>local</x:v>
      </x:c>
      <x:c r="F598" s="10" t="str">
        <x:v>后台</x:v>
      </x:c>
      <x:c r="G598" s="19" t="d">
        <x:v>2026-10-15T00:00:00.000Z</x:v>
      </x:c>
      <x:c r="H598" s="10" t="str">
        <x:v>已通过</x:v>
      </x:c>
      <x:c r="I598" s="21" t="n">
        <x:v>2.246</x:v>
      </x:c>
      <x:c r="J598" s="10" t="str">
        <x:v>JuiceFS 1.3.0+30190ca / WinFsp 2.1.25156；测试工具 S01–S04</x:v>
      </x:c>
      <x:c r="K598" s="10" t="str">
        <x:v>JuiceFS Windows CI 子集；attr-cache=0；云端 get-timeout=5m</x:v>
      </x:c>
      <x:c r="L598" s="10" t="str">
        <x:v>e920ead94a8e28f04e326664178b0c9f02d492b1 + productChanges / plansSha256 见 E01</x:v>
      </x:c>
      <x:c r="M598" s="10" t="str">
        <x:v>E01 / juicefs-upstream-run-75InRg</x:v>
      </x:c>
      <x:c r="N598" s="10" t="str">
        <x:v>--fuse-external --resilient --case-insensitive-cmp</x:v>
      </x:c>
    </x:row>
    <x:row r="599" ht="74" customHeight="1">
      <x:c r="A599" s="11" t="str">
        <x:v>SUBSET-20261015-local-wb</x:v>
      </x:c>
      <x:c r="B599" s="11" t="str">
        <x:v>WFP-50</x:v>
      </x:c>
      <x:c r="C599" s="11" t="str">
        <x:v>exec_rename_test</x:v>
      </x:c>
      <x:c r="D599" s="11" t="str">
        <x:v>WinFsp fork 默认子集</x:v>
      </x:c>
      <x:c r="E599" s="11" t="str">
        <x:v>local</x:v>
      </x:c>
      <x:c r="F599" s="11" t="str">
        <x:v>后台</x:v>
      </x:c>
      <x:c r="G599" s="20" t="d">
        <x:v>2026-10-15T00:00:00.000Z</x:v>
      </x:c>
      <x:c r="H599" s="11" t="str">
        <x:v>已通过</x:v>
      </x:c>
      <x:c r="I599" s="22" t="n">
        <x:v>1.717</x:v>
      </x:c>
      <x:c r="J599" s="11" t="str">
        <x:v>JuiceFS 1.3.0+30190ca / WinFsp 2.1.25156；测试工具 S01–S04</x:v>
      </x:c>
      <x:c r="K599" s="11" t="str">
        <x:v>JuiceFS Windows CI 子集；attr-cache=0；云端 get-timeout=5m</x:v>
      </x:c>
      <x:c r="L599" s="11" t="str">
        <x:v>e920ead94a8e28f04e326664178b0c9f02d492b1 + productChanges / plansSha256 见 E01</x:v>
      </x:c>
      <x:c r="M599" s="11" t="str">
        <x:v>E01 / juicefs-upstream-run-75InRg</x:v>
      </x:c>
      <x:c r="N599" s="11" t="str">
        <x:v>--fuse-external --resilient --case-insensitive-cmp</x:v>
      </x:c>
    </x:row>
    <x:row r="600" ht="74" customHeight="1">
      <x:c r="A600" s="10" t="str">
        <x:v>SUBSET-20261015-local-wb</x:v>
      </x:c>
      <x:c r="B600" s="10" t="str">
        <x:v>WFP-51</x:v>
      </x:c>
      <x:c r="C600" s="10" t="str">
        <x:v>exec_rename_dir_test</x:v>
      </x:c>
      <x:c r="D600" s="10" t="str">
        <x:v>WinFsp fork 默认子集</x:v>
      </x:c>
      <x:c r="E600" s="10" t="str">
        <x:v>local</x:v>
      </x:c>
      <x:c r="F600" s="10" t="str">
        <x:v>后台</x:v>
      </x:c>
      <x:c r="G600" s="19" t="d">
        <x:v>2026-10-15T00:00:00.000Z</x:v>
      </x:c>
      <x:c r="H600" s="10" t="str">
        <x:v>已通过</x:v>
      </x:c>
      <x:c r="I600" s="21" t="n">
        <x:v>3.044</x:v>
      </x:c>
      <x:c r="J600" s="10" t="str">
        <x:v>JuiceFS 1.3.0+30190ca / WinFsp 2.1.25156；测试工具 S01–S04</x:v>
      </x:c>
      <x:c r="K600" s="10" t="str">
        <x:v>JuiceFS Windows CI 子集；attr-cache=0；云端 get-timeout=5m</x:v>
      </x:c>
      <x:c r="L600" s="10" t="str">
        <x:v>e920ead94a8e28f04e326664178b0c9f02d492b1 + productChanges / plansSha256 见 E01</x:v>
      </x:c>
      <x:c r="M600" s="10" t="str">
        <x:v>E01 / juicefs-upstream-run-75InRg</x:v>
      </x:c>
      <x:c r="N600" s="10" t="str">
        <x:v>--fuse-external --resilient --case-insensitive-cmp</x:v>
      </x:c>
    </x:row>
    <x:row r="601" ht="74" customHeight="1">
      <x:c r="A601" s="11" t="str">
        <x:v>SUBSET-20261015-local-wb</x:v>
      </x:c>
      <x:c r="B601" s="11" t="str">
        <x:v>WFP-52</x:v>
      </x:c>
      <x:c r="C601" s="11" t="str">
        <x:v>reparse_nfs_test</x:v>
      </x:c>
      <x:c r="D601" s="11" t="str">
        <x:v>WinFsp fork 默认子集</x:v>
      </x:c>
      <x:c r="E601" s="11" t="str">
        <x:v>local</x:v>
      </x:c>
      <x:c r="F601" s="11" t="str">
        <x:v>后台</x:v>
      </x:c>
      <x:c r="G601" s="20" t="d">
        <x:v>2026-10-15T00:00:00.000Z</x:v>
      </x:c>
      <x:c r="H601" s="11" t="str">
        <x:v>已通过</x:v>
      </x:c>
      <x:c r="I601" s="22" t="n">
        <x:v>0.388</x:v>
      </x:c>
      <x:c r="J601" s="11" t="str">
        <x:v>JuiceFS 1.3.0+30190ca / WinFsp 2.1.25156；测试工具 S01–S04</x:v>
      </x:c>
      <x:c r="K601" s="11" t="str">
        <x:v>JuiceFS Windows CI 子集；attr-cache=0；云端 get-timeout=5m</x:v>
      </x:c>
      <x:c r="L601" s="11" t="str">
        <x:v>e920ead94a8e28f04e326664178b0c9f02d492b1 + productChanges / plansSha256 见 E01</x:v>
      </x:c>
      <x:c r="M601" s="11" t="str">
        <x:v>E01 / juicefs-upstream-run-75InRg</x:v>
      </x:c>
      <x:c r="N601" s="11" t="str">
        <x:v>--fuse-external --resilient --case-insensitive-cmp</x:v>
      </x:c>
    </x:row>
    <x:row r="602" ht="74" customHeight="1">
      <x:c r="A602" s="10" t="str">
        <x:v>SUBSET-20261015-local-wb</x:v>
      </x:c>
      <x:c r="B602" s="10" t="str">
        <x:v>WFP-53</x:v>
      </x:c>
      <x:c r="C602" s="10" t="str">
        <x:v>reparse_symlink_test</x:v>
      </x:c>
      <x:c r="D602" s="10" t="str">
        <x:v>WinFsp fork 默认子集</x:v>
      </x:c>
      <x:c r="E602" s="10" t="str">
        <x:v>local</x:v>
      </x:c>
      <x:c r="F602" s="10" t="str">
        <x:v>后台</x:v>
      </x:c>
      <x:c r="G602" s="19" t="d">
        <x:v>2026-10-15T00:00:00.000Z</x:v>
      </x:c>
      <x:c r="H602" s="10" t="str">
        <x:v>已通过</x:v>
      </x:c>
      <x:c r="I602" s="21" t="n">
        <x:v>0.391</x:v>
      </x:c>
      <x:c r="J602" s="10" t="str">
        <x:v>JuiceFS 1.3.0+30190ca / WinFsp 2.1.25156；测试工具 S01–S04</x:v>
      </x:c>
      <x:c r="K602" s="10" t="str">
        <x:v>JuiceFS Windows CI 子集；attr-cache=0；云端 get-timeout=5m</x:v>
      </x:c>
      <x:c r="L602" s="10" t="str">
        <x:v>e920ead94a8e28f04e326664178b0c9f02d492b1 + productChanges / plansSha256 见 E01</x:v>
      </x:c>
      <x:c r="M602" s="10" t="str">
        <x:v>E01 / juicefs-upstream-run-75InRg</x:v>
      </x:c>
      <x:c r="N602" s="10" t="str">
        <x:v>--fuse-external --resilient --case-insensitive-cmp</x:v>
      </x:c>
    </x:row>
    <x:row r="603" ht="74" customHeight="1">
      <x:c r="A603" s="11" t="str">
        <x:v>SUBSET-20261015-local-wb</x:v>
      </x:c>
      <x:c r="B603" s="11" t="str">
        <x:v>WFP-54</x:v>
      </x:c>
      <x:c r="C603" s="11" t="str">
        <x:v>reparse_symlink_relative_test</x:v>
      </x:c>
      <x:c r="D603" s="11" t="str">
        <x:v>WinFsp fork 默认子集</x:v>
      </x:c>
      <x:c r="E603" s="11" t="str">
        <x:v>local</x:v>
      </x:c>
      <x:c r="F603" s="11" t="str">
        <x:v>后台</x:v>
      </x:c>
      <x:c r="G603" s="20" t="d">
        <x:v>2026-10-15T00:00:00.000Z</x:v>
      </x:c>
      <x:c r="H603" s="11" t="str">
        <x:v>已通过</x:v>
      </x:c>
      <x:c r="I603" s="22" t="n">
        <x:v>0.632</x:v>
      </x:c>
      <x:c r="J603" s="11" t="str">
        <x:v>JuiceFS 1.3.0+30190ca / WinFsp 2.1.25156；测试工具 S01–S04</x:v>
      </x:c>
      <x:c r="K603" s="11" t="str">
        <x:v>JuiceFS Windows CI 子集；attr-cache=0；云端 get-timeout=5m</x:v>
      </x:c>
      <x:c r="L603" s="11" t="str">
        <x:v>e920ead94a8e28f04e326664178b0c9f02d492b1 + productChanges / plansSha256 见 E01</x:v>
      </x:c>
      <x:c r="M603" s="11" t="str">
        <x:v>E01 / juicefs-upstream-run-75InRg</x:v>
      </x:c>
      <x:c r="N603" s="11" t="str">
        <x:v>--fuse-external --resilient --case-insensitive-cmp</x:v>
      </x:c>
    </x:row>
    <x:row r="604" ht="74" customHeight="1">
      <x:c r="A604" s="10" t="str">
        <x:v>SUBSET-20261015-local-wb</x:v>
      </x:c>
      <x:c r="B604" s="10" t="str">
        <x:v>WFT-00…WFT-10</x:v>
      </x:c>
      <x:c r="C604" s="10" t="str">
        <x:v>11 个脚本的整套结果</x:v>
      </x:c>
      <x:c r="D604" s="10" t="str">
        <x:v>winfstest fork</x:v>
      </x:c>
      <x:c r="E604" s="10" t="str">
        <x:v>local</x:v>
      </x:c>
      <x:c r="F604" s="10" t="str">
        <x:v>后台</x:v>
      </x:c>
      <x:c r="G604" s="19" t="d">
        <x:v>2026-10-15T00:00:00.000Z</x:v>
      </x:c>
      <x:c r="H604" s="10" t="str">
        <x:v>已通过</x:v>
      </x:c>
      <x:c r="I604" s="21"/>
      <x:c r="J604" s="10" t="str">
        <x:v>JuiceFS 1.3.0+30190ca / WinFsp 2.1.25156；测试工具 S01–S04</x:v>
      </x:c>
      <x:c r="K604" s="10" t="str">
        <x:v>JuiceFS Windows CI 子集；attr-cache=0；云端 get-timeout=5m</x:v>
      </x:c>
      <x:c r="L604" s="10" t="str">
        <x:v>e920ead94a8e28f04e326664178b0c9f02d492b1 + productChanges / plansSha256 见 E01</x:v>
      </x:c>
      <x:c r="M604" s="10" t="str">
        <x:v>E01 / juicefs-upstream-run-75InRg</x:v>
      </x:c>
      <x:c r="N604" s="10" t="str">
        <x:v>152/152 断言；报告粒度为整套，不虚构每个脚本的耗时</x:v>
      </x:c>
    </x:row>
    <x:row r="605" ht="74" customHeight="1">
      <x:c r="A605" s="11" t="str">
        <x:v>SUBSET-20261015-local-wb</x:v>
      </x:c>
      <x:c r="B605" s="11" t="str">
        <x:v>JFS-FSX-01</x:v>
      </x:c>
      <x:c r="C605" s="11" t="str">
        <x:v>FSX 正常完成运行</x:v>
      </x:c>
      <x:c r="D605" s="11" t="str">
        <x:v>FSX fork</x:v>
      </x:c>
      <x:c r="E605" s="11" t="str">
        <x:v>local</x:v>
      </x:c>
      <x:c r="F605" s="11" t="str">
        <x:v>后台</x:v>
      </x:c>
      <x:c r="G605" s="20" t="d">
        <x:v>2026-10-15T00:00:00.000Z</x:v>
      </x:c>
      <x:c r="H605" s="11" t="str">
        <x:v>已通过</x:v>
      </x:c>
      <x:c r="I605" s="22"/>
      <x:c r="J605" s="11" t="str">
        <x:v>JuiceFS 1.3.0+30190ca / WinFsp 2.1.25156；测试工具 S01–S04</x:v>
      </x:c>
      <x:c r="K605" s="11" t="str">
        <x:v>JuiceFS Windows CI 子集；attr-cache=0；云端 get-timeout=5m</x:v>
      </x:c>
      <x:c r="L605" s="11" t="str">
        <x:v>e920ead94a8e28f04e326664178b0c9f02d492b1 + productChanges / plansSha256 见 E01</x:v>
      </x:c>
      <x:c r="M605" s="11" t="str">
        <x:v>E01 / juicefs-upstream-run-75InRg</x:v>
      </x:c>
      <x:c r="N605" s="11" t="str">
        <x:v>-N 10000 -S 20261014 -p 100 -F 100000 fsxtest；实际 10822 操作</x:v>
      </x:c>
    </x:row>
    <x:row r="606" ht="74" customHeight="1">
      <x:c r="A606" s="10" t="str">
        <x:v>SUBSET-20261015-local-wb</x:v>
      </x:c>
      <x:c r="B606" s="10" t="str">
        <x:v>CLOUD-006</x:v>
      </x:c>
      <x:c r="C606" s="10" t="str">
        <x:v>排空后冷读校验</x:v>
      </x:c>
      <x:c r="D606" s="10" t="str">
        <x:v>项目验证</x:v>
      </x:c>
      <x:c r="E606" s="10" t="str">
        <x:v>local</x:v>
      </x:c>
      <x:c r="F606" s="10" t="str">
        <x:v>后台</x:v>
      </x:c>
      <x:c r="G606" s="19" t="d">
        <x:v>2026-10-15T00:00:00.000Z</x:v>
      </x:c>
      <x:c r="H606" s="10" t="str">
        <x:v>已通过</x:v>
      </x:c>
      <x:c r="I606" s="21"/>
      <x:c r="J606" s="10" t="str">
        <x:v>JuiceFS 1.3.0+30190ca / WinFsp 2.1.25156；测试工具 S01–S04</x:v>
      </x:c>
      <x:c r="K606" s="10" t="str">
        <x:v>JuiceFS Windows CI 子集；attr-cache=0；云端 get-timeout=5m</x:v>
      </x:c>
      <x:c r="L606" s="10" t="str">
        <x:v>e920ead94a8e28f04e326664178b0c9f02d492b1 + productChanges / plansSha256 见 E01</x:v>
      </x:c>
      <x:c r="M606" s="10" t="str">
        <x:v>E01 / juicefs-upstream-run-75InRg</x:v>
      </x:c>
      <x:c r="N606" s="10" t="str">
        <x:v>原始记录见 E01；不代表故障恢复或 repair 测试</x:v>
      </x:c>
    </x:row>
    <x:row r="607" ht="74" customHeight="1">
      <x:c r="A607" s="11" t="str">
        <x:v>SUBSET-20261015-local-wb</x:v>
      </x:c>
      <x:c r="B607" s="11" t="str">
        <x:v>CLOUD-007</x:v>
      </x:c>
      <x:c r="C607" s="11" t="str">
        <x:v>只读 fsck</x:v>
      </x:c>
      <x:c r="D607" s="11" t="str">
        <x:v>项目验证</x:v>
      </x:c>
      <x:c r="E607" s="11" t="str">
        <x:v>local</x:v>
      </x:c>
      <x:c r="F607" s="11" t="str">
        <x:v>后台</x:v>
      </x:c>
      <x:c r="G607" s="20" t="d">
        <x:v>2026-10-15T00:00:00.000Z</x:v>
      </x:c>
      <x:c r="H607" s="11" t="str">
        <x:v>已通过</x:v>
      </x:c>
      <x:c r="I607" s="22"/>
      <x:c r="J607" s="11" t="str">
        <x:v>JuiceFS 1.3.0+30190ca / WinFsp 2.1.25156；测试工具 S01–S04</x:v>
      </x:c>
      <x:c r="K607" s="11" t="str">
        <x:v>JuiceFS Windows CI 子集；attr-cache=0；云端 get-timeout=5m</x:v>
      </x:c>
      <x:c r="L607" s="11" t="str">
        <x:v>e920ead94a8e28f04e326664178b0c9f02d492b1 + productChanges / plansSha256 见 E01</x:v>
      </x:c>
      <x:c r="M607" s="11" t="str">
        <x:v>E01 / juicefs-upstream-run-75InRg</x:v>
      </x:c>
      <x:c r="N607" s="11" t="str">
        <x:v>原始记录见 E01；不代表故障恢复或 repair 测试</x:v>
      </x:c>
    </x:row>
    <x:row r="608" ht="74" customHeight="1">
      <x:c r="A608" s="10" t="str">
        <x:v>SUBSET-20261015-baidu-sync</x:v>
      </x:c>
      <x:c r="B608" s="10" t="str">
        <x:v>JFS-PY-01</x:v>
      </x:c>
      <x:c r="C608" s="10" t="str">
        <x:v>test_basic_operations</x:v>
      </x:c>
      <x:c r="D608" s="10" t="str">
        <x:v>Python</x:v>
      </x:c>
      <x:c r="E608" s="10" t="str">
        <x:v>baidu</x:v>
      </x:c>
      <x:c r="F608" s="10" t="str">
        <x:v>同步</x:v>
      </x:c>
      <x:c r="G608" s="19" t="d">
        <x:v>2026-10-15T00:00:00.000Z</x:v>
      </x:c>
      <x:c r="H608" s="10" t="str">
        <x:v>已通过</x:v>
      </x:c>
      <x:c r="I608" s="21"/>
      <x:c r="J608" s="10" t="str">
        <x:v>JuiceFS 1.3.0+30190ca / WinFsp 2.1.25156；测试工具 S01–S04</x:v>
      </x:c>
      <x:c r="K608" s="10" t="str">
        <x:v>JuiceFS Windows CI 子集；attr-cache=0；云端 get-timeout=5m</x:v>
      </x:c>
      <x:c r="L608" s="10" t="str">
        <x:v>e920ead94a8e28f04e326664178b0c9f02d492b1 + productChanges / plansSha256 见 E01</x:v>
      </x:c>
      <x:c r="M608" s="10" t="str">
        <x:v>E01 / juicefs-upstream-run-AxbnJa</x:v>
      </x:c>
      <x:c r="N608" s="10" t="str">
        <x:v>上游原断言</x:v>
      </x:c>
    </x:row>
    <x:row r="609" ht="74" customHeight="1">
      <x:c r="A609" s="11" t="str">
        <x:v>SUBSET-20261015-baidu-sync</x:v>
      </x:c>
      <x:c r="B609" s="11" t="str">
        <x:v>JFS-PY-02</x:v>
      </x:c>
      <x:c r="C609" s="11" t="str">
        <x:v>test_concurrent_operations</x:v>
      </x:c>
      <x:c r="D609" s="11" t="str">
        <x:v>Python</x:v>
      </x:c>
      <x:c r="E609" s="11" t="str">
        <x:v>baidu</x:v>
      </x:c>
      <x:c r="F609" s="11" t="str">
        <x:v>同步</x:v>
      </x:c>
      <x:c r="G609" s="20" t="d">
        <x:v>2026-10-15T00:00:00.000Z</x:v>
      </x:c>
      <x:c r="H609" s="11" t="str">
        <x:v>已通过</x:v>
      </x:c>
      <x:c r="I609" s="22"/>
      <x:c r="J609" s="11" t="str">
        <x:v>JuiceFS 1.3.0+30190ca / WinFsp 2.1.25156；测试工具 S01–S04</x:v>
      </x:c>
      <x:c r="K609" s="11" t="str">
        <x:v>JuiceFS Windows CI 子集；attr-cache=0；云端 get-timeout=5m</x:v>
      </x:c>
      <x:c r="L609" s="11" t="str">
        <x:v>e920ead94a8e28f04e326664178b0c9f02d492b1 + productChanges / plansSha256 见 E01</x:v>
      </x:c>
      <x:c r="M609" s="11" t="str">
        <x:v>E01 / juicefs-upstream-run-AxbnJa</x:v>
      </x:c>
      <x:c r="N609" s="11" t="str">
        <x:v>上游原断言</x:v>
      </x:c>
    </x:row>
    <x:row r="610" ht="74" customHeight="1">
      <x:c r="A610" s="10" t="str">
        <x:v>SUBSET-20261015-baidu-sync</x:v>
      </x:c>
      <x:c r="B610" s="10" t="str">
        <x:v>JFS-PY-03</x:v>
      </x:c>
      <x:c r="C610" s="10" t="str">
        <x:v>test_directory_operations</x:v>
      </x:c>
      <x:c r="D610" s="10" t="str">
        <x:v>Python</x:v>
      </x:c>
      <x:c r="E610" s="10" t="str">
        <x:v>baidu</x:v>
      </x:c>
      <x:c r="F610" s="10" t="str">
        <x:v>同步</x:v>
      </x:c>
      <x:c r="G610" s="19" t="d">
        <x:v>2026-10-15T00:00:00.000Z</x:v>
      </x:c>
      <x:c r="H610" s="10" t="str">
        <x:v>已通过</x:v>
      </x:c>
      <x:c r="I610" s="21"/>
      <x:c r="J610" s="10" t="str">
        <x:v>JuiceFS 1.3.0+30190ca / WinFsp 2.1.25156；测试工具 S01–S04</x:v>
      </x:c>
      <x:c r="K610" s="10" t="str">
        <x:v>JuiceFS Windows CI 子集；attr-cache=0；云端 get-timeout=5m</x:v>
      </x:c>
      <x:c r="L610" s="10" t="str">
        <x:v>e920ead94a8e28f04e326664178b0c9f02d492b1 + productChanges / plansSha256 见 E01</x:v>
      </x:c>
      <x:c r="M610" s="10" t="str">
        <x:v>E01 / juicefs-upstream-run-AxbnJa</x:v>
      </x:c>
      <x:c r="N610" s="10" t="str">
        <x:v>上游原断言</x:v>
      </x:c>
    </x:row>
    <x:row r="611" ht="74" customHeight="1">
      <x:c r="A611" s="11" t="str">
        <x:v>SUBSET-20261015-baidu-sync</x:v>
      </x:c>
      <x:c r="B611" s="11" t="str">
        <x:v>JFS-PY-04</x:v>
      </x:c>
      <x:c r="C611" s="11" t="str">
        <x:v>test_file_attributes</x:v>
      </x:c>
      <x:c r="D611" s="11" t="str">
        <x:v>Python</x:v>
      </x:c>
      <x:c r="E611" s="11" t="str">
        <x:v>baidu</x:v>
      </x:c>
      <x:c r="F611" s="11" t="str">
        <x:v>同步</x:v>
      </x:c>
      <x:c r="G611" s="20" t="d">
        <x:v>2026-10-15T00:00:00.000Z</x:v>
      </x:c>
      <x:c r="H611" s="11" t="str">
        <x:v>已通过</x:v>
      </x:c>
      <x:c r="I611" s="22"/>
      <x:c r="J611" s="11" t="str">
        <x:v>JuiceFS 1.3.0+30190ca / WinFsp 2.1.25156；测试工具 S01–S04</x:v>
      </x:c>
      <x:c r="K611" s="11" t="str">
        <x:v>JuiceFS Windows CI 子集；attr-cache=0；云端 get-timeout=5m</x:v>
      </x:c>
      <x:c r="L611" s="11" t="str">
        <x:v>e920ead94a8e28f04e326664178b0c9f02d492b1 + productChanges / plansSha256 见 E01</x:v>
      </x:c>
      <x:c r="M611" s="11" t="str">
        <x:v>E01 / juicefs-upstream-run-AxbnJa</x:v>
      </x:c>
      <x:c r="N611" s="11" t="str">
        <x:v>上游原断言</x:v>
      </x:c>
    </x:row>
    <x:row r="612" ht="74" customHeight="1">
      <x:c r="A612" s="10" t="str">
        <x:v>SUBSET-20261015-baidu-sync</x:v>
      </x:c>
      <x:c r="B612" s="10" t="str">
        <x:v>JFS-PY-05</x:v>
      </x:c>
      <x:c r="C612" s="10" t="str">
        <x:v>test_large_files</x:v>
      </x:c>
      <x:c r="D612" s="10" t="str">
        <x:v>Python</x:v>
      </x:c>
      <x:c r="E612" s="10" t="str">
        <x:v>baidu</x:v>
      </x:c>
      <x:c r="F612" s="10" t="str">
        <x:v>同步</x:v>
      </x:c>
      <x:c r="G612" s="19" t="d">
        <x:v>2026-10-15T00:00:00.000Z</x:v>
      </x:c>
      <x:c r="H612" s="10" t="str">
        <x:v>已通过</x:v>
      </x:c>
      <x:c r="I612" s="21"/>
      <x:c r="J612" s="10" t="str">
        <x:v>JuiceFS 1.3.0+30190ca / WinFsp 2.1.25156；测试工具 S01–S04</x:v>
      </x:c>
      <x:c r="K612" s="10" t="str">
        <x:v>JuiceFS Windows CI 子集；attr-cache=0；云端 get-timeout=5m</x:v>
      </x:c>
      <x:c r="L612" s="10" t="str">
        <x:v>e920ead94a8e28f04e326664178b0c9f02d492b1 + productChanges / plansSha256 见 E01</x:v>
      </x:c>
      <x:c r="M612" s="10" t="str">
        <x:v>E01 / juicefs-upstream-run-AxbnJa</x:v>
      </x:c>
      <x:c r="N612" s="10" t="str">
        <x:v>上游原断言</x:v>
      </x:c>
    </x:row>
    <x:row r="613" ht="74" customHeight="1">
      <x:c r="A613" s="11" t="str">
        <x:v>SUBSET-20261015-baidu-sync</x:v>
      </x:c>
      <x:c r="B613" s="11" t="str">
        <x:v>JFS-PY-06</x:v>
      </x:c>
      <x:c r="C613" s="11" t="str">
        <x:v>test_long_paths</x:v>
      </x:c>
      <x:c r="D613" s="11" t="str">
        <x:v>Python</x:v>
      </x:c>
      <x:c r="E613" s="11" t="str">
        <x:v>baidu</x:v>
      </x:c>
      <x:c r="F613" s="11" t="str">
        <x:v>同步</x:v>
      </x:c>
      <x:c r="G613" s="20" t="d">
        <x:v>2026-10-15T00:00:00.000Z</x:v>
      </x:c>
      <x:c r="H613" s="11" t="str">
        <x:v>已通过</x:v>
      </x:c>
      <x:c r="I613" s="22"/>
      <x:c r="J613" s="11" t="str">
        <x:v>JuiceFS 1.3.0+30190ca / WinFsp 2.1.25156；测试工具 S01–S04</x:v>
      </x:c>
      <x:c r="K613" s="11" t="str">
        <x:v>JuiceFS Windows CI 子集；attr-cache=0；云端 get-timeout=5m</x:v>
      </x:c>
      <x:c r="L613" s="11" t="str">
        <x:v>e920ead94a8e28f04e326664178b0c9f02d492b1 + productChanges / plansSha256 见 E01</x:v>
      </x:c>
      <x:c r="M613" s="11" t="str">
        <x:v>E01 / juicefs-upstream-run-AxbnJa</x:v>
      </x:c>
      <x:c r="N613" s="11" t="str">
        <x:v>上游原断言</x:v>
      </x:c>
    </x:row>
    <x:row r="614" ht="74" customHeight="1">
      <x:c r="A614" s="10" t="str">
        <x:v>SUBSET-20261015-baidu-sync</x:v>
      </x:c>
      <x:c r="B614" s="10" t="str">
        <x:v>JFS-PY-07</x:v>
      </x:c>
      <x:c r="C614" s="10" t="str">
        <x:v>test_rename_case_change</x:v>
      </x:c>
      <x:c r="D614" s="10" t="str">
        <x:v>Python</x:v>
      </x:c>
      <x:c r="E614" s="10" t="str">
        <x:v>baidu</x:v>
      </x:c>
      <x:c r="F614" s="10" t="str">
        <x:v>同步</x:v>
      </x:c>
      <x:c r="G614" s="19" t="d">
        <x:v>2026-10-15T00:00:00.000Z</x:v>
      </x:c>
      <x:c r="H614" s="10" t="str">
        <x:v>已通过</x:v>
      </x:c>
      <x:c r="I614" s="21"/>
      <x:c r="J614" s="10" t="str">
        <x:v>JuiceFS 1.3.0+30190ca / WinFsp 2.1.25156；测试工具 S01–S04</x:v>
      </x:c>
      <x:c r="K614" s="10" t="str">
        <x:v>JuiceFS Windows CI 子集；attr-cache=0；云端 get-timeout=5m</x:v>
      </x:c>
      <x:c r="L614" s="10" t="str">
        <x:v>e920ead94a8e28f04e326664178b0c9f02d492b1 + productChanges / plansSha256 见 E01</x:v>
      </x:c>
      <x:c r="M614" s="10" t="str">
        <x:v>E01 / juicefs-upstream-run-AxbnJa</x:v>
      </x:c>
      <x:c r="N614" s="10" t="str">
        <x:v>上游原断言</x:v>
      </x:c>
    </x:row>
    <x:row r="615" ht="74" customHeight="1">
      <x:c r="A615" s="11" t="str">
        <x:v>SUBSET-20261015-baidu-sync</x:v>
      </x:c>
      <x:c r="B615" s="11" t="str">
        <x:v>JFS-PY-08</x:v>
      </x:c>
      <x:c r="C615" s="11" t="str">
        <x:v>test_special_characters</x:v>
      </x:c>
      <x:c r="D615" s="11" t="str">
        <x:v>Python</x:v>
      </x:c>
      <x:c r="E615" s="11" t="str">
        <x:v>baidu</x:v>
      </x:c>
      <x:c r="F615" s="11" t="str">
        <x:v>同步</x:v>
      </x:c>
      <x:c r="G615" s="20" t="d">
        <x:v>2026-10-15T00:00:00.000Z</x:v>
      </x:c>
      <x:c r="H615" s="11" t="str">
        <x:v>已通过</x:v>
      </x:c>
      <x:c r="I615" s="22"/>
      <x:c r="J615" s="11" t="str">
        <x:v>JuiceFS 1.3.0+30190ca / WinFsp 2.1.25156；测试工具 S01–S04</x:v>
      </x:c>
      <x:c r="K615" s="11" t="str">
        <x:v>JuiceFS Windows CI 子集；attr-cache=0；云端 get-timeout=5m</x:v>
      </x:c>
      <x:c r="L615" s="11" t="str">
        <x:v>e920ead94a8e28f04e326664178b0c9f02d492b1 + productChanges / plansSha256 见 E01</x:v>
      </x:c>
      <x:c r="M615" s="11" t="str">
        <x:v>E01 / juicefs-upstream-run-AxbnJa</x:v>
      </x:c>
      <x:c r="N615" s="11" t="str">
        <x:v>上游原断言</x:v>
      </x:c>
    </x:row>
    <x:row r="616" ht="74" customHeight="1">
      <x:c r="A616" s="10" t="str">
        <x:v>SUBSET-20261015-baidu-sync</x:v>
      </x:c>
      <x:c r="B616" s="10" t="str">
        <x:v>JFS-PY-09</x:v>
      </x:c>
      <x:c r="C616" s="10" t="str">
        <x:v>test_symlinks</x:v>
      </x:c>
      <x:c r="D616" s="10" t="str">
        <x:v>Python</x:v>
      </x:c>
      <x:c r="E616" s="10" t="str">
        <x:v>baidu</x:v>
      </x:c>
      <x:c r="F616" s="10" t="str">
        <x:v>同步</x:v>
      </x:c>
      <x:c r="G616" s="19" t="d">
        <x:v>2026-10-15T00:00:00.000Z</x:v>
      </x:c>
      <x:c r="H616" s="10" t="str">
        <x:v>已跳过</x:v>
      </x:c>
      <x:c r="I616" s="21"/>
      <x:c r="J616" s="10" t="str">
        <x:v>JuiceFS 1.3.0+30190ca / WinFsp 2.1.25156；测试工具 S01–S04</x:v>
      </x:c>
      <x:c r="K616" s="10" t="str">
        <x:v>JuiceFS Windows CI 子集；attr-cache=0；云端 get-timeout=5m</x:v>
      </x:c>
      <x:c r="L616" s="10" t="str">
        <x:v>e920ead94a8e28f04e326664178b0c9f02d492b1 + productChanges / plansSha256 见 E01</x:v>
      </x:c>
      <x:c r="M616" s="10" t="str">
        <x:v>E01 / juicefs-upstream-run-AxbnJa</x:v>
      </x:c>
      <x:c r="N616" s="10" t="str">
        <x:v>Windows Do not support</x:v>
      </x:c>
    </x:row>
    <x:row r="617" ht="74" customHeight="1">
      <x:c r="A617" s="11" t="str">
        <x:v>SUBSET-20261015-baidu-sync</x:v>
      </x:c>
      <x:c r="B617" s="11" t="str">
        <x:v>WFP-01</x:v>
      </x:c>
      <x:c r="C617" s="11" t="str">
        <x:v>create_test</x:v>
      </x:c>
      <x:c r="D617" s="11" t="str">
        <x:v>WinFsp fork 默认子集</x:v>
      </x:c>
      <x:c r="E617" s="11" t="str">
        <x:v>baidu</x:v>
      </x:c>
      <x:c r="F617" s="11" t="str">
        <x:v>同步</x:v>
      </x:c>
      <x:c r="G617" s="20" t="d">
        <x:v>2026-10-15T00:00:00.000Z</x:v>
      </x:c>
      <x:c r="H617" s="11" t="str">
        <x:v>已通过</x:v>
      </x:c>
      <x:c r="I617" s="22" t="n">
        <x:v>0.45</x:v>
      </x:c>
      <x:c r="J617" s="11" t="str">
        <x:v>JuiceFS 1.3.0+30190ca / WinFsp 2.1.25156；测试工具 S01–S04</x:v>
      </x:c>
      <x:c r="K617" s="11" t="str">
        <x:v>JuiceFS Windows CI 子集；attr-cache=0；云端 get-timeout=5m</x:v>
      </x:c>
      <x:c r="L617" s="11" t="str">
        <x:v>e920ead94a8e28f04e326664178b0c9f02d492b1 + productChanges / plansSha256 见 E01</x:v>
      </x:c>
      <x:c r="M617" s="11" t="str">
        <x:v>E01 / juicefs-upstream-run-AxbnJa</x:v>
      </x:c>
      <x:c r="N617" s="11" t="str">
        <x:v>--fuse-external --resilient --case-insensitive-cmp</x:v>
      </x:c>
    </x:row>
    <x:row r="618" ht="74" customHeight="1">
      <x:c r="A618" s="10" t="str">
        <x:v>SUBSET-20261015-baidu-sync</x:v>
      </x:c>
      <x:c r="B618" s="10" t="str">
        <x:v>WFP-02</x:v>
      </x:c>
      <x:c r="C618" s="10" t="str">
        <x:v>create_fileattr_test</x:v>
      </x:c>
      <x:c r="D618" s="10" t="str">
        <x:v>WinFsp fork 默认子集</x:v>
      </x:c>
      <x:c r="E618" s="10" t="str">
        <x:v>baidu</x:v>
      </x:c>
      <x:c r="F618" s="10" t="str">
        <x:v>同步</x:v>
      </x:c>
      <x:c r="G618" s="19" t="d">
        <x:v>2026-10-15T00:00:00.000Z</x:v>
      </x:c>
      <x:c r="H618" s="10" t="str">
        <x:v>已通过</x:v>
      </x:c>
      <x:c r="I618" s="21" t="n">
        <x:v>0.761</x:v>
      </x:c>
      <x:c r="J618" s="10" t="str">
        <x:v>JuiceFS 1.3.0+30190ca / WinFsp 2.1.25156；测试工具 S01–S04</x:v>
      </x:c>
      <x:c r="K618" s="10" t="str">
        <x:v>JuiceFS Windows CI 子集；attr-cache=0；云端 get-timeout=5m</x:v>
      </x:c>
      <x:c r="L618" s="10" t="str">
        <x:v>e920ead94a8e28f04e326664178b0c9f02d492b1 + productChanges / plansSha256 见 E01</x:v>
      </x:c>
      <x:c r="M618" s="10" t="str">
        <x:v>E01 / juicefs-upstream-run-AxbnJa</x:v>
      </x:c>
      <x:c r="N618" s="10" t="str">
        <x:v>--fuse-external --resilient --case-insensitive-cmp</x:v>
      </x:c>
    </x:row>
    <x:row r="619" ht="74" customHeight="1">
      <x:c r="A619" s="11" t="str">
        <x:v>SUBSET-20261015-baidu-sync</x:v>
      </x:c>
      <x:c r="B619" s="11" t="str">
        <x:v>WFP-03</x:v>
      </x:c>
      <x:c r="C619" s="11" t="str">
        <x:v>create_readonlydir_test</x:v>
      </x:c>
      <x:c r="D619" s="11" t="str">
        <x:v>WinFsp fork 默认子集</x:v>
      </x:c>
      <x:c r="E619" s="11" t="str">
        <x:v>baidu</x:v>
      </x:c>
      <x:c r="F619" s="11" t="str">
        <x:v>同步</x:v>
      </x:c>
      <x:c r="G619" s="20" t="d">
        <x:v>2026-10-15T00:00:00.000Z</x:v>
      </x:c>
      <x:c r="H619" s="11" t="str">
        <x:v>已通过</x:v>
      </x:c>
      <x:c r="I619" s="22" t="n">
        <x:v>0.885</x:v>
      </x:c>
      <x:c r="J619" s="11" t="str">
        <x:v>JuiceFS 1.3.0+30190ca / WinFsp 2.1.25156；测试工具 S01–S04</x:v>
      </x:c>
      <x:c r="K619" s="11" t="str">
        <x:v>JuiceFS Windows CI 子集；attr-cache=0；云端 get-timeout=5m</x:v>
      </x:c>
      <x:c r="L619" s="11" t="str">
        <x:v>e920ead94a8e28f04e326664178b0c9f02d492b1 + productChanges / plansSha256 见 E01</x:v>
      </x:c>
      <x:c r="M619" s="11" t="str">
        <x:v>E01 / juicefs-upstream-run-AxbnJa</x:v>
      </x:c>
      <x:c r="N619" s="11" t="str">
        <x:v>--fuse-external --resilient --case-insensitive-cmp</x:v>
      </x:c>
    </x:row>
    <x:row r="620" ht="74" customHeight="1">
      <x:c r="A620" s="10" t="str">
        <x:v>SUBSET-20261015-baidu-sync</x:v>
      </x:c>
      <x:c r="B620" s="10" t="str">
        <x:v>WFP-04</x:v>
      </x:c>
      <x:c r="C620" s="10" t="str">
        <x:v>create_related_test</x:v>
      </x:c>
      <x:c r="D620" s="10" t="str">
        <x:v>WinFsp fork 默认子集</x:v>
      </x:c>
      <x:c r="E620" s="10" t="str">
        <x:v>baidu</x:v>
      </x:c>
      <x:c r="F620" s="10" t="str">
        <x:v>同步</x:v>
      </x:c>
      <x:c r="G620" s="19" t="d">
        <x:v>2026-10-15T00:00:00.000Z</x:v>
      </x:c>
      <x:c r="H620" s="10" t="str">
        <x:v>已通过</x:v>
      </x:c>
      <x:c r="I620" s="21" t="n">
        <x:v>0.454</x:v>
      </x:c>
      <x:c r="J620" s="10" t="str">
        <x:v>JuiceFS 1.3.0+30190ca / WinFsp 2.1.25156；测试工具 S01–S04</x:v>
      </x:c>
      <x:c r="K620" s="10" t="str">
        <x:v>JuiceFS Windows CI 子集；attr-cache=0；云端 get-timeout=5m</x:v>
      </x:c>
      <x:c r="L620" s="10" t="str">
        <x:v>e920ead94a8e28f04e326664178b0c9f02d492b1 + productChanges / plansSha256 见 E01</x:v>
      </x:c>
      <x:c r="M620" s="10" t="str">
        <x:v>E01 / juicefs-upstream-run-AxbnJa</x:v>
      </x:c>
      <x:c r="N620" s="10" t="str">
        <x:v>--fuse-external --resilient --case-insensitive-cmp</x:v>
      </x:c>
    </x:row>
    <x:row r="621" ht="74" customHeight="1">
      <x:c r="A621" s="11" t="str">
        <x:v>SUBSET-20261015-baidu-sync</x:v>
      </x:c>
      <x:c r="B621" s="11" t="str">
        <x:v>WFP-05</x:v>
      </x:c>
      <x:c r="C621" s="11" t="str">
        <x:v>create_sd_test</x:v>
      </x:c>
      <x:c r="D621" s="11" t="str">
        <x:v>WinFsp fork 默认子集</x:v>
      </x:c>
      <x:c r="E621" s="11" t="str">
        <x:v>baidu</x:v>
      </x:c>
      <x:c r="F621" s="11" t="str">
        <x:v>同步</x:v>
      </x:c>
      <x:c r="G621" s="20" t="d">
        <x:v>2026-10-15T00:00:00.000Z</x:v>
      </x:c>
      <x:c r="H621" s="11" t="str">
        <x:v>已通过</x:v>
      </x:c>
      <x:c r="I621" s="22" t="n">
        <x:v>0.583</x:v>
      </x:c>
      <x:c r="J621" s="11" t="str">
        <x:v>JuiceFS 1.3.0+30190ca / WinFsp 2.1.25156；测试工具 S01–S04</x:v>
      </x:c>
      <x:c r="K621" s="11" t="str">
        <x:v>JuiceFS Windows CI 子集；attr-cache=0；云端 get-timeout=5m</x:v>
      </x:c>
      <x:c r="L621" s="11" t="str">
        <x:v>e920ead94a8e28f04e326664178b0c9f02d492b1 + productChanges / plansSha256 见 E01</x:v>
      </x:c>
      <x:c r="M621" s="11" t="str">
        <x:v>E01 / juicefs-upstream-run-AxbnJa</x:v>
      </x:c>
      <x:c r="N621" s="11" t="str">
        <x:v>--fuse-external --resilient --case-insensitive-cmp</x:v>
      </x:c>
    </x:row>
    <x:row r="622" ht="74" customHeight="1">
      <x:c r="A622" s="10" t="str">
        <x:v>SUBSET-20261015-baidu-sync</x:v>
      </x:c>
      <x:c r="B622" s="10" t="str">
        <x:v>WFP-06</x:v>
      </x:c>
      <x:c r="C622" s="10" t="str">
        <x:v>create_share_test</x:v>
      </x:c>
      <x:c r="D622" s="10" t="str">
        <x:v>WinFsp fork 默认子集</x:v>
      </x:c>
      <x:c r="E622" s="10" t="str">
        <x:v>baidu</x:v>
      </x:c>
      <x:c r="F622" s="10" t="str">
        <x:v>同步</x:v>
      </x:c>
      <x:c r="G622" s="19" t="d">
        <x:v>2026-10-15T00:00:00.000Z</x:v>
      </x:c>
      <x:c r="H622" s="10" t="str">
        <x:v>已通过</x:v>
      </x:c>
      <x:c r="I622" s="21" t="n">
        <x:v>0.516</x:v>
      </x:c>
      <x:c r="J622" s="10" t="str">
        <x:v>JuiceFS 1.3.0+30190ca / WinFsp 2.1.25156；测试工具 S01–S04</x:v>
      </x:c>
      <x:c r="K622" s="10" t="str">
        <x:v>JuiceFS Windows CI 子集；attr-cache=0；云端 get-timeout=5m</x:v>
      </x:c>
      <x:c r="L622" s="10" t="str">
        <x:v>e920ead94a8e28f04e326664178b0c9f02d492b1 + productChanges / plansSha256 见 E01</x:v>
      </x:c>
      <x:c r="M622" s="10" t="str">
        <x:v>E01 / juicefs-upstream-run-AxbnJa</x:v>
      </x:c>
      <x:c r="N622" s="10" t="str">
        <x:v>--fuse-external --resilient --case-insensitive-cmp</x:v>
      </x:c>
    </x:row>
    <x:row r="623" ht="74" customHeight="1">
      <x:c r="A623" s="11" t="str">
        <x:v>SUBSET-20261015-baidu-sync</x:v>
      </x:c>
      <x:c r="B623" s="11" t="str">
        <x:v>WFP-07</x:v>
      </x:c>
      <x:c r="C623" s="11" t="str">
        <x:v>create_curdir_test</x:v>
      </x:c>
      <x:c r="D623" s="11" t="str">
        <x:v>WinFsp fork 默认子集</x:v>
      </x:c>
      <x:c r="E623" s="11" t="str">
        <x:v>baidu</x:v>
      </x:c>
      <x:c r="F623" s="11" t="str">
        <x:v>同步</x:v>
      </x:c>
      <x:c r="G623" s="20" t="d">
        <x:v>2026-10-15T00:00:00.000Z</x:v>
      </x:c>
      <x:c r="H623" s="11" t="str">
        <x:v>已通过</x:v>
      </x:c>
      <x:c r="I623" s="22" t="n">
        <x:v>0.446</x:v>
      </x:c>
      <x:c r="J623" s="11" t="str">
        <x:v>JuiceFS 1.3.0+30190ca / WinFsp 2.1.25156；测试工具 S01–S04</x:v>
      </x:c>
      <x:c r="K623" s="11" t="str">
        <x:v>JuiceFS Windows CI 子集；attr-cache=0；云端 get-timeout=5m</x:v>
      </x:c>
      <x:c r="L623" s="11" t="str">
        <x:v>e920ead94a8e28f04e326664178b0c9f02d492b1 + productChanges / plansSha256 见 E01</x:v>
      </x:c>
      <x:c r="M623" s="11" t="str">
        <x:v>E01 / juicefs-upstream-run-AxbnJa</x:v>
      </x:c>
      <x:c r="N623" s="11" t="str">
        <x:v>--fuse-external --resilient --case-insensitive-cmp</x:v>
      </x:c>
    </x:row>
    <x:row r="624" ht="74" customHeight="1">
      <x:c r="A624" s="10" t="str">
        <x:v>SUBSET-20261015-baidu-sync</x:v>
      </x:c>
      <x:c r="B624" s="10" t="str">
        <x:v>WFP-08</x:v>
      </x:c>
      <x:c r="C624" s="10" t="str">
        <x:v>getfileinfo_test</x:v>
      </x:c>
      <x:c r="D624" s="10" t="str">
        <x:v>WinFsp fork 默认子集</x:v>
      </x:c>
      <x:c r="E624" s="10" t="str">
        <x:v>baidu</x:v>
      </x:c>
      <x:c r="F624" s="10" t="str">
        <x:v>同步</x:v>
      </x:c>
      <x:c r="G624" s="19" t="d">
        <x:v>2026-10-15T00:00:00.000Z</x:v>
      </x:c>
      <x:c r="H624" s="10" t="str">
        <x:v>已通过</x:v>
      </x:c>
      <x:c r="I624" s="21" t="n">
        <x:v>0.517</x:v>
      </x:c>
      <x:c r="J624" s="10" t="str">
        <x:v>JuiceFS 1.3.0+30190ca / WinFsp 2.1.25156；测试工具 S01–S04</x:v>
      </x:c>
      <x:c r="K624" s="10" t="str">
        <x:v>JuiceFS Windows CI 子集；attr-cache=0；云端 get-timeout=5m</x:v>
      </x:c>
      <x:c r="L624" s="10" t="str">
        <x:v>e920ead94a8e28f04e326664178b0c9f02d492b1 + productChanges / plansSha256 见 E01</x:v>
      </x:c>
      <x:c r="M624" s="10" t="str">
        <x:v>E01 / juicefs-upstream-run-AxbnJa</x:v>
      </x:c>
      <x:c r="N624" s="10" t="str">
        <x:v>--fuse-external --resilient --case-insensitive-cmp</x:v>
      </x:c>
    </x:row>
    <x:row r="625" ht="74" customHeight="1">
      <x:c r="A625" s="11" t="str">
        <x:v>SUBSET-20261015-baidu-sync</x:v>
      </x:c>
      <x:c r="B625" s="11" t="str">
        <x:v>WFP-09</x:v>
      </x:c>
      <x:c r="C625" s="11" t="str">
        <x:v>setfileinfo_test</x:v>
      </x:c>
      <x:c r="D625" s="11" t="str">
        <x:v>WinFsp fork 默认子集</x:v>
      </x:c>
      <x:c r="E625" s="11" t="str">
        <x:v>baidu</x:v>
      </x:c>
      <x:c r="F625" s="11" t="str">
        <x:v>同步</x:v>
      </x:c>
      <x:c r="G625" s="20" t="d">
        <x:v>2026-10-15T00:00:00.000Z</x:v>
      </x:c>
      <x:c r="H625" s="11" t="str">
        <x:v>已通过</x:v>
      </x:c>
      <x:c r="I625" s="22" t="n">
        <x:v>0.584</x:v>
      </x:c>
      <x:c r="J625" s="11" t="str">
        <x:v>JuiceFS 1.3.0+30190ca / WinFsp 2.1.25156；测试工具 S01–S04</x:v>
      </x:c>
      <x:c r="K625" s="11" t="str">
        <x:v>JuiceFS Windows CI 子集；attr-cache=0；云端 get-timeout=5m</x:v>
      </x:c>
      <x:c r="L625" s="11" t="str">
        <x:v>e920ead94a8e28f04e326664178b0c9f02d492b1 + productChanges / plansSha256 见 E01</x:v>
      </x:c>
      <x:c r="M625" s="11" t="str">
        <x:v>E01 / juicefs-upstream-run-AxbnJa</x:v>
      </x:c>
      <x:c r="N625" s="11" t="str">
        <x:v>--fuse-external --resilient --case-insensitive-cmp</x:v>
      </x:c>
    </x:row>
    <x:row r="626" ht="74" customHeight="1">
      <x:c r="A626" s="10" t="str">
        <x:v>SUBSET-20261015-baidu-sync</x:v>
      </x:c>
      <x:c r="B626" s="10" t="str">
        <x:v>WFP-10</x:v>
      </x:c>
      <x:c r="C626" s="10" t="str">
        <x:v>delete_test</x:v>
      </x:c>
      <x:c r="D626" s="10" t="str">
        <x:v>WinFsp fork 默认子集</x:v>
      </x:c>
      <x:c r="E626" s="10" t="str">
        <x:v>baidu</x:v>
      </x:c>
      <x:c r="F626" s="10" t="str">
        <x:v>同步</x:v>
      </x:c>
      <x:c r="G626" s="19" t="d">
        <x:v>2026-10-15T00:00:00.000Z</x:v>
      </x:c>
      <x:c r="H626" s="10" t="str">
        <x:v>已通过</x:v>
      </x:c>
      <x:c r="I626" s="21" t="n">
        <x:v>0.381</x:v>
      </x:c>
      <x:c r="J626" s="10" t="str">
        <x:v>JuiceFS 1.3.0+30190ca / WinFsp 2.1.25156；测试工具 S01–S04</x:v>
      </x:c>
      <x:c r="K626" s="10" t="str">
        <x:v>JuiceFS Windows CI 子集；attr-cache=0；云端 get-timeout=5m</x:v>
      </x:c>
      <x:c r="L626" s="10" t="str">
        <x:v>e920ead94a8e28f04e326664178b0c9f02d492b1 + productChanges / plansSha256 见 E01</x:v>
      </x:c>
      <x:c r="M626" s="10" t="str">
        <x:v>E01 / juicefs-upstream-run-AxbnJa</x:v>
      </x:c>
      <x:c r="N626" s="10" t="str">
        <x:v>--fuse-external --resilient --case-insensitive-cmp</x:v>
      </x:c>
    </x:row>
    <x:row r="627" ht="74" customHeight="1">
      <x:c r="A627" s="11" t="str">
        <x:v>SUBSET-20261015-baidu-sync</x:v>
      </x:c>
      <x:c r="B627" s="11" t="str">
        <x:v>WFP-11</x:v>
      </x:c>
      <x:c r="C627" s="11" t="str">
        <x:v>delete_access_test</x:v>
      </x:c>
      <x:c r="D627" s="11" t="str">
        <x:v>WinFsp fork 默认子集</x:v>
      </x:c>
      <x:c r="E627" s="11" t="str">
        <x:v>baidu</x:v>
      </x:c>
      <x:c r="F627" s="11" t="str">
        <x:v>同步</x:v>
      </x:c>
      <x:c r="G627" s="20" t="d">
        <x:v>2026-10-15T00:00:00.000Z</x:v>
      </x:c>
      <x:c r="H627" s="11" t="str">
        <x:v>已通过</x:v>
      </x:c>
      <x:c r="I627" s="22" t="n">
        <x:v>0.66</x:v>
      </x:c>
      <x:c r="J627" s="11" t="str">
        <x:v>JuiceFS 1.3.0+30190ca / WinFsp 2.1.25156；测试工具 S01–S04</x:v>
      </x:c>
      <x:c r="K627" s="11" t="str">
        <x:v>JuiceFS Windows CI 子集；attr-cache=0；云端 get-timeout=5m</x:v>
      </x:c>
      <x:c r="L627" s="11" t="str">
        <x:v>e920ead94a8e28f04e326664178b0c9f02d492b1 + productChanges / plansSha256 见 E01</x:v>
      </x:c>
      <x:c r="M627" s="11" t="str">
        <x:v>E01 / juicefs-upstream-run-AxbnJa</x:v>
      </x:c>
      <x:c r="N627" s="11" t="str">
        <x:v>--fuse-external --resilient --case-insensitive-cmp</x:v>
      </x:c>
    </x:row>
    <x:row r="628" ht="74" customHeight="1">
      <x:c r="A628" s="10" t="str">
        <x:v>SUBSET-20261015-baidu-sync</x:v>
      </x:c>
      <x:c r="B628" s="10" t="str">
        <x:v>WFP-12</x:v>
      </x:c>
      <x:c r="C628" s="10" t="str">
        <x:v>delete_pending_test</x:v>
      </x:c>
      <x:c r="D628" s="10" t="str">
        <x:v>WinFsp fork 默认子集</x:v>
      </x:c>
      <x:c r="E628" s="10" t="str">
        <x:v>baidu</x:v>
      </x:c>
      <x:c r="F628" s="10" t="str">
        <x:v>同步</x:v>
      </x:c>
      <x:c r="G628" s="19" t="d">
        <x:v>2026-10-15T00:00:00.000Z</x:v>
      </x:c>
      <x:c r="H628" s="10" t="str">
        <x:v>已通过</x:v>
      </x:c>
      <x:c r="I628" s="21" t="n">
        <x:v>0.495</x:v>
      </x:c>
      <x:c r="J628" s="10" t="str">
        <x:v>JuiceFS 1.3.0+30190ca / WinFsp 2.1.25156；测试工具 S01–S04</x:v>
      </x:c>
      <x:c r="K628" s="10" t="str">
        <x:v>JuiceFS Windows CI 子集；attr-cache=0；云端 get-timeout=5m</x:v>
      </x:c>
      <x:c r="L628" s="10" t="str">
        <x:v>e920ead94a8e28f04e326664178b0c9f02d492b1 + productChanges / plansSha256 见 E01</x:v>
      </x:c>
      <x:c r="M628" s="10" t="str">
        <x:v>E01 / juicefs-upstream-run-AxbnJa</x:v>
      </x:c>
      <x:c r="N628" s="10" t="str">
        <x:v>--fuse-external --resilient --case-insensitive-cmp</x:v>
      </x:c>
    </x:row>
    <x:row r="629" ht="74" customHeight="1">
      <x:c r="A629" s="11" t="str">
        <x:v>SUBSET-20261015-baidu-sync</x:v>
      </x:c>
      <x:c r="B629" s="11" t="str">
        <x:v>WFP-13</x:v>
      </x:c>
      <x:c r="C629" s="11" t="str">
        <x:v>delete_mmap_test</x:v>
      </x:c>
      <x:c r="D629" s="11" t="str">
        <x:v>WinFsp fork 默认子集</x:v>
      </x:c>
      <x:c r="E629" s="11" t="str">
        <x:v>baidu</x:v>
      </x:c>
      <x:c r="F629" s="11" t="str">
        <x:v>同步</x:v>
      </x:c>
      <x:c r="G629" s="20" t="d">
        <x:v>2026-10-15T00:00:00.000Z</x:v>
      </x:c>
      <x:c r="H629" s="11" t="str">
        <x:v>已通过</x:v>
      </x:c>
      <x:c r="I629" s="22" t="n">
        <x:v>0.376</x:v>
      </x:c>
      <x:c r="J629" s="11" t="str">
        <x:v>JuiceFS 1.3.0+30190ca / WinFsp 2.1.25156；测试工具 S01–S04</x:v>
      </x:c>
      <x:c r="K629" s="11" t="str">
        <x:v>JuiceFS Windows CI 子集；attr-cache=0；云端 get-timeout=5m</x:v>
      </x:c>
      <x:c r="L629" s="11" t="str">
        <x:v>e920ead94a8e28f04e326664178b0c9f02d492b1 + productChanges / plansSha256 见 E01</x:v>
      </x:c>
      <x:c r="M629" s="11" t="str">
        <x:v>E01 / juicefs-upstream-run-AxbnJa</x:v>
      </x:c>
      <x:c r="N629" s="11" t="str">
        <x:v>--fuse-external --resilient --case-insensitive-cmp</x:v>
      </x:c>
    </x:row>
    <x:row r="630" ht="74" customHeight="1">
      <x:c r="A630" s="10" t="str">
        <x:v>SUBSET-20261015-baidu-sync</x:v>
      </x:c>
      <x:c r="B630" s="10" t="str">
        <x:v>WFP-14</x:v>
      </x:c>
      <x:c r="C630" s="10" t="str">
        <x:v>delete_standby_test</x:v>
      </x:c>
      <x:c r="D630" s="10" t="str">
        <x:v>WinFsp fork 默认子集</x:v>
      </x:c>
      <x:c r="E630" s="10" t="str">
        <x:v>baidu</x:v>
      </x:c>
      <x:c r="F630" s="10" t="str">
        <x:v>同步</x:v>
      </x:c>
      <x:c r="G630" s="19" t="d">
        <x:v>2026-10-15T00:00:00.000Z</x:v>
      </x:c>
      <x:c r="H630" s="10" t="str">
        <x:v>已通过</x:v>
      </x:c>
      <x:c r="I630" s="21" t="n">
        <x:v>0.758</x:v>
      </x:c>
      <x:c r="J630" s="10" t="str">
        <x:v>JuiceFS 1.3.0+30190ca / WinFsp 2.1.25156；测试工具 S01–S04</x:v>
      </x:c>
      <x:c r="K630" s="10" t="str">
        <x:v>JuiceFS Windows CI 子集；attr-cache=0；云端 get-timeout=5m</x:v>
      </x:c>
      <x:c r="L630" s="10" t="str">
        <x:v>e920ead94a8e28f04e326664178b0c9f02d492b1 + productChanges / plansSha256 见 E01</x:v>
      </x:c>
      <x:c r="M630" s="10" t="str">
        <x:v>E01 / juicefs-upstream-run-AxbnJa</x:v>
      </x:c>
      <x:c r="N630" s="10" t="str">
        <x:v>--fuse-external --resilient --case-insensitive-cmp</x:v>
      </x:c>
    </x:row>
    <x:row r="631" ht="74" customHeight="1">
      <x:c r="A631" s="11" t="str">
        <x:v>SUBSET-20261015-baidu-sync</x:v>
      </x:c>
      <x:c r="B631" s="11" t="str">
        <x:v>WFP-15</x:v>
      </x:c>
      <x:c r="C631" s="11" t="str">
        <x:v>delete_ex_test</x:v>
      </x:c>
      <x:c r="D631" s="11" t="str">
        <x:v>WinFsp fork 默认子集</x:v>
      </x:c>
      <x:c r="E631" s="11" t="str">
        <x:v>baidu</x:v>
      </x:c>
      <x:c r="F631" s="11" t="str">
        <x:v>同步</x:v>
      </x:c>
      <x:c r="G631" s="20" t="d">
        <x:v>2026-10-15T00:00:00.000Z</x:v>
      </x:c>
      <x:c r="H631" s="11" t="str">
        <x:v>已通过</x:v>
      </x:c>
      <x:c r="I631" s="22" t="n">
        <x:v>0.411</x:v>
      </x:c>
      <x:c r="J631" s="11" t="str">
        <x:v>JuiceFS 1.3.0+30190ca / WinFsp 2.1.25156；测试工具 S01–S04</x:v>
      </x:c>
      <x:c r="K631" s="11" t="str">
        <x:v>JuiceFS Windows CI 子集；attr-cache=0；云端 get-timeout=5m</x:v>
      </x:c>
      <x:c r="L631" s="11" t="str">
        <x:v>e920ead94a8e28f04e326664178b0c9f02d492b1 + productChanges / plansSha256 见 E01</x:v>
      </x:c>
      <x:c r="M631" s="11" t="str">
        <x:v>E01 / juicefs-upstream-run-AxbnJa</x:v>
      </x:c>
      <x:c r="N631" s="11" t="str">
        <x:v>--fuse-external --resilient --case-insensitive-cmp</x:v>
      </x:c>
    </x:row>
    <x:row r="632" ht="74" customHeight="1">
      <x:c r="A632" s="10" t="str">
        <x:v>SUBSET-20261015-baidu-sync</x:v>
      </x:c>
      <x:c r="B632" s="10" t="str">
        <x:v>WFP-16</x:v>
      </x:c>
      <x:c r="C632" s="10" t="str">
        <x:v>rename_test</x:v>
      </x:c>
      <x:c r="D632" s="10" t="str">
        <x:v>WinFsp fork 默认子集</x:v>
      </x:c>
      <x:c r="E632" s="10" t="str">
        <x:v>baidu</x:v>
      </x:c>
      <x:c r="F632" s="10" t="str">
        <x:v>同步</x:v>
      </x:c>
      <x:c r="G632" s="19" t="d">
        <x:v>2026-10-15T00:00:00.000Z</x:v>
      </x:c>
      <x:c r="H632" s="10" t="str">
        <x:v>已通过</x:v>
      </x:c>
      <x:c r="I632" s="21" t="n">
        <x:v>0.481</x:v>
      </x:c>
      <x:c r="J632" s="10" t="str">
        <x:v>JuiceFS 1.3.0+30190ca / WinFsp 2.1.25156；测试工具 S01–S04</x:v>
      </x:c>
      <x:c r="K632" s="10" t="str">
        <x:v>JuiceFS Windows CI 子集；attr-cache=0；云端 get-timeout=5m</x:v>
      </x:c>
      <x:c r="L632" s="10" t="str">
        <x:v>e920ead94a8e28f04e326664178b0c9f02d492b1 + productChanges / plansSha256 见 E01</x:v>
      </x:c>
      <x:c r="M632" s="10" t="str">
        <x:v>E01 / juicefs-upstream-run-AxbnJa</x:v>
      </x:c>
      <x:c r="N632" s="10" t="str">
        <x:v>--fuse-external --resilient --case-insensitive-cmp</x:v>
      </x:c>
    </x:row>
    <x:row r="633" ht="74" customHeight="1">
      <x:c r="A633" s="11" t="str">
        <x:v>SUBSET-20261015-baidu-sync</x:v>
      </x:c>
      <x:c r="B633" s="11" t="str">
        <x:v>WFP-17</x:v>
      </x:c>
      <x:c r="C633" s="11" t="str">
        <x:v>rename_backslash_test</x:v>
      </x:c>
      <x:c r="D633" s="11" t="str">
        <x:v>WinFsp fork 默认子集</x:v>
      </x:c>
      <x:c r="E633" s="11" t="str">
        <x:v>baidu</x:v>
      </x:c>
      <x:c r="F633" s="11" t="str">
        <x:v>同步</x:v>
      </x:c>
      <x:c r="G633" s="20" t="d">
        <x:v>2026-10-15T00:00:00.000Z</x:v>
      </x:c>
      <x:c r="H633" s="11" t="str">
        <x:v>已通过</x:v>
      </x:c>
      <x:c r="I633" s="22" t="n">
        <x:v>0.606</x:v>
      </x:c>
      <x:c r="J633" s="11" t="str">
        <x:v>JuiceFS 1.3.0+30190ca / WinFsp 2.1.25156；测试工具 S01–S04</x:v>
      </x:c>
      <x:c r="K633" s="11" t="str">
        <x:v>JuiceFS Windows CI 子集；attr-cache=0；云端 get-timeout=5m</x:v>
      </x:c>
      <x:c r="L633" s="11" t="str">
        <x:v>e920ead94a8e28f04e326664178b0c9f02d492b1 + productChanges / plansSha256 见 E01</x:v>
      </x:c>
      <x:c r="M633" s="11" t="str">
        <x:v>E01 / juicefs-upstream-run-AxbnJa</x:v>
      </x:c>
      <x:c r="N633" s="11" t="str">
        <x:v>--fuse-external --resilient --case-insensitive-cmp</x:v>
      </x:c>
    </x:row>
    <x:row r="634" ht="74" customHeight="1">
      <x:c r="A634" s="10" t="str">
        <x:v>SUBSET-20261015-baidu-sync</x:v>
      </x:c>
      <x:c r="B634" s="10" t="str">
        <x:v>WFP-18</x:v>
      </x:c>
      <x:c r="C634" s="10" t="str">
        <x:v>rename_open_test</x:v>
      </x:c>
      <x:c r="D634" s="10" t="str">
        <x:v>WinFsp fork 默认子集</x:v>
      </x:c>
      <x:c r="E634" s="10" t="str">
        <x:v>baidu</x:v>
      </x:c>
      <x:c r="F634" s="10" t="str">
        <x:v>同步</x:v>
      </x:c>
      <x:c r="G634" s="19" t="d">
        <x:v>2026-10-15T00:00:00.000Z</x:v>
      </x:c>
      <x:c r="H634" s="10" t="str">
        <x:v>已通过</x:v>
      </x:c>
      <x:c r="I634" s="21" t="n">
        <x:v>0.513</x:v>
      </x:c>
      <x:c r="J634" s="10" t="str">
        <x:v>JuiceFS 1.3.0+30190ca / WinFsp 2.1.25156；测试工具 S01–S04</x:v>
      </x:c>
      <x:c r="K634" s="10" t="str">
        <x:v>JuiceFS Windows CI 子集；attr-cache=0；云端 get-timeout=5m</x:v>
      </x:c>
      <x:c r="L634" s="10" t="str">
        <x:v>e920ead94a8e28f04e326664178b0c9f02d492b1 + productChanges / plansSha256 见 E01</x:v>
      </x:c>
      <x:c r="M634" s="10" t="str">
        <x:v>E01 / juicefs-upstream-run-AxbnJa</x:v>
      </x:c>
      <x:c r="N634" s="10" t="str">
        <x:v>--fuse-external --resilient --case-insensitive-cmp</x:v>
      </x:c>
    </x:row>
    <x:row r="635" ht="74" customHeight="1">
      <x:c r="A635" s="11" t="str">
        <x:v>SUBSET-20261015-baidu-sync</x:v>
      </x:c>
      <x:c r="B635" s="11" t="str">
        <x:v>WFP-19</x:v>
      </x:c>
      <x:c r="C635" s="11" t="str">
        <x:v>rename_caseins_test</x:v>
      </x:c>
      <x:c r="D635" s="11" t="str">
        <x:v>WinFsp fork 默认子集</x:v>
      </x:c>
      <x:c r="E635" s="11" t="str">
        <x:v>baidu</x:v>
      </x:c>
      <x:c r="F635" s="11" t="str">
        <x:v>同步</x:v>
      </x:c>
      <x:c r="G635" s="20" t="d">
        <x:v>2026-10-15T00:00:00.000Z</x:v>
      </x:c>
      <x:c r="H635" s="11" t="str">
        <x:v>已通过</x:v>
      </x:c>
      <x:c r="I635" s="22" t="n">
        <x:v>0.442</x:v>
      </x:c>
      <x:c r="J635" s="11" t="str">
        <x:v>JuiceFS 1.3.0+30190ca / WinFsp 2.1.25156；测试工具 S01–S04</x:v>
      </x:c>
      <x:c r="K635" s="11" t="str">
        <x:v>JuiceFS Windows CI 子集；attr-cache=0；云端 get-timeout=5m</x:v>
      </x:c>
      <x:c r="L635" s="11" t="str">
        <x:v>e920ead94a8e28f04e326664178b0c9f02d492b1 + productChanges / plansSha256 见 E01</x:v>
      </x:c>
      <x:c r="M635" s="11" t="str">
        <x:v>E01 / juicefs-upstream-run-AxbnJa</x:v>
      </x:c>
      <x:c r="N635" s="11" t="str">
        <x:v>--fuse-external --resilient --case-insensitive-cmp</x:v>
      </x:c>
    </x:row>
    <x:row r="636" ht="74" customHeight="1">
      <x:c r="A636" s="10" t="str">
        <x:v>SUBSET-20261015-baidu-sync</x:v>
      </x:c>
      <x:c r="B636" s="10" t="str">
        <x:v>WFP-20</x:v>
      </x:c>
      <x:c r="C636" s="10" t="str">
        <x:v>rename_flipflop_test</x:v>
      </x:c>
      <x:c r="D636" s="10" t="str">
        <x:v>WinFsp fork 默认子集</x:v>
      </x:c>
      <x:c r="E636" s="10" t="str">
        <x:v>baidu</x:v>
      </x:c>
      <x:c r="F636" s="10" t="str">
        <x:v>同步</x:v>
      </x:c>
      <x:c r="G636" s="19" t="d">
        <x:v>2026-10-15T00:00:00.000Z</x:v>
      </x:c>
      <x:c r="H636" s="10" t="str">
        <x:v>已通过</x:v>
      </x:c>
      <x:c r="I636" s="21" t="n">
        <x:v>0.561</x:v>
      </x:c>
      <x:c r="J636" s="10" t="str">
        <x:v>JuiceFS 1.3.0+30190ca / WinFsp 2.1.25156；测试工具 S01–S04</x:v>
      </x:c>
      <x:c r="K636" s="10" t="str">
        <x:v>JuiceFS Windows CI 子集；attr-cache=0；云端 get-timeout=5m</x:v>
      </x:c>
      <x:c r="L636" s="10" t="str">
        <x:v>e920ead94a8e28f04e326664178b0c9f02d492b1 + productChanges / plansSha256 见 E01</x:v>
      </x:c>
      <x:c r="M636" s="10" t="str">
        <x:v>E01 / juicefs-upstream-run-AxbnJa</x:v>
      </x:c>
      <x:c r="N636" s="10" t="str">
        <x:v>--fuse-external --resilient --case-insensitive-cmp</x:v>
      </x:c>
    </x:row>
    <x:row r="637" ht="74" customHeight="1">
      <x:c r="A637" s="11" t="str">
        <x:v>SUBSET-20261015-baidu-sync</x:v>
      </x:c>
      <x:c r="B637" s="11" t="str">
        <x:v>WFP-21</x:v>
      </x:c>
      <x:c r="C637" s="11" t="str">
        <x:v>rename_mmap_test</x:v>
      </x:c>
      <x:c r="D637" s="11" t="str">
        <x:v>WinFsp fork 默认子集</x:v>
      </x:c>
      <x:c r="E637" s="11" t="str">
        <x:v>baidu</x:v>
      </x:c>
      <x:c r="F637" s="11" t="str">
        <x:v>同步</x:v>
      </x:c>
      <x:c r="G637" s="20" t="d">
        <x:v>2026-10-15T00:00:00.000Z</x:v>
      </x:c>
      <x:c r="H637" s="11" t="str">
        <x:v>已通过</x:v>
      </x:c>
      <x:c r="I637" s="22" t="n">
        <x:v>0.472</x:v>
      </x:c>
      <x:c r="J637" s="11" t="str">
        <x:v>JuiceFS 1.3.0+30190ca / WinFsp 2.1.25156；测试工具 S01–S04</x:v>
      </x:c>
      <x:c r="K637" s="11" t="str">
        <x:v>JuiceFS Windows CI 子集；attr-cache=0；云端 get-timeout=5m</x:v>
      </x:c>
      <x:c r="L637" s="11" t="str">
        <x:v>e920ead94a8e28f04e326664178b0c9f02d492b1 + productChanges / plansSha256 见 E01</x:v>
      </x:c>
      <x:c r="M637" s="11" t="str">
        <x:v>E01 / juicefs-upstream-run-AxbnJa</x:v>
      </x:c>
      <x:c r="N637" s="11" t="str">
        <x:v>--fuse-external --resilient --case-insensitive-cmp</x:v>
      </x:c>
    </x:row>
    <x:row r="638" ht="74" customHeight="1">
      <x:c r="A638" s="10" t="str">
        <x:v>SUBSET-20261015-baidu-sync</x:v>
      </x:c>
      <x:c r="B638" s="10" t="str">
        <x:v>WFP-22</x:v>
      </x:c>
      <x:c r="C638" s="10" t="str">
        <x:v>rename_standby_test</x:v>
      </x:c>
      <x:c r="D638" s="10" t="str">
        <x:v>WinFsp fork 默认子集</x:v>
      </x:c>
      <x:c r="E638" s="10" t="str">
        <x:v>baidu</x:v>
      </x:c>
      <x:c r="F638" s="10" t="str">
        <x:v>同步</x:v>
      </x:c>
      <x:c r="G638" s="19" t="d">
        <x:v>2026-10-15T00:00:00.000Z</x:v>
      </x:c>
      <x:c r="H638" s="10" t="str">
        <x:v>已通过</x:v>
      </x:c>
      <x:c r="I638" s="21" t="n">
        <x:v>5.008</x:v>
      </x:c>
      <x:c r="J638" s="10" t="str">
        <x:v>JuiceFS 1.3.0+30190ca / WinFsp 2.1.25156；测试工具 S01–S04</x:v>
      </x:c>
      <x:c r="K638" s="10" t="str">
        <x:v>JuiceFS Windows CI 子集；attr-cache=0；云端 get-timeout=5m</x:v>
      </x:c>
      <x:c r="L638" s="10" t="str">
        <x:v>e920ead94a8e28f04e326664178b0c9f02d492b1 + productChanges / plansSha256 见 E01</x:v>
      </x:c>
      <x:c r="M638" s="10" t="str">
        <x:v>E01 / juicefs-upstream-run-AxbnJa</x:v>
      </x:c>
      <x:c r="N638" s="10" t="str">
        <x:v>--fuse-external --resilient --case-insensitive-cmp</x:v>
      </x:c>
    </x:row>
    <x:row r="639" ht="74" customHeight="1">
      <x:c r="A639" s="11" t="str">
        <x:v>SUBSET-20261015-baidu-sync</x:v>
      </x:c>
      <x:c r="B639" s="11" t="str">
        <x:v>WFP-23</x:v>
      </x:c>
      <x:c r="C639" s="11" t="str">
        <x:v>rename_ex_test</x:v>
      </x:c>
      <x:c r="D639" s="11" t="str">
        <x:v>WinFsp fork 默认子集</x:v>
      </x:c>
      <x:c r="E639" s="11" t="str">
        <x:v>baidu</x:v>
      </x:c>
      <x:c r="F639" s="11" t="str">
        <x:v>同步</x:v>
      </x:c>
      <x:c r="G639" s="20" t="d">
        <x:v>2026-10-15T00:00:00.000Z</x:v>
      </x:c>
      <x:c r="H639" s="11" t="str">
        <x:v>已通过</x:v>
      </x:c>
      <x:c r="I639" s="22" t="n">
        <x:v>0.447</x:v>
      </x:c>
      <x:c r="J639" s="11" t="str">
        <x:v>JuiceFS 1.3.0+30190ca / WinFsp 2.1.25156；测试工具 S01–S04</x:v>
      </x:c>
      <x:c r="K639" s="11" t="str">
        <x:v>JuiceFS Windows CI 子集；attr-cache=0；云端 get-timeout=5m</x:v>
      </x:c>
      <x:c r="L639" s="11" t="str">
        <x:v>e920ead94a8e28f04e326664178b0c9f02d492b1 + productChanges / plansSha256 见 E01</x:v>
      </x:c>
      <x:c r="M639" s="11" t="str">
        <x:v>E01 / juicefs-upstream-run-AxbnJa</x:v>
      </x:c>
      <x:c r="N639" s="11" t="str">
        <x:v>--fuse-external --resilient --case-insensitive-cmp</x:v>
      </x:c>
    </x:row>
    <x:row r="640" ht="74" customHeight="1">
      <x:c r="A640" s="10" t="str">
        <x:v>SUBSET-20261015-baidu-sync</x:v>
      </x:c>
      <x:c r="B640" s="10" t="str">
        <x:v>WFP-24</x:v>
      </x:c>
      <x:c r="C640" s="10" t="str">
        <x:v>getvolinfo_test</x:v>
      </x:c>
      <x:c r="D640" s="10" t="str">
        <x:v>WinFsp fork 默认子集</x:v>
      </x:c>
      <x:c r="E640" s="10" t="str">
        <x:v>baidu</x:v>
      </x:c>
      <x:c r="F640" s="10" t="str">
        <x:v>同步</x:v>
      </x:c>
      <x:c r="G640" s="19" t="d">
        <x:v>2026-10-15T00:00:00.000Z</x:v>
      </x:c>
      <x:c r="H640" s="10" t="str">
        <x:v>已通过</x:v>
      </x:c>
      <x:c r="I640" s="21" t="n">
        <x:v>0.443</x:v>
      </x:c>
      <x:c r="J640" s="10" t="str">
        <x:v>JuiceFS 1.3.0+30190ca / WinFsp 2.1.25156；测试工具 S01–S04</x:v>
      </x:c>
      <x:c r="K640" s="10" t="str">
        <x:v>JuiceFS Windows CI 子集；attr-cache=0；云端 get-timeout=5m</x:v>
      </x:c>
      <x:c r="L640" s="10" t="str">
        <x:v>e920ead94a8e28f04e326664178b0c9f02d492b1 + productChanges / plansSha256 见 E01</x:v>
      </x:c>
      <x:c r="M640" s="10" t="str">
        <x:v>E01 / juicefs-upstream-run-AxbnJa</x:v>
      </x:c>
      <x:c r="N640" s="10" t="str">
        <x:v>--fuse-external --resilient --case-insensitive-cmp</x:v>
      </x:c>
    </x:row>
    <x:row r="641" ht="74" customHeight="1">
      <x:c r="A641" s="11" t="str">
        <x:v>SUBSET-20261015-baidu-sync</x:v>
      </x:c>
      <x:c r="B641" s="11" t="str">
        <x:v>WFP-25</x:v>
      </x:c>
      <x:c r="C641" s="11" t="str">
        <x:v>setvolinfo_test</x:v>
      </x:c>
      <x:c r="D641" s="11" t="str">
        <x:v>WinFsp fork 默认子集</x:v>
      </x:c>
      <x:c r="E641" s="11" t="str">
        <x:v>baidu</x:v>
      </x:c>
      <x:c r="F641" s="11" t="str">
        <x:v>同步</x:v>
      </x:c>
      <x:c r="G641" s="20" t="d">
        <x:v>2026-10-15T00:00:00.000Z</x:v>
      </x:c>
      <x:c r="H641" s="11" t="str">
        <x:v>已通过</x:v>
      </x:c>
      <x:c r="I641" s="22" t="n">
        <x:v>0.516</x:v>
      </x:c>
      <x:c r="J641" s="11" t="str">
        <x:v>JuiceFS 1.3.0+30190ca / WinFsp 2.1.25156；测试工具 S01–S04</x:v>
      </x:c>
      <x:c r="K641" s="11" t="str">
        <x:v>JuiceFS Windows CI 子集；attr-cache=0；云端 get-timeout=5m</x:v>
      </x:c>
      <x:c r="L641" s="11" t="str">
        <x:v>e920ead94a8e28f04e326664178b0c9f02d492b1 + productChanges / plansSha256 见 E01</x:v>
      </x:c>
      <x:c r="M641" s="11" t="str">
        <x:v>E01 / juicefs-upstream-run-AxbnJa</x:v>
      </x:c>
      <x:c r="N641" s="11" t="str">
        <x:v>--fuse-external --resilient --case-insensitive-cmp</x:v>
      </x:c>
    </x:row>
    <x:row r="642" ht="74" customHeight="1">
      <x:c r="A642" s="10" t="str">
        <x:v>SUBSET-20261015-baidu-sync</x:v>
      </x:c>
      <x:c r="B642" s="10" t="str">
        <x:v>WFP-26</x:v>
      </x:c>
      <x:c r="C642" s="10" t="str">
        <x:v>getsecurity_test</x:v>
      </x:c>
      <x:c r="D642" s="10" t="str">
        <x:v>WinFsp fork 默认子集</x:v>
      </x:c>
      <x:c r="E642" s="10" t="str">
        <x:v>baidu</x:v>
      </x:c>
      <x:c r="F642" s="10" t="str">
        <x:v>同步</x:v>
      </x:c>
      <x:c r="G642" s="19" t="d">
        <x:v>2026-10-15T00:00:00.000Z</x:v>
      </x:c>
      <x:c r="H642" s="10" t="str">
        <x:v>已通过</x:v>
      </x:c>
      <x:c r="I642" s="21" t="n">
        <x:v>0.594</x:v>
      </x:c>
      <x:c r="J642" s="10" t="str">
        <x:v>JuiceFS 1.3.0+30190ca / WinFsp 2.1.25156；测试工具 S01–S04</x:v>
      </x:c>
      <x:c r="K642" s="10" t="str">
        <x:v>JuiceFS Windows CI 子集；attr-cache=0；云端 get-timeout=5m</x:v>
      </x:c>
      <x:c r="L642" s="10" t="str">
        <x:v>e920ead94a8e28f04e326664178b0c9f02d492b1 + productChanges / plansSha256 见 E01</x:v>
      </x:c>
      <x:c r="M642" s="10" t="str">
        <x:v>E01 / juicefs-upstream-run-AxbnJa</x:v>
      </x:c>
      <x:c r="N642" s="10" t="str">
        <x:v>--fuse-external --resilient --case-insensitive-cmp</x:v>
      </x:c>
    </x:row>
    <x:row r="643" ht="74" customHeight="1">
      <x:c r="A643" s="11" t="str">
        <x:v>SUBSET-20261015-baidu-sync</x:v>
      </x:c>
      <x:c r="B643" s="11" t="str">
        <x:v>WFP-27</x:v>
      </x:c>
      <x:c r="C643" s="11" t="str">
        <x:v>rdwr_noncached_test</x:v>
      </x:c>
      <x:c r="D643" s="11" t="str">
        <x:v>WinFsp fork 默认子集</x:v>
      </x:c>
      <x:c r="E643" s="11" t="str">
        <x:v>baidu</x:v>
      </x:c>
      <x:c r="F643" s="11" t="str">
        <x:v>同步</x:v>
      </x:c>
      <x:c r="G643" s="20" t="d">
        <x:v>2026-10-15T00:00:00.000Z</x:v>
      </x:c>
      <x:c r="H643" s="11" t="str">
        <x:v>已通过</x:v>
      </x:c>
      <x:c r="I643" s="22" t="n">
        <x:v>10.566</x:v>
      </x:c>
      <x:c r="J643" s="11" t="str">
        <x:v>JuiceFS 1.3.0+30190ca / WinFsp 2.1.25156；测试工具 S01–S04</x:v>
      </x:c>
      <x:c r="K643" s="11" t="str">
        <x:v>JuiceFS Windows CI 子集；attr-cache=0；云端 get-timeout=5m</x:v>
      </x:c>
      <x:c r="L643" s="11" t="str">
        <x:v>e920ead94a8e28f04e326664178b0c9f02d492b1 + productChanges / plansSha256 见 E01</x:v>
      </x:c>
      <x:c r="M643" s="11" t="str">
        <x:v>E01 / juicefs-upstream-run-AxbnJa</x:v>
      </x:c>
      <x:c r="N643" s="11" t="str">
        <x:v>--fuse-external --resilient --case-insensitive-cmp</x:v>
      </x:c>
    </x:row>
    <x:row r="644" ht="74" customHeight="1">
      <x:c r="A644" s="10" t="str">
        <x:v>SUBSET-20261015-baidu-sync</x:v>
      </x:c>
      <x:c r="B644" s="10" t="str">
        <x:v>WFP-28</x:v>
      </x:c>
      <x:c r="C644" s="10" t="str">
        <x:v>rdwr_noncached_overlapped_test</x:v>
      </x:c>
      <x:c r="D644" s="10" t="str">
        <x:v>WinFsp fork 默认子集</x:v>
      </x:c>
      <x:c r="E644" s="10" t="str">
        <x:v>baidu</x:v>
      </x:c>
      <x:c r="F644" s="10" t="str">
        <x:v>同步</x:v>
      </x:c>
      <x:c r="G644" s="19" t="d">
        <x:v>2026-10-15T00:00:00.000Z</x:v>
      </x:c>
      <x:c r="H644" s="10" t="str">
        <x:v>已通过</x:v>
      </x:c>
      <x:c r="I644" s="21" t="n">
        <x:v>10.464</x:v>
      </x:c>
      <x:c r="J644" s="10" t="str">
        <x:v>JuiceFS 1.3.0+30190ca / WinFsp 2.1.25156；测试工具 S01–S04</x:v>
      </x:c>
      <x:c r="K644" s="10" t="str">
        <x:v>JuiceFS Windows CI 子集；attr-cache=0；云端 get-timeout=5m</x:v>
      </x:c>
      <x:c r="L644" s="10" t="str">
        <x:v>e920ead94a8e28f04e326664178b0c9f02d492b1 + productChanges / plansSha256 见 E01</x:v>
      </x:c>
      <x:c r="M644" s="10" t="str">
        <x:v>E01 / juicefs-upstream-run-AxbnJa</x:v>
      </x:c>
      <x:c r="N644" s="10" t="str">
        <x:v>--fuse-external --resilient --case-insensitive-cmp</x:v>
      </x:c>
    </x:row>
    <x:row r="645" ht="74" customHeight="1">
      <x:c r="A645" s="11" t="str">
        <x:v>SUBSET-20261015-baidu-sync</x:v>
      </x:c>
      <x:c r="B645" s="11" t="str">
        <x:v>WFP-29</x:v>
      </x:c>
      <x:c r="C645" s="11" t="str">
        <x:v>rdwr_cached_test</x:v>
      </x:c>
      <x:c r="D645" s="11" t="str">
        <x:v>WinFsp fork 默认子集</x:v>
      </x:c>
      <x:c r="E645" s="11" t="str">
        <x:v>baidu</x:v>
      </x:c>
      <x:c r="F645" s="11" t="str">
        <x:v>同步</x:v>
      </x:c>
      <x:c r="G645" s="20" t="d">
        <x:v>2026-10-15T00:00:00.000Z</x:v>
      </x:c>
      <x:c r="H645" s="11" t="str">
        <x:v>已通过</x:v>
      </x:c>
      <x:c r="I645" s="22" t="n">
        <x:v>9.39</x:v>
      </x:c>
      <x:c r="J645" s="11" t="str">
        <x:v>JuiceFS 1.3.0+30190ca / WinFsp 2.1.25156；测试工具 S01–S04</x:v>
      </x:c>
      <x:c r="K645" s="11" t="str">
        <x:v>JuiceFS Windows CI 子集；attr-cache=0；云端 get-timeout=5m</x:v>
      </x:c>
      <x:c r="L645" s="11" t="str">
        <x:v>e920ead94a8e28f04e326664178b0c9f02d492b1 + productChanges / plansSha256 见 E01</x:v>
      </x:c>
      <x:c r="M645" s="11" t="str">
        <x:v>E01 / juicefs-upstream-run-AxbnJa</x:v>
      </x:c>
      <x:c r="N645" s="11" t="str">
        <x:v>--fuse-external --resilient --case-insensitive-cmp</x:v>
      </x:c>
    </x:row>
    <x:row r="646" ht="74" customHeight="1">
      <x:c r="A646" s="10" t="str">
        <x:v>SUBSET-20261015-baidu-sync</x:v>
      </x:c>
      <x:c r="B646" s="10" t="str">
        <x:v>WFP-30</x:v>
      </x:c>
      <x:c r="C646" s="10" t="str">
        <x:v>rdwr_cached_append_test</x:v>
      </x:c>
      <x:c r="D646" s="10" t="str">
        <x:v>WinFsp fork 默认子集</x:v>
      </x:c>
      <x:c r="E646" s="10" t="str">
        <x:v>baidu</x:v>
      </x:c>
      <x:c r="F646" s="10" t="str">
        <x:v>同步</x:v>
      </x:c>
      <x:c r="G646" s="19" t="d">
        <x:v>2026-10-15T00:00:00.000Z</x:v>
      </x:c>
      <x:c r="H646" s="10" t="str">
        <x:v>已通过</x:v>
      </x:c>
      <x:c r="I646" s="21" t="n">
        <x:v>2.815</x:v>
      </x:c>
      <x:c r="J646" s="10" t="str">
        <x:v>JuiceFS 1.3.0+30190ca / WinFsp 2.1.25156；测试工具 S01–S04</x:v>
      </x:c>
      <x:c r="K646" s="10" t="str">
        <x:v>JuiceFS Windows CI 子集；attr-cache=0；云端 get-timeout=5m</x:v>
      </x:c>
      <x:c r="L646" s="10" t="str">
        <x:v>e920ead94a8e28f04e326664178b0c9f02d492b1 + productChanges / plansSha256 见 E01</x:v>
      </x:c>
      <x:c r="M646" s="10" t="str">
        <x:v>E01 / juicefs-upstream-run-AxbnJa</x:v>
      </x:c>
      <x:c r="N646" s="10" t="str">
        <x:v>--fuse-external --resilient --case-insensitive-cmp</x:v>
      </x:c>
    </x:row>
    <x:row r="647" ht="74" customHeight="1">
      <x:c r="A647" s="11" t="str">
        <x:v>SUBSET-20261015-baidu-sync</x:v>
      </x:c>
      <x:c r="B647" s="11" t="str">
        <x:v>WFP-31</x:v>
      </x:c>
      <x:c r="C647" s="11" t="str">
        <x:v>rdwr_cached_overlapped_test</x:v>
      </x:c>
      <x:c r="D647" s="11" t="str">
        <x:v>WinFsp fork 默认子集</x:v>
      </x:c>
      <x:c r="E647" s="11" t="str">
        <x:v>baidu</x:v>
      </x:c>
      <x:c r="F647" s="11" t="str">
        <x:v>同步</x:v>
      </x:c>
      <x:c r="G647" s="20" t="d">
        <x:v>2026-10-15T00:00:00.000Z</x:v>
      </x:c>
      <x:c r="H647" s="11" t="str">
        <x:v>已通过</x:v>
      </x:c>
      <x:c r="I647" s="22" t="n">
        <x:v>10.63</x:v>
      </x:c>
      <x:c r="J647" s="11" t="str">
        <x:v>JuiceFS 1.3.0+30190ca / WinFsp 2.1.25156；测试工具 S01–S04</x:v>
      </x:c>
      <x:c r="K647" s="11" t="str">
        <x:v>JuiceFS Windows CI 子集；attr-cache=0；云端 get-timeout=5m</x:v>
      </x:c>
      <x:c r="L647" s="11" t="str">
        <x:v>e920ead94a8e28f04e326664178b0c9f02d492b1 + productChanges / plansSha256 见 E01</x:v>
      </x:c>
      <x:c r="M647" s="11" t="str">
        <x:v>E01 / juicefs-upstream-run-AxbnJa</x:v>
      </x:c>
      <x:c r="N647" s="11" t="str">
        <x:v>--fuse-external --resilient --case-insensitive-cmp</x:v>
      </x:c>
    </x:row>
    <x:row r="648" ht="74" customHeight="1">
      <x:c r="A648" s="10" t="str">
        <x:v>SUBSET-20261015-baidu-sync</x:v>
      </x:c>
      <x:c r="B648" s="10" t="str">
        <x:v>WFP-32</x:v>
      </x:c>
      <x:c r="C648" s="10" t="str">
        <x:v>rdwr_writethru_test</x:v>
      </x:c>
      <x:c r="D648" s="10" t="str">
        <x:v>WinFsp fork 默认子集</x:v>
      </x:c>
      <x:c r="E648" s="10" t="str">
        <x:v>baidu</x:v>
      </x:c>
      <x:c r="F648" s="10" t="str">
        <x:v>同步</x:v>
      </x:c>
      <x:c r="G648" s="19" t="d">
        <x:v>2026-10-15T00:00:00.000Z</x:v>
      </x:c>
      <x:c r="H648" s="10" t="str">
        <x:v>已通过</x:v>
      </x:c>
      <x:c r="I648" s="21" t="n">
        <x:v>9.787</x:v>
      </x:c>
      <x:c r="J648" s="10" t="str">
        <x:v>JuiceFS 1.3.0+30190ca / WinFsp 2.1.25156；测试工具 S01–S04</x:v>
      </x:c>
      <x:c r="K648" s="10" t="str">
        <x:v>JuiceFS Windows CI 子集；attr-cache=0；云端 get-timeout=5m</x:v>
      </x:c>
      <x:c r="L648" s="10" t="str">
        <x:v>e920ead94a8e28f04e326664178b0c9f02d492b1 + productChanges / plansSha256 见 E01</x:v>
      </x:c>
      <x:c r="M648" s="10" t="str">
        <x:v>E01 / juicefs-upstream-run-AxbnJa</x:v>
      </x:c>
      <x:c r="N648" s="10" t="str">
        <x:v>--fuse-external --resilient --case-insensitive-cmp</x:v>
      </x:c>
    </x:row>
    <x:row r="649" ht="74" customHeight="1">
      <x:c r="A649" s="11" t="str">
        <x:v>SUBSET-20261015-baidu-sync</x:v>
      </x:c>
      <x:c r="B649" s="11" t="str">
        <x:v>WFP-33</x:v>
      </x:c>
      <x:c r="C649" s="11" t="str">
        <x:v>rdwr_writethru_append_test</x:v>
      </x:c>
      <x:c r="D649" s="11" t="str">
        <x:v>WinFsp fork 默认子集</x:v>
      </x:c>
      <x:c r="E649" s="11" t="str">
        <x:v>baidu</x:v>
      </x:c>
      <x:c r="F649" s="11" t="str">
        <x:v>同步</x:v>
      </x:c>
      <x:c r="G649" s="20" t="d">
        <x:v>2026-10-15T00:00:00.000Z</x:v>
      </x:c>
      <x:c r="H649" s="11" t="str">
        <x:v>已通过</x:v>
      </x:c>
      <x:c r="I649" s="22" t="n">
        <x:v>3.109</x:v>
      </x:c>
      <x:c r="J649" s="11" t="str">
        <x:v>JuiceFS 1.3.0+30190ca / WinFsp 2.1.25156；测试工具 S01–S04</x:v>
      </x:c>
      <x:c r="K649" s="11" t="str">
        <x:v>JuiceFS Windows CI 子集；attr-cache=0；云端 get-timeout=5m</x:v>
      </x:c>
      <x:c r="L649" s="11" t="str">
        <x:v>e920ead94a8e28f04e326664178b0c9f02d492b1 + productChanges / plansSha256 见 E01</x:v>
      </x:c>
      <x:c r="M649" s="11" t="str">
        <x:v>E01 / juicefs-upstream-run-AxbnJa</x:v>
      </x:c>
      <x:c r="N649" s="11" t="str">
        <x:v>--fuse-external --resilient --case-insensitive-cmp</x:v>
      </x:c>
    </x:row>
    <x:row r="650" ht="74" customHeight="1">
      <x:c r="A650" s="10" t="str">
        <x:v>SUBSET-20261015-baidu-sync</x:v>
      </x:c>
      <x:c r="B650" s="10" t="str">
        <x:v>WFP-34</x:v>
      </x:c>
      <x:c r="C650" s="10" t="str">
        <x:v>rdwr_writethru_overlapped_test</x:v>
      </x:c>
      <x:c r="D650" s="10" t="str">
        <x:v>WinFsp fork 默认子集</x:v>
      </x:c>
      <x:c r="E650" s="10" t="str">
        <x:v>baidu</x:v>
      </x:c>
      <x:c r="F650" s="10" t="str">
        <x:v>同步</x:v>
      </x:c>
      <x:c r="G650" s="19" t="d">
        <x:v>2026-10-15T00:00:00.000Z</x:v>
      </x:c>
      <x:c r="H650" s="10" t="str">
        <x:v>已通过</x:v>
      </x:c>
      <x:c r="I650" s="21" t="n">
        <x:v>9.048</x:v>
      </x:c>
      <x:c r="J650" s="10" t="str">
        <x:v>JuiceFS 1.3.0+30190ca / WinFsp 2.1.25156；测试工具 S01–S04</x:v>
      </x:c>
      <x:c r="K650" s="10" t="str">
        <x:v>JuiceFS Windows CI 子集；attr-cache=0；云端 get-timeout=5m</x:v>
      </x:c>
      <x:c r="L650" s="10" t="str">
        <x:v>e920ead94a8e28f04e326664178b0c9f02d492b1 + productChanges / plansSha256 见 E01</x:v>
      </x:c>
      <x:c r="M650" s="10" t="str">
        <x:v>E01 / juicefs-upstream-run-AxbnJa</x:v>
      </x:c>
      <x:c r="N650" s="10" t="str">
        <x:v>--fuse-external --resilient --case-insensitive-cmp</x:v>
      </x:c>
    </x:row>
    <x:row r="651" ht="74" customHeight="1">
      <x:c r="A651" s="11" t="str">
        <x:v>SUBSET-20261015-baidu-sync</x:v>
      </x:c>
      <x:c r="B651" s="11" t="str">
        <x:v>WFP-35</x:v>
      </x:c>
      <x:c r="C651" s="11" t="str">
        <x:v>rdwr_mmap_test</x:v>
      </x:c>
      <x:c r="D651" s="11" t="str">
        <x:v>WinFsp fork 默认子集</x:v>
      </x:c>
      <x:c r="E651" s="11" t="str">
        <x:v>baidu</x:v>
      </x:c>
      <x:c r="F651" s="11" t="str">
        <x:v>同步</x:v>
      </x:c>
      <x:c r="G651" s="20" t="d">
        <x:v>2026-10-15T00:00:00.000Z</x:v>
      </x:c>
      <x:c r="H651" s="11" t="str">
        <x:v>已通过</x:v>
      </x:c>
      <x:c r="I651" s="22" t="n">
        <x:v>19.204</x:v>
      </x:c>
      <x:c r="J651" s="11" t="str">
        <x:v>JuiceFS 1.3.0+30190ca / WinFsp 2.1.25156；测试工具 S01–S04</x:v>
      </x:c>
      <x:c r="K651" s="11" t="str">
        <x:v>JuiceFS Windows CI 子集；attr-cache=0；云端 get-timeout=5m</x:v>
      </x:c>
      <x:c r="L651" s="11" t="str">
        <x:v>e920ead94a8e28f04e326664178b0c9f02d492b1 + productChanges / plansSha256 见 E01</x:v>
      </x:c>
      <x:c r="M651" s="11" t="str">
        <x:v>E01 / juicefs-upstream-run-AxbnJa</x:v>
      </x:c>
      <x:c r="N651" s="11" t="str">
        <x:v>--fuse-external --resilient --case-insensitive-cmp</x:v>
      </x:c>
    </x:row>
    <x:row r="652" ht="74" customHeight="1">
      <x:c r="A652" s="10" t="str">
        <x:v>SUBSET-20261015-baidu-sync</x:v>
      </x:c>
      <x:c r="B652" s="10" t="str">
        <x:v>WFP-36</x:v>
      </x:c>
      <x:c r="C652" s="10" t="str">
        <x:v>rdwr_mixed_test</x:v>
      </x:c>
      <x:c r="D652" s="10" t="str">
        <x:v>WinFsp fork 默认子集</x:v>
      </x:c>
      <x:c r="E652" s="10" t="str">
        <x:v>baidu</x:v>
      </x:c>
      <x:c r="F652" s="10" t="str">
        <x:v>同步</x:v>
      </x:c>
      <x:c r="G652" s="19" t="d">
        <x:v>2026-10-15T00:00:00.000Z</x:v>
      </x:c>
      <x:c r="H652" s="10" t="str">
        <x:v>已通过</x:v>
      </x:c>
      <x:c r="I652" s="21" t="n">
        <x:v>5.709</x:v>
      </x:c>
      <x:c r="J652" s="10" t="str">
        <x:v>JuiceFS 1.3.0+30190ca / WinFsp 2.1.25156；测试工具 S01–S04</x:v>
      </x:c>
      <x:c r="K652" s="10" t="str">
        <x:v>JuiceFS Windows CI 子集；attr-cache=0；云端 get-timeout=5m</x:v>
      </x:c>
      <x:c r="L652" s="10" t="str">
        <x:v>e920ead94a8e28f04e326664178b0c9f02d492b1 + productChanges / plansSha256 见 E01</x:v>
      </x:c>
      <x:c r="M652" s="10" t="str">
        <x:v>E01 / juicefs-upstream-run-AxbnJa</x:v>
      </x:c>
      <x:c r="N652" s="10" t="str">
        <x:v>--fuse-external --resilient --case-insensitive-cmp</x:v>
      </x:c>
    </x:row>
    <x:row r="653" ht="74" customHeight="1">
      <x:c r="A653" s="11" t="str">
        <x:v>SUBSET-20261015-baidu-sync</x:v>
      </x:c>
      <x:c r="B653" s="11" t="str">
        <x:v>WFP-37</x:v>
      </x:c>
      <x:c r="C653" s="11" t="str">
        <x:v>flush_test</x:v>
      </x:c>
      <x:c r="D653" s="11" t="str">
        <x:v>WinFsp fork 默认子集</x:v>
      </x:c>
      <x:c r="E653" s="11" t="str">
        <x:v>baidu</x:v>
      </x:c>
      <x:c r="F653" s="11" t="str">
        <x:v>同步</x:v>
      </x:c>
      <x:c r="G653" s="20" t="d">
        <x:v>2026-10-15T00:00:00.000Z</x:v>
      </x:c>
      <x:c r="H653" s="11" t="str">
        <x:v>已通过</x:v>
      </x:c>
      <x:c r="I653" s="22" t="n">
        <x:v>28.052</x:v>
      </x:c>
      <x:c r="J653" s="11" t="str">
        <x:v>JuiceFS 1.3.0+30190ca / WinFsp 2.1.25156；测试工具 S01–S04</x:v>
      </x:c>
      <x:c r="K653" s="11" t="str">
        <x:v>JuiceFS Windows CI 子集；attr-cache=0；云端 get-timeout=5m</x:v>
      </x:c>
      <x:c r="L653" s="11" t="str">
        <x:v>e920ead94a8e28f04e326664178b0c9f02d492b1 + productChanges / plansSha256 见 E01</x:v>
      </x:c>
      <x:c r="M653" s="11" t="str">
        <x:v>E01 / juicefs-upstream-run-AxbnJa</x:v>
      </x:c>
      <x:c r="N653" s="11" t="str">
        <x:v>--fuse-external --resilient --case-insensitive-cmp</x:v>
      </x:c>
    </x:row>
    <x:row r="654" ht="74" customHeight="1">
      <x:c r="A654" s="10" t="str">
        <x:v>SUBSET-20261015-baidu-sync</x:v>
      </x:c>
      <x:c r="B654" s="10" t="str">
        <x:v>WFP-38</x:v>
      </x:c>
      <x:c r="C654" s="10" t="str">
        <x:v>flush_volume_test</x:v>
      </x:c>
      <x:c r="D654" s="10" t="str">
        <x:v>WinFsp fork 默认子集</x:v>
      </x:c>
      <x:c r="E654" s="10" t="str">
        <x:v>baidu</x:v>
      </x:c>
      <x:c r="F654" s="10" t="str">
        <x:v>同步</x:v>
      </x:c>
      <x:c r="G654" s="19" t="d">
        <x:v>2026-10-15T00:00:00.000Z</x:v>
      </x:c>
      <x:c r="H654" s="10" t="str">
        <x:v>已通过</x:v>
      </x:c>
      <x:c r="I654" s="21" t="n">
        <x:v>0.787</x:v>
      </x:c>
      <x:c r="J654" s="10" t="str">
        <x:v>JuiceFS 1.3.0+30190ca / WinFsp 2.1.25156；测试工具 S01–S04</x:v>
      </x:c>
      <x:c r="K654" s="10" t="str">
        <x:v>JuiceFS Windows CI 子集；attr-cache=0；云端 get-timeout=5m</x:v>
      </x:c>
      <x:c r="L654" s="10" t="str">
        <x:v>e920ead94a8e28f04e326664178b0c9f02d492b1 + productChanges / plansSha256 见 E01</x:v>
      </x:c>
      <x:c r="M654" s="10" t="str">
        <x:v>E01 / juicefs-upstream-run-AxbnJa</x:v>
      </x:c>
      <x:c r="N654" s="10" t="str">
        <x:v>--fuse-external --resilient --case-insensitive-cmp</x:v>
      </x:c>
    </x:row>
    <x:row r="655" ht="74" customHeight="1">
      <x:c r="A655" s="11" t="str">
        <x:v>SUBSET-20261015-baidu-sync</x:v>
      </x:c>
      <x:c r="B655" s="11" t="str">
        <x:v>WFP-39</x:v>
      </x:c>
      <x:c r="C655" s="11" t="str">
        <x:v>lock_noncached_test</x:v>
      </x:c>
      <x:c r="D655" s="11" t="str">
        <x:v>WinFsp fork 默认子集</x:v>
      </x:c>
      <x:c r="E655" s="11" t="str">
        <x:v>baidu</x:v>
      </x:c>
      <x:c r="F655" s="11" t="str">
        <x:v>同步</x:v>
      </x:c>
      <x:c r="G655" s="20" t="d">
        <x:v>2026-10-15T00:00:00.000Z</x:v>
      </x:c>
      <x:c r="H655" s="11" t="str">
        <x:v>已通过</x:v>
      </x:c>
      <x:c r="I655" s="22" t="n">
        <x:v>9.129</x:v>
      </x:c>
      <x:c r="J655" s="11" t="str">
        <x:v>JuiceFS 1.3.0+30190ca / WinFsp 2.1.25156；测试工具 S01–S04</x:v>
      </x:c>
      <x:c r="K655" s="11" t="str">
        <x:v>JuiceFS Windows CI 子集；attr-cache=0；云端 get-timeout=5m</x:v>
      </x:c>
      <x:c r="L655" s="11" t="str">
        <x:v>e920ead94a8e28f04e326664178b0c9f02d492b1 + productChanges / plansSha256 见 E01</x:v>
      </x:c>
      <x:c r="M655" s="11" t="str">
        <x:v>E01 / juicefs-upstream-run-AxbnJa</x:v>
      </x:c>
      <x:c r="N655" s="11" t="str">
        <x:v>--fuse-external --resilient --case-insensitive-cmp</x:v>
      </x:c>
    </x:row>
    <x:row r="656" ht="74" customHeight="1">
      <x:c r="A656" s="10" t="str">
        <x:v>SUBSET-20261015-baidu-sync</x:v>
      </x:c>
      <x:c r="B656" s="10" t="str">
        <x:v>WFP-40</x:v>
      </x:c>
      <x:c r="C656" s="10" t="str">
        <x:v>lock_noncached_overlapped_test</x:v>
      </x:c>
      <x:c r="D656" s="10" t="str">
        <x:v>WinFsp fork 默认子集</x:v>
      </x:c>
      <x:c r="E656" s="10" t="str">
        <x:v>baidu</x:v>
      </x:c>
      <x:c r="F656" s="10" t="str">
        <x:v>同步</x:v>
      </x:c>
      <x:c r="G656" s="19" t="d">
        <x:v>2026-10-15T00:00:00.000Z</x:v>
      </x:c>
      <x:c r="H656" s="10" t="str">
        <x:v>已通过</x:v>
      </x:c>
      <x:c r="I656" s="21" t="n">
        <x:v>10.076</x:v>
      </x:c>
      <x:c r="J656" s="10" t="str">
        <x:v>JuiceFS 1.3.0+30190ca / WinFsp 2.1.25156；测试工具 S01–S04</x:v>
      </x:c>
      <x:c r="K656" s="10" t="str">
        <x:v>JuiceFS Windows CI 子集；attr-cache=0；云端 get-timeout=5m</x:v>
      </x:c>
      <x:c r="L656" s="10" t="str">
        <x:v>e920ead94a8e28f04e326664178b0c9f02d492b1 + productChanges / plansSha256 见 E01</x:v>
      </x:c>
      <x:c r="M656" s="10" t="str">
        <x:v>E01 / juicefs-upstream-run-AxbnJa</x:v>
      </x:c>
      <x:c r="N656" s="10" t="str">
        <x:v>--fuse-external --resilient --case-insensitive-cmp</x:v>
      </x:c>
    </x:row>
    <x:row r="657" ht="74" customHeight="1">
      <x:c r="A657" s="11" t="str">
        <x:v>SUBSET-20261015-baidu-sync</x:v>
      </x:c>
      <x:c r="B657" s="11" t="str">
        <x:v>WFP-41</x:v>
      </x:c>
      <x:c r="C657" s="11" t="str">
        <x:v>lock_cached_test</x:v>
      </x:c>
      <x:c r="D657" s="11" t="str">
        <x:v>WinFsp fork 默认子集</x:v>
      </x:c>
      <x:c r="E657" s="11" t="str">
        <x:v>baidu</x:v>
      </x:c>
      <x:c r="F657" s="11" t="str">
        <x:v>同步</x:v>
      </x:c>
      <x:c r="G657" s="20" t="d">
        <x:v>2026-10-15T00:00:00.000Z</x:v>
      </x:c>
      <x:c r="H657" s="11" t="str">
        <x:v>已通过</x:v>
      </x:c>
      <x:c r="I657" s="22" t="n">
        <x:v>23.057</x:v>
      </x:c>
      <x:c r="J657" s="11" t="str">
        <x:v>JuiceFS 1.3.0+30190ca / WinFsp 2.1.25156；测试工具 S01–S04</x:v>
      </x:c>
      <x:c r="K657" s="11" t="str">
        <x:v>JuiceFS Windows CI 子集；attr-cache=0；云端 get-timeout=5m</x:v>
      </x:c>
      <x:c r="L657" s="11" t="str">
        <x:v>e920ead94a8e28f04e326664178b0c9f02d492b1 + productChanges / plansSha256 见 E01</x:v>
      </x:c>
      <x:c r="M657" s="11" t="str">
        <x:v>E01 / juicefs-upstream-run-AxbnJa</x:v>
      </x:c>
      <x:c r="N657" s="11" t="str">
        <x:v>--fuse-external --resilient --case-insensitive-cmp</x:v>
      </x:c>
    </x:row>
    <x:row r="658" ht="74" customHeight="1">
      <x:c r="A658" s="10" t="str">
        <x:v>SUBSET-20261015-baidu-sync</x:v>
      </x:c>
      <x:c r="B658" s="10" t="str">
        <x:v>WFP-42</x:v>
      </x:c>
      <x:c r="C658" s="10" t="str">
        <x:v>lock_cached_overlapped_test</x:v>
      </x:c>
      <x:c r="D658" s="10" t="str">
        <x:v>WinFsp fork 默认子集</x:v>
      </x:c>
      <x:c r="E658" s="10" t="str">
        <x:v>baidu</x:v>
      </x:c>
      <x:c r="F658" s="10" t="str">
        <x:v>同步</x:v>
      </x:c>
      <x:c r="G658" s="19" t="d">
        <x:v>2026-10-15T00:00:00.000Z</x:v>
      </x:c>
      <x:c r="H658" s="10" t="str">
        <x:v>已通过</x:v>
      </x:c>
      <x:c r="I658" s="21" t="n">
        <x:v>9.222</x:v>
      </x:c>
      <x:c r="J658" s="10" t="str">
        <x:v>JuiceFS 1.3.0+30190ca / WinFsp 2.1.25156；测试工具 S01–S04</x:v>
      </x:c>
      <x:c r="K658" s="10" t="str">
        <x:v>JuiceFS Windows CI 子集；attr-cache=0；云端 get-timeout=5m</x:v>
      </x:c>
      <x:c r="L658" s="10" t="str">
        <x:v>e920ead94a8e28f04e326664178b0c9f02d492b1 + productChanges / plansSha256 见 E01</x:v>
      </x:c>
      <x:c r="M658" s="10" t="str">
        <x:v>E01 / juicefs-upstream-run-AxbnJa</x:v>
      </x:c>
      <x:c r="N658" s="10" t="str">
        <x:v>--fuse-external --resilient --case-insensitive-cmp</x:v>
      </x:c>
    </x:row>
    <x:row r="659" ht="74" customHeight="1">
      <x:c r="A659" s="11" t="str">
        <x:v>SUBSET-20261015-baidu-sync</x:v>
      </x:c>
      <x:c r="B659" s="11" t="str">
        <x:v>WFP-43</x:v>
      </x:c>
      <x:c r="C659" s="11" t="str">
        <x:v>querydir_test</x:v>
      </x:c>
      <x:c r="D659" s="11" t="str">
        <x:v>WinFsp fork 默认子集</x:v>
      </x:c>
      <x:c r="E659" s="11" t="str">
        <x:v>baidu</x:v>
      </x:c>
      <x:c r="F659" s="11" t="str">
        <x:v>同步</x:v>
      </x:c>
      <x:c r="G659" s="20" t="d">
        <x:v>2026-10-15T00:00:00.000Z</x:v>
      </x:c>
      <x:c r="H659" s="11" t="str">
        <x:v>已通过</x:v>
      </x:c>
      <x:c r="I659" s="22" t="n">
        <x:v>10.234</x:v>
      </x:c>
      <x:c r="J659" s="11" t="str">
        <x:v>JuiceFS 1.3.0+30190ca / WinFsp 2.1.25156；测试工具 S01–S04</x:v>
      </x:c>
      <x:c r="K659" s="11" t="str">
        <x:v>JuiceFS Windows CI 子集；attr-cache=0；云端 get-timeout=5m</x:v>
      </x:c>
      <x:c r="L659" s="11" t="str">
        <x:v>e920ead94a8e28f04e326664178b0c9f02d492b1 + productChanges / plansSha256 见 E01</x:v>
      </x:c>
      <x:c r="M659" s="11" t="str">
        <x:v>E01 / juicefs-upstream-run-AxbnJa</x:v>
      </x:c>
      <x:c r="N659" s="11" t="str">
        <x:v>--fuse-external --resilient --case-insensitive-cmp</x:v>
      </x:c>
    </x:row>
    <x:row r="660" ht="74" customHeight="1">
      <x:c r="A660" s="10" t="str">
        <x:v>SUBSET-20261015-baidu-sync</x:v>
      </x:c>
      <x:c r="B660" s="10" t="str">
        <x:v>WFP-44</x:v>
      </x:c>
      <x:c r="C660" s="10" t="str">
        <x:v>querydir_expire_cache_test</x:v>
      </x:c>
      <x:c r="D660" s="10" t="str">
        <x:v>WinFsp fork 默认子集</x:v>
      </x:c>
      <x:c r="E660" s="10" t="str">
        <x:v>baidu</x:v>
      </x:c>
      <x:c r="F660" s="10" t="str">
        <x:v>同步</x:v>
      </x:c>
      <x:c r="G660" s="19" t="d">
        <x:v>2026-10-15T00:00:00.000Z</x:v>
      </x:c>
      <x:c r="H660" s="10" t="str">
        <x:v>已通过</x:v>
      </x:c>
      <x:c r="I660" s="21" t="n">
        <x:v>0.626</x:v>
      </x:c>
      <x:c r="J660" s="10" t="str">
        <x:v>JuiceFS 1.3.0+30190ca / WinFsp 2.1.25156；测试工具 S01–S04</x:v>
      </x:c>
      <x:c r="K660" s="10" t="str">
        <x:v>JuiceFS Windows CI 子集；attr-cache=0；云端 get-timeout=5m</x:v>
      </x:c>
      <x:c r="L660" s="10" t="str">
        <x:v>e920ead94a8e28f04e326664178b0c9f02d492b1 + productChanges / plansSha256 见 E01</x:v>
      </x:c>
      <x:c r="M660" s="10" t="str">
        <x:v>E01 / juicefs-upstream-run-AxbnJa</x:v>
      </x:c>
      <x:c r="N660" s="10" t="str">
        <x:v>--fuse-external --resilient --case-insensitive-cmp</x:v>
      </x:c>
    </x:row>
    <x:row r="661" ht="74" customHeight="1">
      <x:c r="A661" s="11" t="str">
        <x:v>SUBSET-20261015-baidu-sync</x:v>
      </x:c>
      <x:c r="B661" s="11" t="str">
        <x:v>WFP-45</x:v>
      </x:c>
      <x:c r="C661" s="11" t="str">
        <x:v>querydir_buffer_overflow_test</x:v>
      </x:c>
      <x:c r="D661" s="11" t="str">
        <x:v>WinFsp fork 默认子集</x:v>
      </x:c>
      <x:c r="E661" s="11" t="str">
        <x:v>baidu</x:v>
      </x:c>
      <x:c r="F661" s="11" t="str">
        <x:v>同步</x:v>
      </x:c>
      <x:c r="G661" s="20" t="d">
        <x:v>2026-10-15T00:00:00.000Z</x:v>
      </x:c>
      <x:c r="H661" s="11" t="str">
        <x:v>已通过</x:v>
      </x:c>
      <x:c r="I661" s="22" t="n">
        <x:v>0.561</x:v>
      </x:c>
      <x:c r="J661" s="11" t="str">
        <x:v>JuiceFS 1.3.0+30190ca / WinFsp 2.1.25156；测试工具 S01–S04</x:v>
      </x:c>
      <x:c r="K661" s="11" t="str">
        <x:v>JuiceFS Windows CI 子集；attr-cache=0；云端 get-timeout=5m</x:v>
      </x:c>
      <x:c r="L661" s="11" t="str">
        <x:v>e920ead94a8e28f04e326664178b0c9f02d492b1 + productChanges / plansSha256 见 E01</x:v>
      </x:c>
      <x:c r="M661" s="11" t="str">
        <x:v>E01 / juicefs-upstream-run-AxbnJa</x:v>
      </x:c>
      <x:c r="N661" s="11" t="str">
        <x:v>--fuse-external --resilient --case-insensitive-cmp</x:v>
      </x:c>
    </x:row>
    <x:row r="662" ht="74" customHeight="1">
      <x:c r="A662" s="10" t="str">
        <x:v>SUBSET-20261015-baidu-sync</x:v>
      </x:c>
      <x:c r="B662" s="10" t="str">
        <x:v>WFP-46</x:v>
      </x:c>
      <x:c r="C662" s="10" t="str">
        <x:v>querydir_namelen_test</x:v>
      </x:c>
      <x:c r="D662" s="10" t="str">
        <x:v>WinFsp fork 默认子集</x:v>
      </x:c>
      <x:c r="E662" s="10" t="str">
        <x:v>baidu</x:v>
      </x:c>
      <x:c r="F662" s="10" t="str">
        <x:v>同步</x:v>
      </x:c>
      <x:c r="G662" s="19" t="d">
        <x:v>2026-10-15T00:00:00.000Z</x:v>
      </x:c>
      <x:c r="H662" s="10" t="str">
        <x:v>已通过</x:v>
      </x:c>
      <x:c r="I662" s="21" t="n">
        <x:v>0.38</x:v>
      </x:c>
      <x:c r="J662" s="10" t="str">
        <x:v>JuiceFS 1.3.0+30190ca / WinFsp 2.1.25156；测试工具 S01–S04</x:v>
      </x:c>
      <x:c r="K662" s="10" t="str">
        <x:v>JuiceFS Windows CI 子集；attr-cache=0；云端 get-timeout=5m</x:v>
      </x:c>
      <x:c r="L662" s="10" t="str">
        <x:v>e920ead94a8e28f04e326664178b0c9f02d492b1 + productChanges / plansSha256 见 E01</x:v>
      </x:c>
      <x:c r="M662" s="10" t="str">
        <x:v>E01 / juicefs-upstream-run-AxbnJa</x:v>
      </x:c>
      <x:c r="N662" s="10" t="str">
        <x:v>--fuse-external --resilient --case-insensitive-cmp</x:v>
      </x:c>
    </x:row>
    <x:row r="663" ht="74" customHeight="1">
      <x:c r="A663" s="11" t="str">
        <x:v>SUBSET-20261015-baidu-sync</x:v>
      </x:c>
      <x:c r="B663" s="11" t="str">
        <x:v>WFP-47</x:v>
      </x:c>
      <x:c r="C663" s="11" t="str">
        <x:v>dirnotify_test</x:v>
      </x:c>
      <x:c r="D663" s="11" t="str">
        <x:v>WinFsp fork 默认子集</x:v>
      </x:c>
      <x:c r="E663" s="11" t="str">
        <x:v>baidu</x:v>
      </x:c>
      <x:c r="F663" s="11" t="str">
        <x:v>同步</x:v>
      </x:c>
      <x:c r="G663" s="20" t="d">
        <x:v>2026-10-15T00:00:00.000Z</x:v>
      </x:c>
      <x:c r="H663" s="11" t="str">
        <x:v>已通过</x:v>
      </x:c>
      <x:c r="I663" s="22" t="n">
        <x:v>1.723</x:v>
      </x:c>
      <x:c r="J663" s="11" t="str">
        <x:v>JuiceFS 1.3.0+30190ca / WinFsp 2.1.25156；测试工具 S01–S04</x:v>
      </x:c>
      <x:c r="K663" s="11" t="str">
        <x:v>JuiceFS Windows CI 子集；attr-cache=0；云端 get-timeout=5m</x:v>
      </x:c>
      <x:c r="L663" s="11" t="str">
        <x:v>e920ead94a8e28f04e326664178b0c9f02d492b1 + productChanges / plansSha256 见 E01</x:v>
      </x:c>
      <x:c r="M663" s="11" t="str">
        <x:v>E01 / juicefs-upstream-run-AxbnJa</x:v>
      </x:c>
      <x:c r="N663" s="11" t="str">
        <x:v>--fuse-external --resilient --case-insensitive-cmp</x:v>
      </x:c>
    </x:row>
    <x:row r="664" ht="74" customHeight="1">
      <x:c r="A664" s="10" t="str">
        <x:v>SUBSET-20261015-baidu-sync</x:v>
      </x:c>
      <x:c r="B664" s="10" t="str">
        <x:v>WFP-48</x:v>
      </x:c>
      <x:c r="C664" s="10" t="str">
        <x:v>exec_test</x:v>
      </x:c>
      <x:c r="D664" s="10" t="str">
        <x:v>WinFsp fork 默认子集</x:v>
      </x:c>
      <x:c r="E664" s="10" t="str">
        <x:v>baidu</x:v>
      </x:c>
      <x:c r="F664" s="10" t="str">
        <x:v>同步</x:v>
      </x:c>
      <x:c r="G664" s="19" t="d">
        <x:v>2026-10-15T00:00:00.000Z</x:v>
      </x:c>
      <x:c r="H664" s="10" t="str">
        <x:v>已通过</x:v>
      </x:c>
      <x:c r="I664" s="21" t="n">
        <x:v>2.805</x:v>
      </x:c>
      <x:c r="J664" s="10" t="str">
        <x:v>JuiceFS 1.3.0+30190ca / WinFsp 2.1.25156；测试工具 S01–S04</x:v>
      </x:c>
      <x:c r="K664" s="10" t="str">
        <x:v>JuiceFS Windows CI 子集；attr-cache=0；云端 get-timeout=5m</x:v>
      </x:c>
      <x:c r="L664" s="10" t="str">
        <x:v>e920ead94a8e28f04e326664178b0c9f02d492b1 + productChanges / plansSha256 见 E01</x:v>
      </x:c>
      <x:c r="M664" s="10" t="str">
        <x:v>E01 / juicefs-upstream-run-AxbnJa</x:v>
      </x:c>
      <x:c r="N664" s="10" t="str">
        <x:v>--fuse-external --resilient --case-insensitive-cmp</x:v>
      </x:c>
    </x:row>
    <x:row r="665" ht="74" customHeight="1">
      <x:c r="A665" s="11" t="str">
        <x:v>SUBSET-20261015-baidu-sync</x:v>
      </x:c>
      <x:c r="B665" s="11" t="str">
        <x:v>WFP-49</x:v>
      </x:c>
      <x:c r="C665" s="11" t="str">
        <x:v>exec_delete_test</x:v>
      </x:c>
      <x:c r="D665" s="11" t="str">
        <x:v>WinFsp fork 默认子集</x:v>
      </x:c>
      <x:c r="E665" s="11" t="str">
        <x:v>baidu</x:v>
      </x:c>
      <x:c r="F665" s="11" t="str">
        <x:v>同步</x:v>
      </x:c>
      <x:c r="G665" s="20" t="d">
        <x:v>2026-10-15T00:00:00.000Z</x:v>
      </x:c>
      <x:c r="H665" s="11" t="str">
        <x:v>已通过</x:v>
      </x:c>
      <x:c r="I665" s="22" t="n">
        <x:v>4.36</x:v>
      </x:c>
      <x:c r="J665" s="11" t="str">
        <x:v>JuiceFS 1.3.0+30190ca / WinFsp 2.1.25156；测试工具 S01–S04</x:v>
      </x:c>
      <x:c r="K665" s="11" t="str">
        <x:v>JuiceFS Windows CI 子集；attr-cache=0；云端 get-timeout=5m</x:v>
      </x:c>
      <x:c r="L665" s="11" t="str">
        <x:v>e920ead94a8e28f04e326664178b0c9f02d492b1 + productChanges / plansSha256 见 E01</x:v>
      </x:c>
      <x:c r="M665" s="11" t="str">
        <x:v>E01 / juicefs-upstream-run-AxbnJa</x:v>
      </x:c>
      <x:c r="N665" s="11" t="str">
        <x:v>--fuse-external --resilient --case-insensitive-cmp</x:v>
      </x:c>
    </x:row>
    <x:row r="666" ht="74" customHeight="1">
      <x:c r="A666" s="10" t="str">
        <x:v>SUBSET-20261015-baidu-sync</x:v>
      </x:c>
      <x:c r="B666" s="10" t="str">
        <x:v>WFP-50</x:v>
      </x:c>
      <x:c r="C666" s="10" t="str">
        <x:v>exec_rename_test</x:v>
      </x:c>
      <x:c r="D666" s="10" t="str">
        <x:v>WinFsp fork 默认子集</x:v>
      </x:c>
      <x:c r="E666" s="10" t="str">
        <x:v>baidu</x:v>
      </x:c>
      <x:c r="F666" s="10" t="str">
        <x:v>同步</x:v>
      </x:c>
      <x:c r="G666" s="19" t="d">
        <x:v>2026-10-15T00:00:00.000Z</x:v>
      </x:c>
      <x:c r="H666" s="10" t="str">
        <x:v>已通过</x:v>
      </x:c>
      <x:c r="I666" s="21" t="n">
        <x:v>4.025</x:v>
      </x:c>
      <x:c r="J666" s="10" t="str">
        <x:v>JuiceFS 1.3.0+30190ca / WinFsp 2.1.25156；测试工具 S01–S04</x:v>
      </x:c>
      <x:c r="K666" s="10" t="str">
        <x:v>JuiceFS Windows CI 子集；attr-cache=0；云端 get-timeout=5m</x:v>
      </x:c>
      <x:c r="L666" s="10" t="str">
        <x:v>e920ead94a8e28f04e326664178b0c9f02d492b1 + productChanges / plansSha256 见 E01</x:v>
      </x:c>
      <x:c r="M666" s="10" t="str">
        <x:v>E01 / juicefs-upstream-run-AxbnJa</x:v>
      </x:c>
      <x:c r="N666" s="10" t="str">
        <x:v>--fuse-external --resilient --case-insensitive-cmp</x:v>
      </x:c>
    </x:row>
    <x:row r="667" ht="74" customHeight="1">
      <x:c r="A667" s="11" t="str">
        <x:v>SUBSET-20261015-baidu-sync</x:v>
      </x:c>
      <x:c r="B667" s="11" t="str">
        <x:v>WFP-51</x:v>
      </x:c>
      <x:c r="C667" s="11" t="str">
        <x:v>exec_rename_dir_test</x:v>
      </x:c>
      <x:c r="D667" s="11" t="str">
        <x:v>WinFsp fork 默认子集</x:v>
      </x:c>
      <x:c r="E667" s="11" t="str">
        <x:v>baidu</x:v>
      </x:c>
      <x:c r="F667" s="11" t="str">
        <x:v>同步</x:v>
      </x:c>
      <x:c r="G667" s="20" t="d">
        <x:v>2026-10-15T00:00:00.000Z</x:v>
      </x:c>
      <x:c r="H667" s="11" t="str">
        <x:v>已通过</x:v>
      </x:c>
      <x:c r="I667" s="22" t="n">
        <x:v>5.002</x:v>
      </x:c>
      <x:c r="J667" s="11" t="str">
        <x:v>JuiceFS 1.3.0+30190ca / WinFsp 2.1.25156；测试工具 S01–S04</x:v>
      </x:c>
      <x:c r="K667" s="11" t="str">
        <x:v>JuiceFS Windows CI 子集；attr-cache=0；云端 get-timeout=5m</x:v>
      </x:c>
      <x:c r="L667" s="11" t="str">
        <x:v>e920ead94a8e28f04e326664178b0c9f02d492b1 + productChanges / plansSha256 见 E01</x:v>
      </x:c>
      <x:c r="M667" s="11" t="str">
        <x:v>E01 / juicefs-upstream-run-AxbnJa</x:v>
      </x:c>
      <x:c r="N667" s="11" t="str">
        <x:v>--fuse-external --resilient --case-insensitive-cmp</x:v>
      </x:c>
    </x:row>
    <x:row r="668" ht="74" customHeight="1">
      <x:c r="A668" s="10" t="str">
        <x:v>SUBSET-20261015-baidu-sync</x:v>
      </x:c>
      <x:c r="B668" s="10" t="str">
        <x:v>WFP-52</x:v>
      </x:c>
      <x:c r="C668" s="10" t="str">
        <x:v>reparse_nfs_test</x:v>
      </x:c>
      <x:c r="D668" s="10" t="str">
        <x:v>WinFsp fork 默认子集</x:v>
      </x:c>
      <x:c r="E668" s="10" t="str">
        <x:v>baidu</x:v>
      </x:c>
      <x:c r="F668" s="10" t="str">
        <x:v>同步</x:v>
      </x:c>
      <x:c r="G668" s="19" t="d">
        <x:v>2026-10-15T00:00:00.000Z</x:v>
      </x:c>
      <x:c r="H668" s="10" t="str">
        <x:v>已通过</x:v>
      </x:c>
      <x:c r="I668" s="21" t="n">
        <x:v>0.803</x:v>
      </x:c>
      <x:c r="J668" s="10" t="str">
        <x:v>JuiceFS 1.3.0+30190ca / WinFsp 2.1.25156；测试工具 S01–S04</x:v>
      </x:c>
      <x:c r="K668" s="10" t="str">
        <x:v>JuiceFS Windows CI 子集；attr-cache=0；云端 get-timeout=5m</x:v>
      </x:c>
      <x:c r="L668" s="10" t="str">
        <x:v>e920ead94a8e28f04e326664178b0c9f02d492b1 + productChanges / plansSha256 见 E01</x:v>
      </x:c>
      <x:c r="M668" s="10" t="str">
        <x:v>E01 / juicefs-upstream-run-AxbnJa</x:v>
      </x:c>
      <x:c r="N668" s="10" t="str">
        <x:v>--fuse-external --resilient --case-insensitive-cmp</x:v>
      </x:c>
    </x:row>
    <x:row r="669" ht="74" customHeight="1">
      <x:c r="A669" s="11" t="str">
        <x:v>SUBSET-20261015-baidu-sync</x:v>
      </x:c>
      <x:c r="B669" s="11" t="str">
        <x:v>WFP-53</x:v>
      </x:c>
      <x:c r="C669" s="11" t="str">
        <x:v>reparse_symlink_test</x:v>
      </x:c>
      <x:c r="D669" s="11" t="str">
        <x:v>WinFsp fork 默认子集</x:v>
      </x:c>
      <x:c r="E669" s="11" t="str">
        <x:v>baidu</x:v>
      </x:c>
      <x:c r="F669" s="11" t="str">
        <x:v>同步</x:v>
      </x:c>
      <x:c r="G669" s="20" t="d">
        <x:v>2026-10-15T00:00:00.000Z</x:v>
      </x:c>
      <x:c r="H669" s="11" t="str">
        <x:v>已通过</x:v>
      </x:c>
      <x:c r="I669" s="22" t="n">
        <x:v>0.498</x:v>
      </x:c>
      <x:c r="J669" s="11" t="str">
        <x:v>JuiceFS 1.3.0+30190ca / WinFsp 2.1.25156；测试工具 S01–S04</x:v>
      </x:c>
      <x:c r="K669" s="11" t="str">
        <x:v>JuiceFS Windows CI 子集；attr-cache=0；云端 get-timeout=5m</x:v>
      </x:c>
      <x:c r="L669" s="11" t="str">
        <x:v>e920ead94a8e28f04e326664178b0c9f02d492b1 + productChanges / plansSha256 见 E01</x:v>
      </x:c>
      <x:c r="M669" s="11" t="str">
        <x:v>E01 / juicefs-upstream-run-AxbnJa</x:v>
      </x:c>
      <x:c r="N669" s="11" t="str">
        <x:v>--fuse-external --resilient --case-insensitive-cmp</x:v>
      </x:c>
    </x:row>
    <x:row r="670" ht="74" customHeight="1">
      <x:c r="A670" s="10" t="str">
        <x:v>SUBSET-20261015-baidu-sync</x:v>
      </x:c>
      <x:c r="B670" s="10" t="str">
        <x:v>WFP-54</x:v>
      </x:c>
      <x:c r="C670" s="10" t="str">
        <x:v>reparse_symlink_relative_test</x:v>
      </x:c>
      <x:c r="D670" s="10" t="str">
        <x:v>WinFsp fork 默认子集</x:v>
      </x:c>
      <x:c r="E670" s="10" t="str">
        <x:v>baidu</x:v>
      </x:c>
      <x:c r="F670" s="10" t="str">
        <x:v>同步</x:v>
      </x:c>
      <x:c r="G670" s="19" t="d">
        <x:v>2026-10-15T00:00:00.000Z</x:v>
      </x:c>
      <x:c r="H670" s="10" t="str">
        <x:v>已通过</x:v>
      </x:c>
      <x:c r="I670" s="21" t="n">
        <x:v>0.485</x:v>
      </x:c>
      <x:c r="J670" s="10" t="str">
        <x:v>JuiceFS 1.3.0+30190ca / WinFsp 2.1.25156；测试工具 S01–S04</x:v>
      </x:c>
      <x:c r="K670" s="10" t="str">
        <x:v>JuiceFS Windows CI 子集；attr-cache=0；云端 get-timeout=5m</x:v>
      </x:c>
      <x:c r="L670" s="10" t="str">
        <x:v>e920ead94a8e28f04e326664178b0c9f02d492b1 + productChanges / plansSha256 见 E01</x:v>
      </x:c>
      <x:c r="M670" s="10" t="str">
        <x:v>E01 / juicefs-upstream-run-AxbnJa</x:v>
      </x:c>
      <x:c r="N670" s="10" t="str">
        <x:v>--fuse-external --resilient --case-insensitive-cmp</x:v>
      </x:c>
    </x:row>
    <x:row r="671" ht="74" customHeight="1">
      <x:c r="A671" s="11" t="str">
        <x:v>SUBSET-20261015-baidu-sync</x:v>
      </x:c>
      <x:c r="B671" s="11" t="str">
        <x:v>WFT-00…WFT-10</x:v>
      </x:c>
      <x:c r="C671" s="11" t="str">
        <x:v>11 个脚本的整套结果</x:v>
      </x:c>
      <x:c r="D671" s="11" t="str">
        <x:v>winfstest fork</x:v>
      </x:c>
      <x:c r="E671" s="11" t="str">
        <x:v>baidu</x:v>
      </x:c>
      <x:c r="F671" s="11" t="str">
        <x:v>同步</x:v>
      </x:c>
      <x:c r="G671" s="20" t="d">
        <x:v>2026-10-15T00:00:00.000Z</x:v>
      </x:c>
      <x:c r="H671" s="11" t="str">
        <x:v>已通过</x:v>
      </x:c>
      <x:c r="I671" s="22"/>
      <x:c r="J671" s="11" t="str">
        <x:v>JuiceFS 1.3.0+30190ca / WinFsp 2.1.25156；测试工具 S01–S04</x:v>
      </x:c>
      <x:c r="K671" s="11" t="str">
        <x:v>JuiceFS Windows CI 子集；attr-cache=0；云端 get-timeout=5m</x:v>
      </x:c>
      <x:c r="L671" s="11" t="str">
        <x:v>e920ead94a8e28f04e326664178b0c9f02d492b1 + productChanges / plansSha256 见 E01</x:v>
      </x:c>
      <x:c r="M671" s="11" t="str">
        <x:v>E01 / juicefs-upstream-run-AxbnJa</x:v>
      </x:c>
      <x:c r="N671" s="11" t="str">
        <x:v>152/152 断言；报告粒度为整套，不虚构每个脚本的耗时</x:v>
      </x:c>
    </x:row>
    <x:row r="672" ht="74" customHeight="1">
      <x:c r="A672" s="10" t="str">
        <x:v>SUBSET-20261015-baidu-sync</x:v>
      </x:c>
      <x:c r="B672" s="10" t="str">
        <x:v>JFS-FSX-01</x:v>
      </x:c>
      <x:c r="C672" s="10" t="str">
        <x:v>FSX 正常完成运行</x:v>
      </x:c>
      <x:c r="D672" s="10" t="str">
        <x:v>FSX fork</x:v>
      </x:c>
      <x:c r="E672" s="10" t="str">
        <x:v>baidu</x:v>
      </x:c>
      <x:c r="F672" s="10" t="str">
        <x:v>同步</x:v>
      </x:c>
      <x:c r="G672" s="19" t="d">
        <x:v>2026-10-15T00:00:00.000Z</x:v>
      </x:c>
      <x:c r="H672" s="10" t="str">
        <x:v>已通过</x:v>
      </x:c>
      <x:c r="I672" s="21"/>
      <x:c r="J672" s="10" t="str">
        <x:v>JuiceFS 1.3.0+30190ca / WinFsp 2.1.25156；测试工具 S01–S04</x:v>
      </x:c>
      <x:c r="K672" s="10" t="str">
        <x:v>JuiceFS Windows CI 子集；attr-cache=0；云端 get-timeout=5m</x:v>
      </x:c>
      <x:c r="L672" s="10" t="str">
        <x:v>e920ead94a8e28f04e326664178b0c9f02d492b1 + productChanges / plansSha256 见 E01</x:v>
      </x:c>
      <x:c r="M672" s="10" t="str">
        <x:v>E01 / juicefs-upstream-run-AxbnJa</x:v>
      </x:c>
      <x:c r="N672" s="10" t="str">
        <x:v>-N 200 -S 20261014 -p 100 -F 100000 fsxtest；实际 221 操作</x:v>
      </x:c>
    </x:row>
    <x:row r="673" ht="74" customHeight="1">
      <x:c r="A673" s="11" t="str">
        <x:v>SUBSET-20261015-baidu-sync</x:v>
      </x:c>
      <x:c r="B673" s="11" t="str">
        <x:v>CLOUD-006</x:v>
      </x:c>
      <x:c r="C673" s="11" t="str">
        <x:v>排空后冷读校验</x:v>
      </x:c>
      <x:c r="D673" s="11" t="str">
        <x:v>项目验证</x:v>
      </x:c>
      <x:c r="E673" s="11" t="str">
        <x:v>baidu</x:v>
      </x:c>
      <x:c r="F673" s="11" t="str">
        <x:v>同步</x:v>
      </x:c>
      <x:c r="G673" s="20" t="d">
        <x:v>2026-10-15T00:00:00.000Z</x:v>
      </x:c>
      <x:c r="H673" s="11" t="str">
        <x:v>已通过</x:v>
      </x:c>
      <x:c r="I673" s="22"/>
      <x:c r="J673" s="11" t="str">
        <x:v>JuiceFS 1.3.0+30190ca / WinFsp 2.1.25156；测试工具 S01–S04</x:v>
      </x:c>
      <x:c r="K673" s="11" t="str">
        <x:v>JuiceFS Windows CI 子集；attr-cache=0；云端 get-timeout=5m</x:v>
      </x:c>
      <x:c r="L673" s="11" t="str">
        <x:v>e920ead94a8e28f04e326664178b0c9f02d492b1 + productChanges / plansSha256 见 E01</x:v>
      </x:c>
      <x:c r="M673" s="11" t="str">
        <x:v>E01 / juicefs-upstream-run-AxbnJa</x:v>
      </x:c>
      <x:c r="N673" s="11" t="str">
        <x:v>原始记录见 E01；不代表故障恢复或 repair 测试</x:v>
      </x:c>
    </x:row>
    <x:row r="674" ht="74" customHeight="1">
      <x:c r="A674" s="10" t="str">
        <x:v>SUBSET-20261015-baidu-sync</x:v>
      </x:c>
      <x:c r="B674" s="10" t="str">
        <x:v>CLOUD-007</x:v>
      </x:c>
      <x:c r="C674" s="10" t="str">
        <x:v>只读 fsck</x:v>
      </x:c>
      <x:c r="D674" s="10" t="str">
        <x:v>项目验证</x:v>
      </x:c>
      <x:c r="E674" s="10" t="str">
        <x:v>baidu</x:v>
      </x:c>
      <x:c r="F674" s="10" t="str">
        <x:v>同步</x:v>
      </x:c>
      <x:c r="G674" s="19" t="d">
        <x:v>2026-10-15T00:00:00.000Z</x:v>
      </x:c>
      <x:c r="H674" s="10" t="str">
        <x:v>已通过</x:v>
      </x:c>
      <x:c r="I674" s="21"/>
      <x:c r="J674" s="10" t="str">
        <x:v>JuiceFS 1.3.0+30190ca / WinFsp 2.1.25156；测试工具 S01–S04</x:v>
      </x:c>
      <x:c r="K674" s="10" t="str">
        <x:v>JuiceFS Windows CI 子集；attr-cache=0；云端 get-timeout=5m</x:v>
      </x:c>
      <x:c r="L674" s="10" t="str">
        <x:v>e920ead94a8e28f04e326664178b0c9f02d492b1 + productChanges / plansSha256 见 E01</x:v>
      </x:c>
      <x:c r="M674" s="10" t="str">
        <x:v>E01 / juicefs-upstream-run-AxbnJa</x:v>
      </x:c>
      <x:c r="N674" s="10" t="str">
        <x:v>原始记录见 E01；不代表故障恢复或 repair 测试</x:v>
      </x:c>
    </x:row>
    <x:row r="675" ht="74" customHeight="1">
      <x:c r="A675" s="11" t="str">
        <x:v>SUBSET-20261015-baidu-wb</x:v>
      </x:c>
      <x:c r="B675" s="11" t="str">
        <x:v>JFS-PY-01</x:v>
      </x:c>
      <x:c r="C675" s="11" t="str">
        <x:v>test_basic_operations</x:v>
      </x:c>
      <x:c r="D675" s="11" t="str">
        <x:v>Python</x:v>
      </x:c>
      <x:c r="E675" s="11" t="str">
        <x:v>baidu</x:v>
      </x:c>
      <x:c r="F675" s="11" t="str">
        <x:v>后台</x:v>
      </x:c>
      <x:c r="G675" s="20" t="d">
        <x:v>2026-10-15T00:00:00.000Z</x:v>
      </x:c>
      <x:c r="H675" s="11" t="str">
        <x:v>已通过</x:v>
      </x:c>
      <x:c r="I675" s="22"/>
      <x:c r="J675" s="11" t="str">
        <x:v>JuiceFS 1.3.0+30190ca / WinFsp 2.1.25156；测试工具 S01–S04</x:v>
      </x:c>
      <x:c r="K675" s="11" t="str">
        <x:v>JuiceFS Windows CI 子集；attr-cache=0；云端 get-timeout=5m</x:v>
      </x:c>
      <x:c r="L675" s="11" t="str">
        <x:v>e920ead94a8e28f04e326664178b0c9f02d492b1 + productChanges / plansSha256 见 E01</x:v>
      </x:c>
      <x:c r="M675" s="11" t="str">
        <x:v>E01 / juicefs-upstream-run-AxbnJa</x:v>
      </x:c>
      <x:c r="N675" s="11" t="str">
        <x:v>上游原断言</x:v>
      </x:c>
    </x:row>
    <x:row r="676" ht="74" customHeight="1">
      <x:c r="A676" s="10" t="str">
        <x:v>SUBSET-20261015-baidu-wb</x:v>
      </x:c>
      <x:c r="B676" s="10" t="str">
        <x:v>JFS-PY-02</x:v>
      </x:c>
      <x:c r="C676" s="10" t="str">
        <x:v>test_concurrent_operations</x:v>
      </x:c>
      <x:c r="D676" s="10" t="str">
        <x:v>Python</x:v>
      </x:c>
      <x:c r="E676" s="10" t="str">
        <x:v>baidu</x:v>
      </x:c>
      <x:c r="F676" s="10" t="str">
        <x:v>后台</x:v>
      </x:c>
      <x:c r="G676" s="19" t="d">
        <x:v>2026-10-15T00:00:00.000Z</x:v>
      </x:c>
      <x:c r="H676" s="10" t="str">
        <x:v>已通过</x:v>
      </x:c>
      <x:c r="I676" s="21"/>
      <x:c r="J676" s="10" t="str">
        <x:v>JuiceFS 1.3.0+30190ca / WinFsp 2.1.25156；测试工具 S01–S04</x:v>
      </x:c>
      <x:c r="K676" s="10" t="str">
        <x:v>JuiceFS Windows CI 子集；attr-cache=0；云端 get-timeout=5m</x:v>
      </x:c>
      <x:c r="L676" s="10" t="str">
        <x:v>e920ead94a8e28f04e326664178b0c9f02d492b1 + productChanges / plansSha256 见 E01</x:v>
      </x:c>
      <x:c r="M676" s="10" t="str">
        <x:v>E01 / juicefs-upstream-run-AxbnJa</x:v>
      </x:c>
      <x:c r="N676" s="10" t="str">
        <x:v>上游原断言</x:v>
      </x:c>
    </x:row>
    <x:row r="677" ht="74" customHeight="1">
      <x:c r="A677" s="11" t="str">
        <x:v>SUBSET-20261015-baidu-wb</x:v>
      </x:c>
      <x:c r="B677" s="11" t="str">
        <x:v>JFS-PY-03</x:v>
      </x:c>
      <x:c r="C677" s="11" t="str">
        <x:v>test_directory_operations</x:v>
      </x:c>
      <x:c r="D677" s="11" t="str">
        <x:v>Python</x:v>
      </x:c>
      <x:c r="E677" s="11" t="str">
        <x:v>baidu</x:v>
      </x:c>
      <x:c r="F677" s="11" t="str">
        <x:v>后台</x:v>
      </x:c>
      <x:c r="G677" s="20" t="d">
        <x:v>2026-10-15T00:00:00.000Z</x:v>
      </x:c>
      <x:c r="H677" s="11" t="str">
        <x:v>已通过</x:v>
      </x:c>
      <x:c r="I677" s="22"/>
      <x:c r="J677" s="11" t="str">
        <x:v>JuiceFS 1.3.0+30190ca / WinFsp 2.1.25156；测试工具 S01–S04</x:v>
      </x:c>
      <x:c r="K677" s="11" t="str">
        <x:v>JuiceFS Windows CI 子集；attr-cache=0；云端 get-timeout=5m</x:v>
      </x:c>
      <x:c r="L677" s="11" t="str">
        <x:v>e920ead94a8e28f04e326664178b0c9f02d492b1 + productChanges / plansSha256 见 E01</x:v>
      </x:c>
      <x:c r="M677" s="11" t="str">
        <x:v>E01 / juicefs-upstream-run-AxbnJa</x:v>
      </x:c>
      <x:c r="N677" s="11" t="str">
        <x:v>上游原断言</x:v>
      </x:c>
    </x:row>
    <x:row r="678" ht="74" customHeight="1">
      <x:c r="A678" s="10" t="str">
        <x:v>SUBSET-20261015-baidu-wb</x:v>
      </x:c>
      <x:c r="B678" s="10" t="str">
        <x:v>JFS-PY-04</x:v>
      </x:c>
      <x:c r="C678" s="10" t="str">
        <x:v>test_file_attributes</x:v>
      </x:c>
      <x:c r="D678" s="10" t="str">
        <x:v>Python</x:v>
      </x:c>
      <x:c r="E678" s="10" t="str">
        <x:v>baidu</x:v>
      </x:c>
      <x:c r="F678" s="10" t="str">
        <x:v>后台</x:v>
      </x:c>
      <x:c r="G678" s="19" t="d">
        <x:v>2026-10-15T00:00:00.000Z</x:v>
      </x:c>
      <x:c r="H678" s="10" t="str">
        <x:v>已通过</x:v>
      </x:c>
      <x:c r="I678" s="21"/>
      <x:c r="J678" s="10" t="str">
        <x:v>JuiceFS 1.3.0+30190ca / WinFsp 2.1.25156；测试工具 S01–S04</x:v>
      </x:c>
      <x:c r="K678" s="10" t="str">
        <x:v>JuiceFS Windows CI 子集；attr-cache=0；云端 get-timeout=5m</x:v>
      </x:c>
      <x:c r="L678" s="10" t="str">
        <x:v>e920ead94a8e28f04e326664178b0c9f02d492b1 + productChanges / plansSha256 见 E01</x:v>
      </x:c>
      <x:c r="M678" s="10" t="str">
        <x:v>E01 / juicefs-upstream-run-AxbnJa</x:v>
      </x:c>
      <x:c r="N678" s="10" t="str">
        <x:v>上游原断言</x:v>
      </x:c>
    </x:row>
    <x:row r="679" ht="74" customHeight="1">
      <x:c r="A679" s="11" t="str">
        <x:v>SUBSET-20261015-baidu-wb</x:v>
      </x:c>
      <x:c r="B679" s="11" t="str">
        <x:v>JFS-PY-05</x:v>
      </x:c>
      <x:c r="C679" s="11" t="str">
        <x:v>test_large_files</x:v>
      </x:c>
      <x:c r="D679" s="11" t="str">
        <x:v>Python</x:v>
      </x:c>
      <x:c r="E679" s="11" t="str">
        <x:v>baidu</x:v>
      </x:c>
      <x:c r="F679" s="11" t="str">
        <x:v>后台</x:v>
      </x:c>
      <x:c r="G679" s="20" t="d">
        <x:v>2026-10-15T00:00:00.000Z</x:v>
      </x:c>
      <x:c r="H679" s="11" t="str">
        <x:v>已通过</x:v>
      </x:c>
      <x:c r="I679" s="22"/>
      <x:c r="J679" s="11" t="str">
        <x:v>JuiceFS 1.3.0+30190ca / WinFsp 2.1.25156；测试工具 S01–S04</x:v>
      </x:c>
      <x:c r="K679" s="11" t="str">
        <x:v>JuiceFS Windows CI 子集；attr-cache=0；云端 get-timeout=5m</x:v>
      </x:c>
      <x:c r="L679" s="11" t="str">
        <x:v>e920ead94a8e28f04e326664178b0c9f02d492b1 + productChanges / plansSha256 见 E01</x:v>
      </x:c>
      <x:c r="M679" s="11" t="str">
        <x:v>E01 / juicefs-upstream-run-AxbnJa</x:v>
      </x:c>
      <x:c r="N679" s="11" t="str">
        <x:v>上游原断言</x:v>
      </x:c>
    </x:row>
    <x:row r="680" ht="74" customHeight="1">
      <x:c r="A680" s="10" t="str">
        <x:v>SUBSET-20261015-baidu-wb</x:v>
      </x:c>
      <x:c r="B680" s="10" t="str">
        <x:v>JFS-PY-06</x:v>
      </x:c>
      <x:c r="C680" s="10" t="str">
        <x:v>test_long_paths</x:v>
      </x:c>
      <x:c r="D680" s="10" t="str">
        <x:v>Python</x:v>
      </x:c>
      <x:c r="E680" s="10" t="str">
        <x:v>baidu</x:v>
      </x:c>
      <x:c r="F680" s="10" t="str">
        <x:v>后台</x:v>
      </x:c>
      <x:c r="G680" s="19" t="d">
        <x:v>2026-10-15T00:00:00.000Z</x:v>
      </x:c>
      <x:c r="H680" s="10" t="str">
        <x:v>已通过</x:v>
      </x:c>
      <x:c r="I680" s="21"/>
      <x:c r="J680" s="10" t="str">
        <x:v>JuiceFS 1.3.0+30190ca / WinFsp 2.1.25156；测试工具 S01–S04</x:v>
      </x:c>
      <x:c r="K680" s="10" t="str">
        <x:v>JuiceFS Windows CI 子集；attr-cache=0；云端 get-timeout=5m</x:v>
      </x:c>
      <x:c r="L680" s="10" t="str">
        <x:v>e920ead94a8e28f04e326664178b0c9f02d492b1 + productChanges / plansSha256 见 E01</x:v>
      </x:c>
      <x:c r="M680" s="10" t="str">
        <x:v>E01 / juicefs-upstream-run-AxbnJa</x:v>
      </x:c>
      <x:c r="N680" s="10" t="str">
        <x:v>上游原断言</x:v>
      </x:c>
    </x:row>
    <x:row r="681" ht="74" customHeight="1">
      <x:c r="A681" s="11" t="str">
        <x:v>SUBSET-20261015-baidu-wb</x:v>
      </x:c>
      <x:c r="B681" s="11" t="str">
        <x:v>JFS-PY-07</x:v>
      </x:c>
      <x:c r="C681" s="11" t="str">
        <x:v>test_rename_case_change</x:v>
      </x:c>
      <x:c r="D681" s="11" t="str">
        <x:v>Python</x:v>
      </x:c>
      <x:c r="E681" s="11" t="str">
        <x:v>baidu</x:v>
      </x:c>
      <x:c r="F681" s="11" t="str">
        <x:v>后台</x:v>
      </x:c>
      <x:c r="G681" s="20" t="d">
        <x:v>2026-10-15T00:00:00.000Z</x:v>
      </x:c>
      <x:c r="H681" s="11" t="str">
        <x:v>已通过</x:v>
      </x:c>
      <x:c r="I681" s="22"/>
      <x:c r="J681" s="11" t="str">
        <x:v>JuiceFS 1.3.0+30190ca / WinFsp 2.1.25156；测试工具 S01–S04</x:v>
      </x:c>
      <x:c r="K681" s="11" t="str">
        <x:v>JuiceFS Windows CI 子集；attr-cache=0；云端 get-timeout=5m</x:v>
      </x:c>
      <x:c r="L681" s="11" t="str">
        <x:v>e920ead94a8e28f04e326664178b0c9f02d492b1 + productChanges / plansSha256 见 E01</x:v>
      </x:c>
      <x:c r="M681" s="11" t="str">
        <x:v>E01 / juicefs-upstream-run-AxbnJa</x:v>
      </x:c>
      <x:c r="N681" s="11" t="str">
        <x:v>上游原断言</x:v>
      </x:c>
    </x:row>
    <x:row r="682" ht="74" customHeight="1">
      <x:c r="A682" s="10" t="str">
        <x:v>SUBSET-20261015-baidu-wb</x:v>
      </x:c>
      <x:c r="B682" s="10" t="str">
        <x:v>JFS-PY-08</x:v>
      </x:c>
      <x:c r="C682" s="10" t="str">
        <x:v>test_special_characters</x:v>
      </x:c>
      <x:c r="D682" s="10" t="str">
        <x:v>Python</x:v>
      </x:c>
      <x:c r="E682" s="10" t="str">
        <x:v>baidu</x:v>
      </x:c>
      <x:c r="F682" s="10" t="str">
        <x:v>后台</x:v>
      </x:c>
      <x:c r="G682" s="19" t="d">
        <x:v>2026-10-15T00:00:00.000Z</x:v>
      </x:c>
      <x:c r="H682" s="10" t="str">
        <x:v>已通过</x:v>
      </x:c>
      <x:c r="I682" s="21"/>
      <x:c r="J682" s="10" t="str">
        <x:v>JuiceFS 1.3.0+30190ca / WinFsp 2.1.25156；测试工具 S01–S04</x:v>
      </x:c>
      <x:c r="K682" s="10" t="str">
        <x:v>JuiceFS Windows CI 子集；attr-cache=0；云端 get-timeout=5m</x:v>
      </x:c>
      <x:c r="L682" s="10" t="str">
        <x:v>e920ead94a8e28f04e326664178b0c9f02d492b1 + productChanges / plansSha256 见 E01</x:v>
      </x:c>
      <x:c r="M682" s="10" t="str">
        <x:v>E01 / juicefs-upstream-run-AxbnJa</x:v>
      </x:c>
      <x:c r="N682" s="10" t="str">
        <x:v>上游原断言</x:v>
      </x:c>
    </x:row>
    <x:row r="683" ht="74" customHeight="1">
      <x:c r="A683" s="11" t="str">
        <x:v>SUBSET-20261015-baidu-wb</x:v>
      </x:c>
      <x:c r="B683" s="11" t="str">
        <x:v>JFS-PY-09</x:v>
      </x:c>
      <x:c r="C683" s="11" t="str">
        <x:v>test_symlinks</x:v>
      </x:c>
      <x:c r="D683" s="11" t="str">
        <x:v>Python</x:v>
      </x:c>
      <x:c r="E683" s="11" t="str">
        <x:v>baidu</x:v>
      </x:c>
      <x:c r="F683" s="11" t="str">
        <x:v>后台</x:v>
      </x:c>
      <x:c r="G683" s="20" t="d">
        <x:v>2026-10-15T00:00:00.000Z</x:v>
      </x:c>
      <x:c r="H683" s="11" t="str">
        <x:v>已跳过</x:v>
      </x:c>
      <x:c r="I683" s="22"/>
      <x:c r="J683" s="11" t="str">
        <x:v>JuiceFS 1.3.0+30190ca / WinFsp 2.1.25156；测试工具 S01–S04</x:v>
      </x:c>
      <x:c r="K683" s="11" t="str">
        <x:v>JuiceFS Windows CI 子集；attr-cache=0；云端 get-timeout=5m</x:v>
      </x:c>
      <x:c r="L683" s="11" t="str">
        <x:v>e920ead94a8e28f04e326664178b0c9f02d492b1 + productChanges / plansSha256 见 E01</x:v>
      </x:c>
      <x:c r="M683" s="11" t="str">
        <x:v>E01 / juicefs-upstream-run-AxbnJa</x:v>
      </x:c>
      <x:c r="N683" s="11" t="str">
        <x:v>Windows Do not support</x:v>
      </x:c>
    </x:row>
    <x:row r="684" ht="74" customHeight="1">
      <x:c r="A684" s="10" t="str">
        <x:v>SUBSET-20261015-baidu-wb</x:v>
      </x:c>
      <x:c r="B684" s="10" t="str">
        <x:v>WFP-01</x:v>
      </x:c>
      <x:c r="C684" s="10" t="str">
        <x:v>create_test</x:v>
      </x:c>
      <x:c r="D684" s="10" t="str">
        <x:v>WinFsp fork 默认子集</x:v>
      </x:c>
      <x:c r="E684" s="10" t="str">
        <x:v>baidu</x:v>
      </x:c>
      <x:c r="F684" s="10" t="str">
        <x:v>后台</x:v>
      </x:c>
      <x:c r="G684" s="19" t="d">
        <x:v>2026-10-15T00:00:00.000Z</x:v>
      </x:c>
      <x:c r="H684" s="10" t="str">
        <x:v>已通过</x:v>
      </x:c>
      <x:c r="I684" s="21" t="n">
        <x:v>0.449</x:v>
      </x:c>
      <x:c r="J684" s="10" t="str">
        <x:v>JuiceFS 1.3.0+30190ca / WinFsp 2.1.25156；测试工具 S01–S04</x:v>
      </x:c>
      <x:c r="K684" s="10" t="str">
        <x:v>JuiceFS Windows CI 子集；attr-cache=0；云端 get-timeout=5m</x:v>
      </x:c>
      <x:c r="L684" s="10" t="str">
        <x:v>e920ead94a8e28f04e326664178b0c9f02d492b1 + productChanges / plansSha256 见 E01</x:v>
      </x:c>
      <x:c r="M684" s="10" t="str">
        <x:v>E01 / juicefs-upstream-run-AxbnJa</x:v>
      </x:c>
      <x:c r="N684" s="10" t="str">
        <x:v>--fuse-external --resilient --case-insensitive-cmp</x:v>
      </x:c>
    </x:row>
    <x:row r="685" ht="74" customHeight="1">
      <x:c r="A685" s="11" t="str">
        <x:v>SUBSET-20261015-baidu-wb</x:v>
      </x:c>
      <x:c r="B685" s="11" t="str">
        <x:v>WFP-02</x:v>
      </x:c>
      <x:c r="C685" s="11" t="str">
        <x:v>create_fileattr_test</x:v>
      </x:c>
      <x:c r="D685" s="11" t="str">
        <x:v>WinFsp fork 默认子集</x:v>
      </x:c>
      <x:c r="E685" s="11" t="str">
        <x:v>baidu</x:v>
      </x:c>
      <x:c r="F685" s="11" t="str">
        <x:v>后台</x:v>
      </x:c>
      <x:c r="G685" s="20" t="d">
        <x:v>2026-10-15T00:00:00.000Z</x:v>
      </x:c>
      <x:c r="H685" s="11" t="str">
        <x:v>已通过</x:v>
      </x:c>
      <x:c r="I685" s="22" t="n">
        <x:v>0.46</x:v>
      </x:c>
      <x:c r="J685" s="11" t="str">
        <x:v>JuiceFS 1.3.0+30190ca / WinFsp 2.1.25156；测试工具 S01–S04</x:v>
      </x:c>
      <x:c r="K685" s="11" t="str">
        <x:v>JuiceFS Windows CI 子集；attr-cache=0；云端 get-timeout=5m</x:v>
      </x:c>
      <x:c r="L685" s="11" t="str">
        <x:v>e920ead94a8e28f04e326664178b0c9f02d492b1 + productChanges / plansSha256 见 E01</x:v>
      </x:c>
      <x:c r="M685" s="11" t="str">
        <x:v>E01 / juicefs-upstream-run-AxbnJa</x:v>
      </x:c>
      <x:c r="N685" s="11" t="str">
        <x:v>--fuse-external --resilient --case-insensitive-cmp</x:v>
      </x:c>
    </x:row>
    <x:row r="686" ht="74" customHeight="1">
      <x:c r="A686" s="10" t="str">
        <x:v>SUBSET-20261015-baidu-wb</x:v>
      </x:c>
      <x:c r="B686" s="10" t="str">
        <x:v>WFP-03</x:v>
      </x:c>
      <x:c r="C686" s="10" t="str">
        <x:v>create_readonlydir_test</x:v>
      </x:c>
      <x:c r="D686" s="10" t="str">
        <x:v>WinFsp fork 默认子集</x:v>
      </x:c>
      <x:c r="E686" s="10" t="str">
        <x:v>baidu</x:v>
      </x:c>
      <x:c r="F686" s="10" t="str">
        <x:v>后台</x:v>
      </x:c>
      <x:c r="G686" s="19" t="d">
        <x:v>2026-10-15T00:00:00.000Z</x:v>
      </x:c>
      <x:c r="H686" s="10" t="str">
        <x:v>已通过</x:v>
      </x:c>
      <x:c r="I686" s="21" t="n">
        <x:v>0.588</x:v>
      </x:c>
      <x:c r="J686" s="10" t="str">
        <x:v>JuiceFS 1.3.0+30190ca / WinFsp 2.1.25156；测试工具 S01–S04</x:v>
      </x:c>
      <x:c r="K686" s="10" t="str">
        <x:v>JuiceFS Windows CI 子集；attr-cache=0；云端 get-timeout=5m</x:v>
      </x:c>
      <x:c r="L686" s="10" t="str">
        <x:v>e920ead94a8e28f04e326664178b0c9f02d492b1 + productChanges / plansSha256 见 E01</x:v>
      </x:c>
      <x:c r="M686" s="10" t="str">
        <x:v>E01 / juicefs-upstream-run-AxbnJa</x:v>
      </x:c>
      <x:c r="N686" s="10" t="str">
        <x:v>--fuse-external --resilient --case-insensitive-cmp</x:v>
      </x:c>
    </x:row>
    <x:row r="687" ht="74" customHeight="1">
      <x:c r="A687" s="11" t="str">
        <x:v>SUBSET-20261015-baidu-wb</x:v>
      </x:c>
      <x:c r="B687" s="11" t="str">
        <x:v>WFP-04</x:v>
      </x:c>
      <x:c r="C687" s="11" t="str">
        <x:v>create_related_test</x:v>
      </x:c>
      <x:c r="D687" s="11" t="str">
        <x:v>WinFsp fork 默认子集</x:v>
      </x:c>
      <x:c r="E687" s="11" t="str">
        <x:v>baidu</x:v>
      </x:c>
      <x:c r="F687" s="11" t="str">
        <x:v>后台</x:v>
      </x:c>
      <x:c r="G687" s="20" t="d">
        <x:v>2026-10-15T00:00:00.000Z</x:v>
      </x:c>
      <x:c r="H687" s="11" t="str">
        <x:v>已通过</x:v>
      </x:c>
      <x:c r="I687" s="22" t="n">
        <x:v>0.432</x:v>
      </x:c>
      <x:c r="J687" s="11" t="str">
        <x:v>JuiceFS 1.3.0+30190ca / WinFsp 2.1.25156；测试工具 S01–S04</x:v>
      </x:c>
      <x:c r="K687" s="11" t="str">
        <x:v>JuiceFS Windows CI 子集；attr-cache=0；云端 get-timeout=5m</x:v>
      </x:c>
      <x:c r="L687" s="11" t="str">
        <x:v>e920ead94a8e28f04e326664178b0c9f02d492b1 + productChanges / plansSha256 见 E01</x:v>
      </x:c>
      <x:c r="M687" s="11" t="str">
        <x:v>E01 / juicefs-upstream-run-AxbnJa</x:v>
      </x:c>
      <x:c r="N687" s="11" t="str">
        <x:v>--fuse-external --resilient --case-insensitive-cmp</x:v>
      </x:c>
    </x:row>
    <x:row r="688" ht="74" customHeight="1">
      <x:c r="A688" s="10" t="str">
        <x:v>SUBSET-20261015-baidu-wb</x:v>
      </x:c>
      <x:c r="B688" s="10" t="str">
        <x:v>WFP-05</x:v>
      </x:c>
      <x:c r="C688" s="10" t="str">
        <x:v>create_sd_test</x:v>
      </x:c>
      <x:c r="D688" s="10" t="str">
        <x:v>WinFsp fork 默认子集</x:v>
      </x:c>
      <x:c r="E688" s="10" t="str">
        <x:v>baidu</x:v>
      </x:c>
      <x:c r="F688" s="10" t="str">
        <x:v>后台</x:v>
      </x:c>
      <x:c r="G688" s="19" t="d">
        <x:v>2026-10-15T00:00:00.000Z</x:v>
      </x:c>
      <x:c r="H688" s="10" t="str">
        <x:v>已通过</x:v>
      </x:c>
      <x:c r="I688" s="21" t="n">
        <x:v>0.568</x:v>
      </x:c>
      <x:c r="J688" s="10" t="str">
        <x:v>JuiceFS 1.3.0+30190ca / WinFsp 2.1.25156；测试工具 S01–S04</x:v>
      </x:c>
      <x:c r="K688" s="10" t="str">
        <x:v>JuiceFS Windows CI 子集；attr-cache=0；云端 get-timeout=5m</x:v>
      </x:c>
      <x:c r="L688" s="10" t="str">
        <x:v>e920ead94a8e28f04e326664178b0c9f02d492b1 + productChanges / plansSha256 见 E01</x:v>
      </x:c>
      <x:c r="M688" s="10" t="str">
        <x:v>E01 / juicefs-upstream-run-AxbnJa</x:v>
      </x:c>
      <x:c r="N688" s="10" t="str">
        <x:v>--fuse-external --resilient --case-insensitive-cmp</x:v>
      </x:c>
    </x:row>
    <x:row r="689" ht="74" customHeight="1">
      <x:c r="A689" s="11" t="str">
        <x:v>SUBSET-20261015-baidu-wb</x:v>
      </x:c>
      <x:c r="B689" s="11" t="str">
        <x:v>WFP-06</x:v>
      </x:c>
      <x:c r="C689" s="11" t="str">
        <x:v>create_share_test</x:v>
      </x:c>
      <x:c r="D689" s="11" t="str">
        <x:v>WinFsp fork 默认子集</x:v>
      </x:c>
      <x:c r="E689" s="11" t="str">
        <x:v>baidu</x:v>
      </x:c>
      <x:c r="F689" s="11" t="str">
        <x:v>后台</x:v>
      </x:c>
      <x:c r="G689" s="20" t="d">
        <x:v>2026-10-15T00:00:00.000Z</x:v>
      </x:c>
      <x:c r="H689" s="11" t="str">
        <x:v>已通过</x:v>
      </x:c>
      <x:c r="I689" s="22" t="n">
        <x:v>0.441</x:v>
      </x:c>
      <x:c r="J689" s="11" t="str">
        <x:v>JuiceFS 1.3.0+30190ca / WinFsp 2.1.25156；测试工具 S01–S04</x:v>
      </x:c>
      <x:c r="K689" s="11" t="str">
        <x:v>JuiceFS Windows CI 子集；attr-cache=0；云端 get-timeout=5m</x:v>
      </x:c>
      <x:c r="L689" s="11" t="str">
        <x:v>e920ead94a8e28f04e326664178b0c9f02d492b1 + productChanges / plansSha256 见 E01</x:v>
      </x:c>
      <x:c r="M689" s="11" t="str">
        <x:v>E01 / juicefs-upstream-run-AxbnJa</x:v>
      </x:c>
      <x:c r="N689" s="11" t="str">
        <x:v>--fuse-external --resilient --case-insensitive-cmp</x:v>
      </x:c>
    </x:row>
    <x:row r="690" ht="74" customHeight="1">
      <x:c r="A690" s="10" t="str">
        <x:v>SUBSET-20261015-baidu-wb</x:v>
      </x:c>
      <x:c r="B690" s="10" t="str">
        <x:v>WFP-07</x:v>
      </x:c>
      <x:c r="C690" s="10" t="str">
        <x:v>create_curdir_test</x:v>
      </x:c>
      <x:c r="D690" s="10" t="str">
        <x:v>WinFsp fork 默认子集</x:v>
      </x:c>
      <x:c r="E690" s="10" t="str">
        <x:v>baidu</x:v>
      </x:c>
      <x:c r="F690" s="10" t="str">
        <x:v>后台</x:v>
      </x:c>
      <x:c r="G690" s="19" t="d">
        <x:v>2026-10-15T00:00:00.000Z</x:v>
      </x:c>
      <x:c r="H690" s="10" t="str">
        <x:v>已通过</x:v>
      </x:c>
      <x:c r="I690" s="21" t="n">
        <x:v>0.563</x:v>
      </x:c>
      <x:c r="J690" s="10" t="str">
        <x:v>JuiceFS 1.3.0+30190ca / WinFsp 2.1.25156；测试工具 S01–S04</x:v>
      </x:c>
      <x:c r="K690" s="10" t="str">
        <x:v>JuiceFS Windows CI 子集；attr-cache=0；云端 get-timeout=5m</x:v>
      </x:c>
      <x:c r="L690" s="10" t="str">
        <x:v>e920ead94a8e28f04e326664178b0c9f02d492b1 + productChanges / plansSha256 见 E01</x:v>
      </x:c>
      <x:c r="M690" s="10" t="str">
        <x:v>E01 / juicefs-upstream-run-AxbnJa</x:v>
      </x:c>
      <x:c r="N690" s="10" t="str">
        <x:v>--fuse-external --resilient --case-insensitive-cmp</x:v>
      </x:c>
    </x:row>
    <x:row r="691" ht="74" customHeight="1">
      <x:c r="A691" s="11" t="str">
        <x:v>SUBSET-20261015-baidu-wb</x:v>
      </x:c>
      <x:c r="B691" s="11" t="str">
        <x:v>WFP-08</x:v>
      </x:c>
      <x:c r="C691" s="11" t="str">
        <x:v>getfileinfo_test</x:v>
      </x:c>
      <x:c r="D691" s="11" t="str">
        <x:v>WinFsp fork 默认子集</x:v>
      </x:c>
      <x:c r="E691" s="11" t="str">
        <x:v>baidu</x:v>
      </x:c>
      <x:c r="F691" s="11" t="str">
        <x:v>后台</x:v>
      </x:c>
      <x:c r="G691" s="20" t="d">
        <x:v>2026-10-15T00:00:00.000Z</x:v>
      </x:c>
      <x:c r="H691" s="11" t="str">
        <x:v>已通过</x:v>
      </x:c>
      <x:c r="I691" s="22" t="n">
        <x:v>0.429</x:v>
      </x:c>
      <x:c r="J691" s="11" t="str">
        <x:v>JuiceFS 1.3.0+30190ca / WinFsp 2.1.25156；测试工具 S01–S04</x:v>
      </x:c>
      <x:c r="K691" s="11" t="str">
        <x:v>JuiceFS Windows CI 子集；attr-cache=0；云端 get-timeout=5m</x:v>
      </x:c>
      <x:c r="L691" s="11" t="str">
        <x:v>e920ead94a8e28f04e326664178b0c9f02d492b1 + productChanges / plansSha256 见 E01</x:v>
      </x:c>
      <x:c r="M691" s="11" t="str">
        <x:v>E01 / juicefs-upstream-run-AxbnJa</x:v>
      </x:c>
      <x:c r="N691" s="11" t="str">
        <x:v>--fuse-external --resilient --case-insensitive-cmp</x:v>
      </x:c>
    </x:row>
    <x:row r="692" ht="74" customHeight="1">
      <x:c r="A692" s="10" t="str">
        <x:v>SUBSET-20261015-baidu-wb</x:v>
      </x:c>
      <x:c r="B692" s="10" t="str">
        <x:v>WFP-09</x:v>
      </x:c>
      <x:c r="C692" s="10" t="str">
        <x:v>setfileinfo_test</x:v>
      </x:c>
      <x:c r="D692" s="10" t="str">
        <x:v>WinFsp fork 默认子集</x:v>
      </x:c>
      <x:c r="E692" s="10" t="str">
        <x:v>baidu</x:v>
      </x:c>
      <x:c r="F692" s="10" t="str">
        <x:v>后台</x:v>
      </x:c>
      <x:c r="G692" s="19" t="d">
        <x:v>2026-10-15T00:00:00.000Z</x:v>
      </x:c>
      <x:c r="H692" s="10" t="str">
        <x:v>已通过</x:v>
      </x:c>
      <x:c r="I692" s="21" t="n">
        <x:v>0.601</x:v>
      </x:c>
      <x:c r="J692" s="10" t="str">
        <x:v>JuiceFS 1.3.0+30190ca / WinFsp 2.1.25156；测试工具 S01–S04</x:v>
      </x:c>
      <x:c r="K692" s="10" t="str">
        <x:v>JuiceFS Windows CI 子集；attr-cache=0；云端 get-timeout=5m</x:v>
      </x:c>
      <x:c r="L692" s="10" t="str">
        <x:v>e920ead94a8e28f04e326664178b0c9f02d492b1 + productChanges / plansSha256 见 E01</x:v>
      </x:c>
      <x:c r="M692" s="10" t="str">
        <x:v>E01 / juicefs-upstream-run-AxbnJa</x:v>
      </x:c>
      <x:c r="N692" s="10" t="str">
        <x:v>--fuse-external --resilient --case-insensitive-cmp</x:v>
      </x:c>
    </x:row>
    <x:row r="693" ht="74" customHeight="1">
      <x:c r="A693" s="11" t="str">
        <x:v>SUBSET-20261015-baidu-wb</x:v>
      </x:c>
      <x:c r="B693" s="11" t="str">
        <x:v>WFP-10</x:v>
      </x:c>
      <x:c r="C693" s="11" t="str">
        <x:v>delete_test</x:v>
      </x:c>
      <x:c r="D693" s="11" t="str">
        <x:v>WinFsp fork 默认子集</x:v>
      </x:c>
      <x:c r="E693" s="11" t="str">
        <x:v>baidu</x:v>
      </x:c>
      <x:c r="F693" s="11" t="str">
        <x:v>后台</x:v>
      </x:c>
      <x:c r="G693" s="20" t="d">
        <x:v>2026-10-15T00:00:00.000Z</x:v>
      </x:c>
      <x:c r="H693" s="11" t="str">
        <x:v>已通过</x:v>
      </x:c>
      <x:c r="I693" s="22" t="n">
        <x:v>0.402</x:v>
      </x:c>
      <x:c r="J693" s="11" t="str">
        <x:v>JuiceFS 1.3.0+30190ca / WinFsp 2.1.25156；测试工具 S01–S04</x:v>
      </x:c>
      <x:c r="K693" s="11" t="str">
        <x:v>JuiceFS Windows CI 子集；attr-cache=0；云端 get-timeout=5m</x:v>
      </x:c>
      <x:c r="L693" s="11" t="str">
        <x:v>e920ead94a8e28f04e326664178b0c9f02d492b1 + productChanges / plansSha256 见 E01</x:v>
      </x:c>
      <x:c r="M693" s="11" t="str">
        <x:v>E01 / juicefs-upstream-run-AxbnJa</x:v>
      </x:c>
      <x:c r="N693" s="11" t="str">
        <x:v>--fuse-external --resilient --case-insensitive-cmp</x:v>
      </x:c>
    </x:row>
    <x:row r="694" ht="74" customHeight="1">
      <x:c r="A694" s="10" t="str">
        <x:v>SUBSET-20261015-baidu-wb</x:v>
      </x:c>
      <x:c r="B694" s="10" t="str">
        <x:v>WFP-11</x:v>
      </x:c>
      <x:c r="C694" s="10" t="str">
        <x:v>delete_access_test</x:v>
      </x:c>
      <x:c r="D694" s="10" t="str">
        <x:v>WinFsp fork 默认子集</x:v>
      </x:c>
      <x:c r="E694" s="10" t="str">
        <x:v>baidu</x:v>
      </x:c>
      <x:c r="F694" s="10" t="str">
        <x:v>后台</x:v>
      </x:c>
      <x:c r="G694" s="19" t="d">
        <x:v>2026-10-15T00:00:00.000Z</x:v>
      </x:c>
      <x:c r="H694" s="10" t="str">
        <x:v>已通过</x:v>
      </x:c>
      <x:c r="I694" s="21" t="n">
        <x:v>0.611</x:v>
      </x:c>
      <x:c r="J694" s="10" t="str">
        <x:v>JuiceFS 1.3.0+30190ca / WinFsp 2.1.25156；测试工具 S01–S04</x:v>
      </x:c>
      <x:c r="K694" s="10" t="str">
        <x:v>JuiceFS Windows CI 子集；attr-cache=0；云端 get-timeout=5m</x:v>
      </x:c>
      <x:c r="L694" s="10" t="str">
        <x:v>e920ead94a8e28f04e326664178b0c9f02d492b1 + productChanges / plansSha256 见 E01</x:v>
      </x:c>
      <x:c r="M694" s="10" t="str">
        <x:v>E01 / juicefs-upstream-run-AxbnJa</x:v>
      </x:c>
      <x:c r="N694" s="10" t="str">
        <x:v>--fuse-external --resilient --case-insensitive-cmp</x:v>
      </x:c>
    </x:row>
    <x:row r="695" ht="74" customHeight="1">
      <x:c r="A695" s="11" t="str">
        <x:v>SUBSET-20261015-baidu-wb</x:v>
      </x:c>
      <x:c r="B695" s="11" t="str">
        <x:v>WFP-12</x:v>
      </x:c>
      <x:c r="C695" s="11" t="str">
        <x:v>delete_pending_test</x:v>
      </x:c>
      <x:c r="D695" s="11" t="str">
        <x:v>WinFsp fork 默认子集</x:v>
      </x:c>
      <x:c r="E695" s="11" t="str">
        <x:v>baidu</x:v>
      </x:c>
      <x:c r="F695" s="11" t="str">
        <x:v>后台</x:v>
      </x:c>
      <x:c r="G695" s="20" t="d">
        <x:v>2026-10-15T00:00:00.000Z</x:v>
      </x:c>
      <x:c r="H695" s="11" t="str">
        <x:v>已通过</x:v>
      </x:c>
      <x:c r="I695" s="22" t="n">
        <x:v>0.35</x:v>
      </x:c>
      <x:c r="J695" s="11" t="str">
        <x:v>JuiceFS 1.3.0+30190ca / WinFsp 2.1.25156；测试工具 S01–S04</x:v>
      </x:c>
      <x:c r="K695" s="11" t="str">
        <x:v>JuiceFS Windows CI 子集；attr-cache=0；云端 get-timeout=5m</x:v>
      </x:c>
      <x:c r="L695" s="11" t="str">
        <x:v>e920ead94a8e28f04e326664178b0c9f02d492b1 + productChanges / plansSha256 见 E01</x:v>
      </x:c>
      <x:c r="M695" s="11" t="str">
        <x:v>E01 / juicefs-upstream-run-AxbnJa</x:v>
      </x:c>
      <x:c r="N695" s="11" t="str">
        <x:v>--fuse-external --resilient --case-insensitive-cmp</x:v>
      </x:c>
    </x:row>
    <x:row r="696" ht="74" customHeight="1">
      <x:c r="A696" s="10" t="str">
        <x:v>SUBSET-20261015-baidu-wb</x:v>
      </x:c>
      <x:c r="B696" s="10" t="str">
        <x:v>WFP-13</x:v>
      </x:c>
      <x:c r="C696" s="10" t="str">
        <x:v>delete_mmap_test</x:v>
      </x:c>
      <x:c r="D696" s="10" t="str">
        <x:v>WinFsp fork 默认子集</x:v>
      </x:c>
      <x:c r="E696" s="10" t="str">
        <x:v>baidu</x:v>
      </x:c>
      <x:c r="F696" s="10" t="str">
        <x:v>后台</x:v>
      </x:c>
      <x:c r="G696" s="19" t="d">
        <x:v>2026-10-15T00:00:00.000Z</x:v>
      </x:c>
      <x:c r="H696" s="10" t="str">
        <x:v>已通过</x:v>
      </x:c>
      <x:c r="I696" s="21" t="n">
        <x:v>0.665</x:v>
      </x:c>
      <x:c r="J696" s="10" t="str">
        <x:v>JuiceFS 1.3.0+30190ca / WinFsp 2.1.25156；测试工具 S01–S04</x:v>
      </x:c>
      <x:c r="K696" s="10" t="str">
        <x:v>JuiceFS Windows CI 子集；attr-cache=0；云端 get-timeout=5m</x:v>
      </x:c>
      <x:c r="L696" s="10" t="str">
        <x:v>e920ead94a8e28f04e326664178b0c9f02d492b1 + productChanges / plansSha256 见 E01</x:v>
      </x:c>
      <x:c r="M696" s="10" t="str">
        <x:v>E01 / juicefs-upstream-run-AxbnJa</x:v>
      </x:c>
      <x:c r="N696" s="10" t="str">
        <x:v>--fuse-external --resilient --case-insensitive-cmp</x:v>
      </x:c>
    </x:row>
    <x:row r="697" ht="74" customHeight="1">
      <x:c r="A697" s="11" t="str">
        <x:v>SUBSET-20261015-baidu-wb</x:v>
      </x:c>
      <x:c r="B697" s="11" t="str">
        <x:v>WFP-14</x:v>
      </x:c>
      <x:c r="C697" s="11" t="str">
        <x:v>delete_standby_test</x:v>
      </x:c>
      <x:c r="D697" s="11" t="str">
        <x:v>WinFsp fork 默认子集</x:v>
      </x:c>
      <x:c r="E697" s="11" t="str">
        <x:v>baidu</x:v>
      </x:c>
      <x:c r="F697" s="11" t="str">
        <x:v>后台</x:v>
      </x:c>
      <x:c r="G697" s="20" t="d">
        <x:v>2026-10-15T00:00:00.000Z</x:v>
      </x:c>
      <x:c r="H697" s="11" t="str">
        <x:v>已通过</x:v>
      </x:c>
      <x:c r="I697" s="22" t="n">
        <x:v>0.469</x:v>
      </x:c>
      <x:c r="J697" s="11" t="str">
        <x:v>JuiceFS 1.3.0+30190ca / WinFsp 2.1.25156；测试工具 S01–S04</x:v>
      </x:c>
      <x:c r="K697" s="11" t="str">
        <x:v>JuiceFS Windows CI 子集；attr-cache=0；云端 get-timeout=5m</x:v>
      </x:c>
      <x:c r="L697" s="11" t="str">
        <x:v>e920ead94a8e28f04e326664178b0c9f02d492b1 + productChanges / plansSha256 见 E01</x:v>
      </x:c>
      <x:c r="M697" s="11" t="str">
        <x:v>E01 / juicefs-upstream-run-AxbnJa</x:v>
      </x:c>
      <x:c r="N697" s="11" t="str">
        <x:v>--fuse-external --resilient --case-insensitive-cmp</x:v>
      </x:c>
    </x:row>
    <x:row r="698" ht="74" customHeight="1">
      <x:c r="A698" s="10" t="str">
        <x:v>SUBSET-20261015-baidu-wb</x:v>
      </x:c>
      <x:c r="B698" s="10" t="str">
        <x:v>WFP-15</x:v>
      </x:c>
      <x:c r="C698" s="10" t="str">
        <x:v>delete_ex_test</x:v>
      </x:c>
      <x:c r="D698" s="10" t="str">
        <x:v>WinFsp fork 默认子集</x:v>
      </x:c>
      <x:c r="E698" s="10" t="str">
        <x:v>baidu</x:v>
      </x:c>
      <x:c r="F698" s="10" t="str">
        <x:v>后台</x:v>
      </x:c>
      <x:c r="G698" s="19" t="d">
        <x:v>2026-10-15T00:00:00.000Z</x:v>
      </x:c>
      <x:c r="H698" s="10" t="str">
        <x:v>已通过</x:v>
      </x:c>
      <x:c r="I698" s="21" t="n">
        <x:v>0.546</x:v>
      </x:c>
      <x:c r="J698" s="10" t="str">
        <x:v>JuiceFS 1.3.0+30190ca / WinFsp 2.1.25156；测试工具 S01–S04</x:v>
      </x:c>
      <x:c r="K698" s="10" t="str">
        <x:v>JuiceFS Windows CI 子集；attr-cache=0；云端 get-timeout=5m</x:v>
      </x:c>
      <x:c r="L698" s="10" t="str">
        <x:v>e920ead94a8e28f04e326664178b0c9f02d492b1 + productChanges / plansSha256 见 E01</x:v>
      </x:c>
      <x:c r="M698" s="10" t="str">
        <x:v>E01 / juicefs-upstream-run-AxbnJa</x:v>
      </x:c>
      <x:c r="N698" s="10" t="str">
        <x:v>--fuse-external --resilient --case-insensitive-cmp</x:v>
      </x:c>
    </x:row>
    <x:row r="699" ht="74" customHeight="1">
      <x:c r="A699" s="11" t="str">
        <x:v>SUBSET-20261015-baidu-wb</x:v>
      </x:c>
      <x:c r="B699" s="11" t="str">
        <x:v>WFP-16</x:v>
      </x:c>
      <x:c r="C699" s="11" t="str">
        <x:v>rename_test</x:v>
      </x:c>
      <x:c r="D699" s="11" t="str">
        <x:v>WinFsp fork 默认子集</x:v>
      </x:c>
      <x:c r="E699" s="11" t="str">
        <x:v>baidu</x:v>
      </x:c>
      <x:c r="F699" s="11" t="str">
        <x:v>后台</x:v>
      </x:c>
      <x:c r="G699" s="20" t="d">
        <x:v>2026-10-15T00:00:00.000Z</x:v>
      </x:c>
      <x:c r="H699" s="11" t="str">
        <x:v>已通过</x:v>
      </x:c>
      <x:c r="I699" s="22" t="n">
        <x:v>0.487</x:v>
      </x:c>
      <x:c r="J699" s="11" t="str">
        <x:v>JuiceFS 1.3.0+30190ca / WinFsp 2.1.25156；测试工具 S01–S04</x:v>
      </x:c>
      <x:c r="K699" s="11" t="str">
        <x:v>JuiceFS Windows CI 子集；attr-cache=0；云端 get-timeout=5m</x:v>
      </x:c>
      <x:c r="L699" s="11" t="str">
        <x:v>e920ead94a8e28f04e326664178b0c9f02d492b1 + productChanges / plansSha256 见 E01</x:v>
      </x:c>
      <x:c r="M699" s="11" t="str">
        <x:v>E01 / juicefs-upstream-run-AxbnJa</x:v>
      </x:c>
      <x:c r="N699" s="11" t="str">
        <x:v>--fuse-external --resilient --case-insensitive-cmp</x:v>
      </x:c>
    </x:row>
    <x:row r="700" ht="74" customHeight="1">
      <x:c r="A700" s="10" t="str">
        <x:v>SUBSET-20261015-baidu-wb</x:v>
      </x:c>
      <x:c r="B700" s="10" t="str">
        <x:v>WFP-17</x:v>
      </x:c>
      <x:c r="C700" s="10" t="str">
        <x:v>rename_backslash_test</x:v>
      </x:c>
      <x:c r="D700" s="10" t="str">
        <x:v>WinFsp fork 默认子集</x:v>
      </x:c>
      <x:c r="E700" s="10" t="str">
        <x:v>baidu</x:v>
      </x:c>
      <x:c r="F700" s="10" t="str">
        <x:v>后台</x:v>
      </x:c>
      <x:c r="G700" s="19" t="d">
        <x:v>2026-10-15T00:00:00.000Z</x:v>
      </x:c>
      <x:c r="H700" s="10" t="str">
        <x:v>已通过</x:v>
      </x:c>
      <x:c r="I700" s="21" t="n">
        <x:v>0.565</x:v>
      </x:c>
      <x:c r="J700" s="10" t="str">
        <x:v>JuiceFS 1.3.0+30190ca / WinFsp 2.1.25156；测试工具 S01–S04</x:v>
      </x:c>
      <x:c r="K700" s="10" t="str">
        <x:v>JuiceFS Windows CI 子集；attr-cache=0；云端 get-timeout=5m</x:v>
      </x:c>
      <x:c r="L700" s="10" t="str">
        <x:v>e920ead94a8e28f04e326664178b0c9f02d492b1 + productChanges / plansSha256 见 E01</x:v>
      </x:c>
      <x:c r="M700" s="10" t="str">
        <x:v>E01 / juicefs-upstream-run-AxbnJa</x:v>
      </x:c>
      <x:c r="N700" s="10" t="str">
        <x:v>--fuse-external --resilient --case-insensitive-cmp</x:v>
      </x:c>
    </x:row>
    <x:row r="701" ht="74" customHeight="1">
      <x:c r="A701" s="11" t="str">
        <x:v>SUBSET-20261015-baidu-wb</x:v>
      </x:c>
      <x:c r="B701" s="11" t="str">
        <x:v>WFP-18</x:v>
      </x:c>
      <x:c r="C701" s="11" t="str">
        <x:v>rename_open_test</x:v>
      </x:c>
      <x:c r="D701" s="11" t="str">
        <x:v>WinFsp fork 默认子集</x:v>
      </x:c>
      <x:c r="E701" s="11" t="str">
        <x:v>baidu</x:v>
      </x:c>
      <x:c r="F701" s="11" t="str">
        <x:v>后台</x:v>
      </x:c>
      <x:c r="G701" s="20" t="d">
        <x:v>2026-10-15T00:00:00.000Z</x:v>
      </x:c>
      <x:c r="H701" s="11" t="str">
        <x:v>已通过</x:v>
      </x:c>
      <x:c r="I701" s="22" t="n">
        <x:v>0.379</x:v>
      </x:c>
      <x:c r="J701" s="11" t="str">
        <x:v>JuiceFS 1.3.0+30190ca / WinFsp 2.1.25156；测试工具 S01–S04</x:v>
      </x:c>
      <x:c r="K701" s="11" t="str">
        <x:v>JuiceFS Windows CI 子集；attr-cache=0；云端 get-timeout=5m</x:v>
      </x:c>
      <x:c r="L701" s="11" t="str">
        <x:v>e920ead94a8e28f04e326664178b0c9f02d492b1 + productChanges / plansSha256 见 E01</x:v>
      </x:c>
      <x:c r="M701" s="11" t="str">
        <x:v>E01 / juicefs-upstream-run-AxbnJa</x:v>
      </x:c>
      <x:c r="N701" s="11" t="str">
        <x:v>--fuse-external --resilient --case-insensitive-cmp</x:v>
      </x:c>
    </x:row>
    <x:row r="702" ht="74" customHeight="1">
      <x:c r="A702" s="10" t="str">
        <x:v>SUBSET-20261015-baidu-wb</x:v>
      </x:c>
      <x:c r="B702" s="10" t="str">
        <x:v>WFP-19</x:v>
      </x:c>
      <x:c r="C702" s="10" t="str">
        <x:v>rename_caseins_test</x:v>
      </x:c>
      <x:c r="D702" s="10" t="str">
        <x:v>WinFsp fork 默认子集</x:v>
      </x:c>
      <x:c r="E702" s="10" t="str">
        <x:v>baidu</x:v>
      </x:c>
      <x:c r="F702" s="10" t="str">
        <x:v>后台</x:v>
      </x:c>
      <x:c r="G702" s="19" t="d">
        <x:v>2026-10-15T00:00:00.000Z</x:v>
      </x:c>
      <x:c r="H702" s="10" t="str">
        <x:v>已通过</x:v>
      </x:c>
      <x:c r="I702" s="21" t="n">
        <x:v>0.718</x:v>
      </x:c>
      <x:c r="J702" s="10" t="str">
        <x:v>JuiceFS 1.3.0+30190ca / WinFsp 2.1.25156；测试工具 S01–S04</x:v>
      </x:c>
      <x:c r="K702" s="10" t="str">
        <x:v>JuiceFS Windows CI 子集；attr-cache=0；云端 get-timeout=5m</x:v>
      </x:c>
      <x:c r="L702" s="10" t="str">
        <x:v>e920ead94a8e28f04e326664178b0c9f02d492b1 + productChanges / plansSha256 见 E01</x:v>
      </x:c>
      <x:c r="M702" s="10" t="str">
        <x:v>E01 / juicefs-upstream-run-AxbnJa</x:v>
      </x:c>
      <x:c r="N702" s="10" t="str">
        <x:v>--fuse-external --resilient --case-insensitive-cmp</x:v>
      </x:c>
    </x:row>
    <x:row r="703" ht="74" customHeight="1">
      <x:c r="A703" s="11" t="str">
        <x:v>SUBSET-20261015-baidu-wb</x:v>
      </x:c>
      <x:c r="B703" s="11" t="str">
        <x:v>WFP-20</x:v>
      </x:c>
      <x:c r="C703" s="11" t="str">
        <x:v>rename_flipflop_test</x:v>
      </x:c>
      <x:c r="D703" s="11" t="str">
        <x:v>WinFsp fork 默认子集</x:v>
      </x:c>
      <x:c r="E703" s="11" t="str">
        <x:v>baidu</x:v>
      </x:c>
      <x:c r="F703" s="11" t="str">
        <x:v>后台</x:v>
      </x:c>
      <x:c r="G703" s="20" t="d">
        <x:v>2026-10-15T00:00:00.000Z</x:v>
      </x:c>
      <x:c r="H703" s="11" t="str">
        <x:v>已通过</x:v>
      </x:c>
      <x:c r="I703" s="22" t="n">
        <x:v>0.445</x:v>
      </x:c>
      <x:c r="J703" s="11" t="str">
        <x:v>JuiceFS 1.3.0+30190ca / WinFsp 2.1.25156；测试工具 S01–S04</x:v>
      </x:c>
      <x:c r="K703" s="11" t="str">
        <x:v>JuiceFS Windows CI 子集；attr-cache=0；云端 get-timeout=5m</x:v>
      </x:c>
      <x:c r="L703" s="11" t="str">
        <x:v>e920ead94a8e28f04e326664178b0c9f02d492b1 + productChanges / plansSha256 见 E01</x:v>
      </x:c>
      <x:c r="M703" s="11" t="str">
        <x:v>E01 / juicefs-upstream-run-AxbnJa</x:v>
      </x:c>
      <x:c r="N703" s="11" t="str">
        <x:v>--fuse-external --resilient --case-insensitive-cmp</x:v>
      </x:c>
    </x:row>
    <x:row r="704" ht="74" customHeight="1">
      <x:c r="A704" s="10" t="str">
        <x:v>SUBSET-20261015-baidu-wb</x:v>
      </x:c>
      <x:c r="B704" s="10" t="str">
        <x:v>WFP-21</x:v>
      </x:c>
      <x:c r="C704" s="10" t="str">
        <x:v>rename_mmap_test</x:v>
      </x:c>
      <x:c r="D704" s="10" t="str">
        <x:v>WinFsp fork 默认子集</x:v>
      </x:c>
      <x:c r="E704" s="10" t="str">
        <x:v>baidu</x:v>
      </x:c>
      <x:c r="F704" s="10" t="str">
        <x:v>后台</x:v>
      </x:c>
      <x:c r="G704" s="19" t="d">
        <x:v>2026-10-15T00:00:00.000Z</x:v>
      </x:c>
      <x:c r="H704" s="10" t="str">
        <x:v>已通过</x:v>
      </x:c>
      <x:c r="I704" s="21" t="n">
        <x:v>0.548</x:v>
      </x:c>
      <x:c r="J704" s="10" t="str">
        <x:v>JuiceFS 1.3.0+30190ca / WinFsp 2.1.25156；测试工具 S01–S04</x:v>
      </x:c>
      <x:c r="K704" s="10" t="str">
        <x:v>JuiceFS Windows CI 子集；attr-cache=0；云端 get-timeout=5m</x:v>
      </x:c>
      <x:c r="L704" s="10" t="str">
        <x:v>e920ead94a8e28f04e326664178b0c9f02d492b1 + productChanges / plansSha256 见 E01</x:v>
      </x:c>
      <x:c r="M704" s="10" t="str">
        <x:v>E01 / juicefs-upstream-run-AxbnJa</x:v>
      </x:c>
      <x:c r="N704" s="10" t="str">
        <x:v>--fuse-external --resilient --case-insensitive-cmp</x:v>
      </x:c>
    </x:row>
    <x:row r="705" ht="74" customHeight="1">
      <x:c r="A705" s="11" t="str">
        <x:v>SUBSET-20261015-baidu-wb</x:v>
      </x:c>
      <x:c r="B705" s="11" t="str">
        <x:v>WFP-22</x:v>
      </x:c>
      <x:c r="C705" s="11" t="str">
        <x:v>rename_standby_test</x:v>
      </x:c>
      <x:c r="D705" s="11" t="str">
        <x:v>WinFsp fork 默认子集</x:v>
      </x:c>
      <x:c r="E705" s="11" t="str">
        <x:v>baidu</x:v>
      </x:c>
      <x:c r="F705" s="11" t="str">
        <x:v>后台</x:v>
      </x:c>
      <x:c r="G705" s="20" t="d">
        <x:v>2026-10-15T00:00:00.000Z</x:v>
      </x:c>
      <x:c r="H705" s="11" t="str">
        <x:v>已通过</x:v>
      </x:c>
      <x:c r="I705" s="22" t="n">
        <x:v>0.556</x:v>
      </x:c>
      <x:c r="J705" s="11" t="str">
        <x:v>JuiceFS 1.3.0+30190ca / WinFsp 2.1.25156；测试工具 S01–S04</x:v>
      </x:c>
      <x:c r="K705" s="11" t="str">
        <x:v>JuiceFS Windows CI 子集；attr-cache=0；云端 get-timeout=5m</x:v>
      </x:c>
      <x:c r="L705" s="11" t="str">
        <x:v>e920ead94a8e28f04e326664178b0c9f02d492b1 + productChanges / plansSha256 见 E01</x:v>
      </x:c>
      <x:c r="M705" s="11" t="str">
        <x:v>E01 / juicefs-upstream-run-AxbnJa</x:v>
      </x:c>
      <x:c r="N705" s="11" t="str">
        <x:v>--fuse-external --resilient --case-insensitive-cmp</x:v>
      </x:c>
    </x:row>
    <x:row r="706" ht="74" customHeight="1">
      <x:c r="A706" s="10" t="str">
        <x:v>SUBSET-20261015-baidu-wb</x:v>
      </x:c>
      <x:c r="B706" s="10" t="str">
        <x:v>WFP-23</x:v>
      </x:c>
      <x:c r="C706" s="10" t="str">
        <x:v>rename_ex_test</x:v>
      </x:c>
      <x:c r="D706" s="10" t="str">
        <x:v>WinFsp fork 默认子集</x:v>
      </x:c>
      <x:c r="E706" s="10" t="str">
        <x:v>baidu</x:v>
      </x:c>
      <x:c r="F706" s="10" t="str">
        <x:v>后台</x:v>
      </x:c>
      <x:c r="G706" s="19" t="d">
        <x:v>2026-10-15T00:00:00.000Z</x:v>
      </x:c>
      <x:c r="H706" s="10" t="str">
        <x:v>已通过</x:v>
      </x:c>
      <x:c r="I706" s="21" t="n">
        <x:v>0.47</x:v>
      </x:c>
      <x:c r="J706" s="10" t="str">
        <x:v>JuiceFS 1.3.0+30190ca / WinFsp 2.1.25156；测试工具 S01–S04</x:v>
      </x:c>
      <x:c r="K706" s="10" t="str">
        <x:v>JuiceFS Windows CI 子集；attr-cache=0；云端 get-timeout=5m</x:v>
      </x:c>
      <x:c r="L706" s="10" t="str">
        <x:v>e920ead94a8e28f04e326664178b0c9f02d492b1 + productChanges / plansSha256 见 E01</x:v>
      </x:c>
      <x:c r="M706" s="10" t="str">
        <x:v>E01 / juicefs-upstream-run-AxbnJa</x:v>
      </x:c>
      <x:c r="N706" s="10" t="str">
        <x:v>--fuse-external --resilient --case-insensitive-cmp</x:v>
      </x:c>
    </x:row>
    <x:row r="707" ht="74" customHeight="1">
      <x:c r="A707" s="11" t="str">
        <x:v>SUBSET-20261015-baidu-wb</x:v>
      </x:c>
      <x:c r="B707" s="11" t="str">
        <x:v>WFP-24</x:v>
      </x:c>
      <x:c r="C707" s="11" t="str">
        <x:v>getvolinfo_test</x:v>
      </x:c>
      <x:c r="D707" s="11" t="str">
        <x:v>WinFsp fork 默认子集</x:v>
      </x:c>
      <x:c r="E707" s="11" t="str">
        <x:v>baidu</x:v>
      </x:c>
      <x:c r="F707" s="11" t="str">
        <x:v>后台</x:v>
      </x:c>
      <x:c r="G707" s="20" t="d">
        <x:v>2026-10-15T00:00:00.000Z</x:v>
      </x:c>
      <x:c r="H707" s="11" t="str">
        <x:v>已通过</x:v>
      </x:c>
      <x:c r="I707" s="22" t="n">
        <x:v>0.441</x:v>
      </x:c>
      <x:c r="J707" s="11" t="str">
        <x:v>JuiceFS 1.3.0+30190ca / WinFsp 2.1.25156；测试工具 S01–S04</x:v>
      </x:c>
      <x:c r="K707" s="11" t="str">
        <x:v>JuiceFS Windows CI 子集；attr-cache=0；云端 get-timeout=5m</x:v>
      </x:c>
      <x:c r="L707" s="11" t="str">
        <x:v>e920ead94a8e28f04e326664178b0c9f02d492b1 + productChanges / plansSha256 见 E01</x:v>
      </x:c>
      <x:c r="M707" s="11" t="str">
        <x:v>E01 / juicefs-upstream-run-AxbnJa</x:v>
      </x:c>
      <x:c r="N707" s="11" t="str">
        <x:v>--fuse-external --resilient --case-insensitive-cmp</x:v>
      </x:c>
    </x:row>
    <x:row r="708" ht="74" customHeight="1">
      <x:c r="A708" s="10" t="str">
        <x:v>SUBSET-20261015-baidu-wb</x:v>
      </x:c>
      <x:c r="B708" s="10" t="str">
        <x:v>WFP-25</x:v>
      </x:c>
      <x:c r="C708" s="10" t="str">
        <x:v>setvolinfo_test</x:v>
      </x:c>
      <x:c r="D708" s="10" t="str">
        <x:v>WinFsp fork 默认子集</x:v>
      </x:c>
      <x:c r="E708" s="10" t="str">
        <x:v>baidu</x:v>
      </x:c>
      <x:c r="F708" s="10" t="str">
        <x:v>后台</x:v>
      </x:c>
      <x:c r="G708" s="19" t="d">
        <x:v>2026-10-15T00:00:00.000Z</x:v>
      </x:c>
      <x:c r="H708" s="10" t="str">
        <x:v>已通过</x:v>
      </x:c>
      <x:c r="I708" s="21" t="n">
        <x:v>0.582</x:v>
      </x:c>
      <x:c r="J708" s="10" t="str">
        <x:v>JuiceFS 1.3.0+30190ca / WinFsp 2.1.25156；测试工具 S01–S04</x:v>
      </x:c>
      <x:c r="K708" s="10" t="str">
        <x:v>JuiceFS Windows CI 子集；attr-cache=0；云端 get-timeout=5m</x:v>
      </x:c>
      <x:c r="L708" s="10" t="str">
        <x:v>e920ead94a8e28f04e326664178b0c9f02d492b1 + productChanges / plansSha256 见 E01</x:v>
      </x:c>
      <x:c r="M708" s="10" t="str">
        <x:v>E01 / juicefs-upstream-run-AxbnJa</x:v>
      </x:c>
      <x:c r="N708" s="10" t="str">
        <x:v>--fuse-external --resilient --case-insensitive-cmp</x:v>
      </x:c>
    </x:row>
    <x:row r="709" ht="74" customHeight="1">
      <x:c r="A709" s="11" t="str">
        <x:v>SUBSET-20261015-baidu-wb</x:v>
      </x:c>
      <x:c r="B709" s="11" t="str">
        <x:v>WFP-26</x:v>
      </x:c>
      <x:c r="C709" s="11" t="str">
        <x:v>getsecurity_test</x:v>
      </x:c>
      <x:c r="D709" s="11" t="str">
        <x:v>WinFsp fork 默认子集</x:v>
      </x:c>
      <x:c r="E709" s="11" t="str">
        <x:v>baidu</x:v>
      </x:c>
      <x:c r="F709" s="11" t="str">
        <x:v>后台</x:v>
      </x:c>
      <x:c r="G709" s="20" t="d">
        <x:v>2026-10-15T00:00:00.000Z</x:v>
      </x:c>
      <x:c r="H709" s="11" t="str">
        <x:v>已通过</x:v>
      </x:c>
      <x:c r="I709" s="22" t="n">
        <x:v>0.429</x:v>
      </x:c>
      <x:c r="J709" s="11" t="str">
        <x:v>JuiceFS 1.3.0+30190ca / WinFsp 2.1.25156；测试工具 S01–S04</x:v>
      </x:c>
      <x:c r="K709" s="11" t="str">
        <x:v>JuiceFS Windows CI 子集；attr-cache=0；云端 get-timeout=5m</x:v>
      </x:c>
      <x:c r="L709" s="11" t="str">
        <x:v>e920ead94a8e28f04e326664178b0c9f02d492b1 + productChanges / plansSha256 见 E01</x:v>
      </x:c>
      <x:c r="M709" s="11" t="str">
        <x:v>E01 / juicefs-upstream-run-AxbnJa</x:v>
      </x:c>
      <x:c r="N709" s="11" t="str">
        <x:v>--fuse-external --resilient --case-insensitive-cmp</x:v>
      </x:c>
    </x:row>
    <x:row r="710" ht="74" customHeight="1">
      <x:c r="A710" s="10" t="str">
        <x:v>SUBSET-20261015-baidu-wb</x:v>
      </x:c>
      <x:c r="B710" s="10" t="str">
        <x:v>WFP-27</x:v>
      </x:c>
      <x:c r="C710" s="10" t="str">
        <x:v>rdwr_noncached_test</x:v>
      </x:c>
      <x:c r="D710" s="10" t="str">
        <x:v>WinFsp fork 默认子集</x:v>
      </x:c>
      <x:c r="E710" s="10" t="str">
        <x:v>baidu</x:v>
      </x:c>
      <x:c r="F710" s="10" t="str">
        <x:v>后台</x:v>
      </x:c>
      <x:c r="G710" s="19" t="d">
        <x:v>2026-10-15T00:00:00.000Z</x:v>
      </x:c>
      <x:c r="H710" s="10" t="str">
        <x:v>已通过</x:v>
      </x:c>
      <x:c r="I710" s="21" t="n">
        <x:v>0.6</x:v>
      </x:c>
      <x:c r="J710" s="10" t="str">
        <x:v>JuiceFS 1.3.0+30190ca / WinFsp 2.1.25156；测试工具 S01–S04</x:v>
      </x:c>
      <x:c r="K710" s="10" t="str">
        <x:v>JuiceFS Windows CI 子集；attr-cache=0；云端 get-timeout=5m</x:v>
      </x:c>
      <x:c r="L710" s="10" t="str">
        <x:v>e920ead94a8e28f04e326664178b0c9f02d492b1 + productChanges / plansSha256 见 E01</x:v>
      </x:c>
      <x:c r="M710" s="10" t="str">
        <x:v>E01 / juicefs-upstream-run-AxbnJa</x:v>
      </x:c>
      <x:c r="N710" s="10" t="str">
        <x:v>--fuse-external --resilient --case-insensitive-cmp</x:v>
      </x:c>
    </x:row>
    <x:row r="711" ht="74" customHeight="1">
      <x:c r="A711" s="11" t="str">
        <x:v>SUBSET-20261015-baidu-wb</x:v>
      </x:c>
      <x:c r="B711" s="11" t="str">
        <x:v>WFP-28</x:v>
      </x:c>
      <x:c r="C711" s="11" t="str">
        <x:v>rdwr_noncached_overlapped_test</x:v>
      </x:c>
      <x:c r="D711" s="11" t="str">
        <x:v>WinFsp fork 默认子集</x:v>
      </x:c>
      <x:c r="E711" s="11" t="str">
        <x:v>baidu</x:v>
      </x:c>
      <x:c r="F711" s="11" t="str">
        <x:v>后台</x:v>
      </x:c>
      <x:c r="G711" s="20" t="d">
        <x:v>2026-10-15T00:00:00.000Z</x:v>
      </x:c>
      <x:c r="H711" s="11" t="str">
        <x:v>已通过</x:v>
      </x:c>
      <x:c r="I711" s="22" t="n">
        <x:v>0.403</x:v>
      </x:c>
      <x:c r="J711" s="11" t="str">
        <x:v>JuiceFS 1.3.0+30190ca / WinFsp 2.1.25156；测试工具 S01–S04</x:v>
      </x:c>
      <x:c r="K711" s="11" t="str">
        <x:v>JuiceFS Windows CI 子集；attr-cache=0；云端 get-timeout=5m</x:v>
      </x:c>
      <x:c r="L711" s="11" t="str">
        <x:v>e920ead94a8e28f04e326664178b0c9f02d492b1 + productChanges / plansSha256 见 E01</x:v>
      </x:c>
      <x:c r="M711" s="11" t="str">
        <x:v>E01 / juicefs-upstream-run-AxbnJa</x:v>
      </x:c>
      <x:c r="N711" s="11" t="str">
        <x:v>--fuse-external --resilient --case-insensitive-cmp</x:v>
      </x:c>
    </x:row>
    <x:row r="712" ht="74" customHeight="1">
      <x:c r="A712" s="10" t="str">
        <x:v>SUBSET-20261015-baidu-wb</x:v>
      </x:c>
      <x:c r="B712" s="10" t="str">
        <x:v>WFP-29</x:v>
      </x:c>
      <x:c r="C712" s="10" t="str">
        <x:v>rdwr_cached_test</x:v>
      </x:c>
      <x:c r="D712" s="10" t="str">
        <x:v>WinFsp fork 默认子集</x:v>
      </x:c>
      <x:c r="E712" s="10" t="str">
        <x:v>baidu</x:v>
      </x:c>
      <x:c r="F712" s="10" t="str">
        <x:v>后台</x:v>
      </x:c>
      <x:c r="G712" s="19" t="d">
        <x:v>2026-10-15T00:00:00.000Z</x:v>
      </x:c>
      <x:c r="H712" s="10" t="str">
        <x:v>已通过</x:v>
      </x:c>
      <x:c r="I712" s="21" t="n">
        <x:v>0.597</x:v>
      </x:c>
      <x:c r="J712" s="10" t="str">
        <x:v>JuiceFS 1.3.0+30190ca / WinFsp 2.1.25156；测试工具 S01–S04</x:v>
      </x:c>
      <x:c r="K712" s="10" t="str">
        <x:v>JuiceFS Windows CI 子集；attr-cache=0；云端 get-timeout=5m</x:v>
      </x:c>
      <x:c r="L712" s="10" t="str">
        <x:v>e920ead94a8e28f04e326664178b0c9f02d492b1 + productChanges / plansSha256 见 E01</x:v>
      </x:c>
      <x:c r="M712" s="10" t="str">
        <x:v>E01 / juicefs-upstream-run-AxbnJa</x:v>
      </x:c>
      <x:c r="N712" s="10" t="str">
        <x:v>--fuse-external --resilient --case-insensitive-cmp</x:v>
      </x:c>
    </x:row>
    <x:row r="713" ht="74" customHeight="1">
      <x:c r="A713" s="11" t="str">
        <x:v>SUBSET-20261015-baidu-wb</x:v>
      </x:c>
      <x:c r="B713" s="11" t="str">
        <x:v>WFP-30</x:v>
      </x:c>
      <x:c r="C713" s="11" t="str">
        <x:v>rdwr_cached_append_test</x:v>
      </x:c>
      <x:c r="D713" s="11" t="str">
        <x:v>WinFsp fork 默认子集</x:v>
      </x:c>
      <x:c r="E713" s="11" t="str">
        <x:v>baidu</x:v>
      </x:c>
      <x:c r="F713" s="11" t="str">
        <x:v>后台</x:v>
      </x:c>
      <x:c r="G713" s="20" t="d">
        <x:v>2026-10-15T00:00:00.000Z</x:v>
      </x:c>
      <x:c r="H713" s="11" t="str">
        <x:v>已通过</x:v>
      </x:c>
      <x:c r="I713" s="22" t="n">
        <x:v>0.536</x:v>
      </x:c>
      <x:c r="J713" s="11" t="str">
        <x:v>JuiceFS 1.3.0+30190ca / WinFsp 2.1.25156；测试工具 S01–S04</x:v>
      </x:c>
      <x:c r="K713" s="11" t="str">
        <x:v>JuiceFS Windows CI 子集；attr-cache=0；云端 get-timeout=5m</x:v>
      </x:c>
      <x:c r="L713" s="11" t="str">
        <x:v>e920ead94a8e28f04e326664178b0c9f02d492b1 + productChanges / plansSha256 见 E01</x:v>
      </x:c>
      <x:c r="M713" s="11" t="str">
        <x:v>E01 / juicefs-upstream-run-AxbnJa</x:v>
      </x:c>
      <x:c r="N713" s="11" t="str">
        <x:v>--fuse-external --resilient --case-insensitive-cmp</x:v>
      </x:c>
    </x:row>
    <x:row r="714" ht="74" customHeight="1">
      <x:c r="A714" s="10" t="str">
        <x:v>SUBSET-20261015-baidu-wb</x:v>
      </x:c>
      <x:c r="B714" s="10" t="str">
        <x:v>WFP-31</x:v>
      </x:c>
      <x:c r="C714" s="10" t="str">
        <x:v>rdwr_cached_overlapped_test</x:v>
      </x:c>
      <x:c r="D714" s="10" t="str">
        <x:v>WinFsp fork 默认子集</x:v>
      </x:c>
      <x:c r="E714" s="10" t="str">
        <x:v>baidu</x:v>
      </x:c>
      <x:c r="F714" s="10" t="str">
        <x:v>后台</x:v>
      </x:c>
      <x:c r="G714" s="19" t="d">
        <x:v>2026-10-15T00:00:00.000Z</x:v>
      </x:c>
      <x:c r="H714" s="10" t="str">
        <x:v>已通过</x:v>
      </x:c>
      <x:c r="I714" s="21" t="n">
        <x:v>0.42</x:v>
      </x:c>
      <x:c r="J714" s="10" t="str">
        <x:v>JuiceFS 1.3.0+30190ca / WinFsp 2.1.25156；测试工具 S01–S04</x:v>
      </x:c>
      <x:c r="K714" s="10" t="str">
        <x:v>JuiceFS Windows CI 子集；attr-cache=0；云端 get-timeout=5m</x:v>
      </x:c>
      <x:c r="L714" s="10" t="str">
        <x:v>e920ead94a8e28f04e326664178b0c9f02d492b1 + productChanges / plansSha256 见 E01</x:v>
      </x:c>
      <x:c r="M714" s="10" t="str">
        <x:v>E01 / juicefs-upstream-run-AxbnJa</x:v>
      </x:c>
      <x:c r="N714" s="10" t="str">
        <x:v>--fuse-external --resilient --case-insensitive-cmp</x:v>
      </x:c>
    </x:row>
    <x:row r="715" ht="74" customHeight="1">
      <x:c r="A715" s="11" t="str">
        <x:v>SUBSET-20261015-baidu-wb</x:v>
      </x:c>
      <x:c r="B715" s="11" t="str">
        <x:v>WFP-32</x:v>
      </x:c>
      <x:c r="C715" s="11" t="str">
        <x:v>rdwr_writethru_test</x:v>
      </x:c>
      <x:c r="D715" s="11" t="str">
        <x:v>WinFsp fork 默认子集</x:v>
      </x:c>
      <x:c r="E715" s="11" t="str">
        <x:v>baidu</x:v>
      </x:c>
      <x:c r="F715" s="11" t="str">
        <x:v>后台</x:v>
      </x:c>
      <x:c r="G715" s="20" t="d">
        <x:v>2026-10-15T00:00:00.000Z</x:v>
      </x:c>
      <x:c r="H715" s="11" t="str">
        <x:v>已通过</x:v>
      </x:c>
      <x:c r="I715" s="22" t="n">
        <x:v>0.682</x:v>
      </x:c>
      <x:c r="J715" s="11" t="str">
        <x:v>JuiceFS 1.3.0+30190ca / WinFsp 2.1.25156；测试工具 S01–S04</x:v>
      </x:c>
      <x:c r="K715" s="11" t="str">
        <x:v>JuiceFS Windows CI 子集；attr-cache=0；云端 get-timeout=5m</x:v>
      </x:c>
      <x:c r="L715" s="11" t="str">
        <x:v>e920ead94a8e28f04e326664178b0c9f02d492b1 + productChanges / plansSha256 见 E01</x:v>
      </x:c>
      <x:c r="M715" s="11" t="str">
        <x:v>E01 / juicefs-upstream-run-AxbnJa</x:v>
      </x:c>
      <x:c r="N715" s="11" t="str">
        <x:v>--fuse-external --resilient --case-insensitive-cmp</x:v>
      </x:c>
    </x:row>
    <x:row r="716" ht="74" customHeight="1">
      <x:c r="A716" s="10" t="str">
        <x:v>SUBSET-20261015-baidu-wb</x:v>
      </x:c>
      <x:c r="B716" s="10" t="str">
        <x:v>WFP-33</x:v>
      </x:c>
      <x:c r="C716" s="10" t="str">
        <x:v>rdwr_writethru_append_test</x:v>
      </x:c>
      <x:c r="D716" s="10" t="str">
        <x:v>WinFsp fork 默认子集</x:v>
      </x:c>
      <x:c r="E716" s="10" t="str">
        <x:v>baidu</x:v>
      </x:c>
      <x:c r="F716" s="10" t="str">
        <x:v>后台</x:v>
      </x:c>
      <x:c r="G716" s="19" t="d">
        <x:v>2026-10-15T00:00:00.000Z</x:v>
      </x:c>
      <x:c r="H716" s="10" t="str">
        <x:v>已通过</x:v>
      </x:c>
      <x:c r="I716" s="21" t="n">
        <x:v>0.491</x:v>
      </x:c>
      <x:c r="J716" s="10" t="str">
        <x:v>JuiceFS 1.3.0+30190ca / WinFsp 2.1.25156；测试工具 S01–S04</x:v>
      </x:c>
      <x:c r="K716" s="10" t="str">
        <x:v>JuiceFS Windows CI 子集；attr-cache=0；云端 get-timeout=5m</x:v>
      </x:c>
      <x:c r="L716" s="10" t="str">
        <x:v>e920ead94a8e28f04e326664178b0c9f02d492b1 + productChanges / plansSha256 见 E01</x:v>
      </x:c>
      <x:c r="M716" s="10" t="str">
        <x:v>E01 / juicefs-upstream-run-AxbnJa</x:v>
      </x:c>
      <x:c r="N716" s="10" t="str">
        <x:v>--fuse-external --resilient --case-insensitive-cmp</x:v>
      </x:c>
    </x:row>
    <x:row r="717" ht="74" customHeight="1">
      <x:c r="A717" s="11" t="str">
        <x:v>SUBSET-20261015-baidu-wb</x:v>
      </x:c>
      <x:c r="B717" s="11" t="str">
        <x:v>WFP-34</x:v>
      </x:c>
      <x:c r="C717" s="11" t="str">
        <x:v>rdwr_writethru_overlapped_test</x:v>
      </x:c>
      <x:c r="D717" s="11" t="str">
        <x:v>WinFsp fork 默认子集</x:v>
      </x:c>
      <x:c r="E717" s="11" t="str">
        <x:v>baidu</x:v>
      </x:c>
      <x:c r="F717" s="11" t="str">
        <x:v>后台</x:v>
      </x:c>
      <x:c r="G717" s="20" t="d">
        <x:v>2026-10-15T00:00:00.000Z</x:v>
      </x:c>
      <x:c r="H717" s="11" t="str">
        <x:v>已通过</x:v>
      </x:c>
      <x:c r="I717" s="22" t="n">
        <x:v>0.455</x:v>
      </x:c>
      <x:c r="J717" s="11" t="str">
        <x:v>JuiceFS 1.3.0+30190ca / WinFsp 2.1.25156；测试工具 S01–S04</x:v>
      </x:c>
      <x:c r="K717" s="11" t="str">
        <x:v>JuiceFS Windows CI 子集；attr-cache=0；云端 get-timeout=5m</x:v>
      </x:c>
      <x:c r="L717" s="11" t="str">
        <x:v>e920ead94a8e28f04e326664178b0c9f02d492b1 + productChanges / plansSha256 见 E01</x:v>
      </x:c>
      <x:c r="M717" s="11" t="str">
        <x:v>E01 / juicefs-upstream-run-AxbnJa</x:v>
      </x:c>
      <x:c r="N717" s="11" t="str">
        <x:v>--fuse-external --resilient --case-insensitive-cmp</x:v>
      </x:c>
    </x:row>
    <x:row r="718" ht="74" customHeight="1">
      <x:c r="A718" s="10" t="str">
        <x:v>SUBSET-20261015-baidu-wb</x:v>
      </x:c>
      <x:c r="B718" s="10" t="str">
        <x:v>WFP-35</x:v>
      </x:c>
      <x:c r="C718" s="10" t="str">
        <x:v>rdwr_mmap_test</x:v>
      </x:c>
      <x:c r="D718" s="10" t="str">
        <x:v>WinFsp fork 默认子集</x:v>
      </x:c>
      <x:c r="E718" s="10" t="str">
        <x:v>baidu</x:v>
      </x:c>
      <x:c r="F718" s="10" t="str">
        <x:v>后台</x:v>
      </x:c>
      <x:c r="G718" s="19" t="d">
        <x:v>2026-10-15T00:00:00.000Z</x:v>
      </x:c>
      <x:c r="H718" s="10" t="str">
        <x:v>已通过</x:v>
      </x:c>
      <x:c r="I718" s="21" t="n">
        <x:v>0.811</x:v>
      </x:c>
      <x:c r="J718" s="10" t="str">
        <x:v>JuiceFS 1.3.0+30190ca / WinFsp 2.1.25156；测试工具 S01–S04</x:v>
      </x:c>
      <x:c r="K718" s="10" t="str">
        <x:v>JuiceFS Windows CI 子集；attr-cache=0；云端 get-timeout=5m</x:v>
      </x:c>
      <x:c r="L718" s="10" t="str">
        <x:v>e920ead94a8e28f04e326664178b0c9f02d492b1 + productChanges / plansSha256 见 E01</x:v>
      </x:c>
      <x:c r="M718" s="10" t="str">
        <x:v>E01 / juicefs-upstream-run-AxbnJa</x:v>
      </x:c>
      <x:c r="N718" s="10" t="str">
        <x:v>--fuse-external --resilient --case-insensitive-cmp</x:v>
      </x:c>
    </x:row>
    <x:row r="719" ht="74" customHeight="1">
      <x:c r="A719" s="11" t="str">
        <x:v>SUBSET-20261015-baidu-wb</x:v>
      </x:c>
      <x:c r="B719" s="11" t="str">
        <x:v>WFP-36</x:v>
      </x:c>
      <x:c r="C719" s="11" t="str">
        <x:v>rdwr_mixed_test</x:v>
      </x:c>
      <x:c r="D719" s="11" t="str">
        <x:v>WinFsp fork 默认子集</x:v>
      </x:c>
      <x:c r="E719" s="11" t="str">
        <x:v>baidu</x:v>
      </x:c>
      <x:c r="F719" s="11" t="str">
        <x:v>后台</x:v>
      </x:c>
      <x:c r="G719" s="20" t="d">
        <x:v>2026-10-15T00:00:00.000Z</x:v>
      </x:c>
      <x:c r="H719" s="11" t="str">
        <x:v>已通过</x:v>
      </x:c>
      <x:c r="I719" s="22" t="n">
        <x:v>0.894</x:v>
      </x:c>
      <x:c r="J719" s="11" t="str">
        <x:v>JuiceFS 1.3.0+30190ca / WinFsp 2.1.25156；测试工具 S01–S04</x:v>
      </x:c>
      <x:c r="K719" s="11" t="str">
        <x:v>JuiceFS Windows CI 子集；attr-cache=0；云端 get-timeout=5m</x:v>
      </x:c>
      <x:c r="L719" s="11" t="str">
        <x:v>e920ead94a8e28f04e326664178b0c9f02d492b1 + productChanges / plansSha256 见 E01</x:v>
      </x:c>
      <x:c r="M719" s="11" t="str">
        <x:v>E01 / juicefs-upstream-run-AxbnJa</x:v>
      </x:c>
      <x:c r="N719" s="11" t="str">
        <x:v>--fuse-external --resilient --case-insensitive-cmp</x:v>
      </x:c>
    </x:row>
    <x:row r="720" ht="74" customHeight="1">
      <x:c r="A720" s="10" t="str">
        <x:v>SUBSET-20261015-baidu-wb</x:v>
      </x:c>
      <x:c r="B720" s="10" t="str">
        <x:v>WFP-37</x:v>
      </x:c>
      <x:c r="C720" s="10" t="str">
        <x:v>flush_test</x:v>
      </x:c>
      <x:c r="D720" s="10" t="str">
        <x:v>WinFsp fork 默认子集</x:v>
      </x:c>
      <x:c r="E720" s="10" t="str">
        <x:v>baidu</x:v>
      </x:c>
      <x:c r="F720" s="10" t="str">
        <x:v>后台</x:v>
      </x:c>
      <x:c r="G720" s="19" t="d">
        <x:v>2026-10-15T00:00:00.000Z</x:v>
      </x:c>
      <x:c r="H720" s="10" t="str">
        <x:v>已通过</x:v>
      </x:c>
      <x:c r="I720" s="21" t="n">
        <x:v>1.137</x:v>
      </x:c>
      <x:c r="J720" s="10" t="str">
        <x:v>JuiceFS 1.3.0+30190ca / WinFsp 2.1.25156；测试工具 S01–S04</x:v>
      </x:c>
      <x:c r="K720" s="10" t="str">
        <x:v>JuiceFS Windows CI 子集；attr-cache=0；云端 get-timeout=5m</x:v>
      </x:c>
      <x:c r="L720" s="10" t="str">
        <x:v>e920ead94a8e28f04e326664178b0c9f02d492b1 + productChanges / plansSha256 见 E01</x:v>
      </x:c>
      <x:c r="M720" s="10" t="str">
        <x:v>E01 / juicefs-upstream-run-AxbnJa</x:v>
      </x:c>
      <x:c r="N720" s="10" t="str">
        <x:v>--fuse-external --resilient --case-insensitive-cmp</x:v>
      </x:c>
    </x:row>
    <x:row r="721" ht="74" customHeight="1">
      <x:c r="A721" s="11" t="str">
        <x:v>SUBSET-20261015-baidu-wb</x:v>
      </x:c>
      <x:c r="B721" s="11" t="str">
        <x:v>WFP-38</x:v>
      </x:c>
      <x:c r="C721" s="11" t="str">
        <x:v>flush_volume_test</x:v>
      </x:c>
      <x:c r="D721" s="11" t="str">
        <x:v>WinFsp fork 默认子集</x:v>
      </x:c>
      <x:c r="E721" s="11" t="str">
        <x:v>baidu</x:v>
      </x:c>
      <x:c r="F721" s="11" t="str">
        <x:v>后台</x:v>
      </x:c>
      <x:c r="G721" s="20" t="d">
        <x:v>2026-10-15T00:00:00.000Z</x:v>
      </x:c>
      <x:c r="H721" s="11" t="str">
        <x:v>已通过</x:v>
      </x:c>
      <x:c r="I721" s="22" t="n">
        <x:v>0.968</x:v>
      </x:c>
      <x:c r="J721" s="11" t="str">
        <x:v>JuiceFS 1.3.0+30190ca / WinFsp 2.1.25156；测试工具 S01–S04</x:v>
      </x:c>
      <x:c r="K721" s="11" t="str">
        <x:v>JuiceFS Windows CI 子集；attr-cache=0；云端 get-timeout=5m</x:v>
      </x:c>
      <x:c r="L721" s="11" t="str">
        <x:v>e920ead94a8e28f04e326664178b0c9f02d492b1 + productChanges / plansSha256 见 E01</x:v>
      </x:c>
      <x:c r="M721" s="11" t="str">
        <x:v>E01 / juicefs-upstream-run-AxbnJa</x:v>
      </x:c>
      <x:c r="N721" s="11" t="str">
        <x:v>--fuse-external --resilient --case-insensitive-cmp</x:v>
      </x:c>
    </x:row>
    <x:row r="722" ht="74" customHeight="1">
      <x:c r="A722" s="10" t="str">
        <x:v>SUBSET-20261015-baidu-wb</x:v>
      </x:c>
      <x:c r="B722" s="10" t="str">
        <x:v>WFP-39</x:v>
      </x:c>
      <x:c r="C722" s="10" t="str">
        <x:v>lock_noncached_test</x:v>
      </x:c>
      <x:c r="D722" s="10" t="str">
        <x:v>WinFsp fork 默认子集</x:v>
      </x:c>
      <x:c r="E722" s="10" t="str">
        <x:v>baidu</x:v>
      </x:c>
      <x:c r="F722" s="10" t="str">
        <x:v>后台</x:v>
      </x:c>
      <x:c r="G722" s="19" t="d">
        <x:v>2026-10-15T00:00:00.000Z</x:v>
      </x:c>
      <x:c r="H722" s="10" t="str">
        <x:v>已通过</x:v>
      </x:c>
      <x:c r="I722" s="21" t="n">
        <x:v>1.08</x:v>
      </x:c>
      <x:c r="J722" s="10" t="str">
        <x:v>JuiceFS 1.3.0+30190ca / WinFsp 2.1.25156；测试工具 S01–S04</x:v>
      </x:c>
      <x:c r="K722" s="10" t="str">
        <x:v>JuiceFS Windows CI 子集；attr-cache=0；云端 get-timeout=5m</x:v>
      </x:c>
      <x:c r="L722" s="10" t="str">
        <x:v>e920ead94a8e28f04e326664178b0c9f02d492b1 + productChanges / plansSha256 见 E01</x:v>
      </x:c>
      <x:c r="M722" s="10" t="str">
        <x:v>E01 / juicefs-upstream-run-AxbnJa</x:v>
      </x:c>
      <x:c r="N722" s="10" t="str">
        <x:v>--fuse-external --resilient --case-insensitive-cmp</x:v>
      </x:c>
    </x:row>
    <x:row r="723" ht="74" customHeight="1">
      <x:c r="A723" s="11" t="str">
        <x:v>SUBSET-20261015-baidu-wb</x:v>
      </x:c>
      <x:c r="B723" s="11" t="str">
        <x:v>WFP-40</x:v>
      </x:c>
      <x:c r="C723" s="11" t="str">
        <x:v>lock_noncached_overlapped_test</x:v>
      </x:c>
      <x:c r="D723" s="11" t="str">
        <x:v>WinFsp fork 默认子集</x:v>
      </x:c>
      <x:c r="E723" s="11" t="str">
        <x:v>baidu</x:v>
      </x:c>
      <x:c r="F723" s="11" t="str">
        <x:v>后台</x:v>
      </x:c>
      <x:c r="G723" s="20" t="d">
        <x:v>2026-10-15T00:00:00.000Z</x:v>
      </x:c>
      <x:c r="H723" s="11" t="str">
        <x:v>已通过</x:v>
      </x:c>
      <x:c r="I723" s="22" t="n">
        <x:v>0.873</x:v>
      </x:c>
      <x:c r="J723" s="11" t="str">
        <x:v>JuiceFS 1.3.0+30190ca / WinFsp 2.1.25156；测试工具 S01–S04</x:v>
      </x:c>
      <x:c r="K723" s="11" t="str">
        <x:v>JuiceFS Windows CI 子集；attr-cache=0；云端 get-timeout=5m</x:v>
      </x:c>
      <x:c r="L723" s="11" t="str">
        <x:v>e920ead94a8e28f04e326664178b0c9f02d492b1 + productChanges / plansSha256 见 E01</x:v>
      </x:c>
      <x:c r="M723" s="11" t="str">
        <x:v>E01 / juicefs-upstream-run-AxbnJa</x:v>
      </x:c>
      <x:c r="N723" s="11" t="str">
        <x:v>--fuse-external --resilient --case-insensitive-cmp</x:v>
      </x:c>
    </x:row>
    <x:row r="724" ht="74" customHeight="1">
      <x:c r="A724" s="10" t="str">
        <x:v>SUBSET-20261015-baidu-wb</x:v>
      </x:c>
      <x:c r="B724" s="10" t="str">
        <x:v>WFP-41</x:v>
      </x:c>
      <x:c r="C724" s="10" t="str">
        <x:v>lock_cached_test</x:v>
      </x:c>
      <x:c r="D724" s="10" t="str">
        <x:v>WinFsp fork 默认子集</x:v>
      </x:c>
      <x:c r="E724" s="10" t="str">
        <x:v>baidu</x:v>
      </x:c>
      <x:c r="F724" s="10" t="str">
        <x:v>后台</x:v>
      </x:c>
      <x:c r="G724" s="19" t="d">
        <x:v>2026-10-15T00:00:00.000Z</x:v>
      </x:c>
      <x:c r="H724" s="10" t="str">
        <x:v>已通过</x:v>
      </x:c>
      <x:c r="I724" s="21" t="n">
        <x:v>0.916</x:v>
      </x:c>
      <x:c r="J724" s="10" t="str">
        <x:v>JuiceFS 1.3.0+30190ca / WinFsp 2.1.25156；测试工具 S01–S04</x:v>
      </x:c>
      <x:c r="K724" s="10" t="str">
        <x:v>JuiceFS Windows CI 子集；attr-cache=0；云端 get-timeout=5m</x:v>
      </x:c>
      <x:c r="L724" s="10" t="str">
        <x:v>e920ead94a8e28f04e326664178b0c9f02d492b1 + productChanges / plansSha256 见 E01</x:v>
      </x:c>
      <x:c r="M724" s="10" t="str">
        <x:v>E01 / juicefs-upstream-run-AxbnJa</x:v>
      </x:c>
      <x:c r="N724" s="10" t="str">
        <x:v>--fuse-external --resilient --case-insensitive-cmp</x:v>
      </x:c>
    </x:row>
    <x:row r="725" ht="74" customHeight="1">
      <x:c r="A725" s="11" t="str">
        <x:v>SUBSET-20261015-baidu-wb</x:v>
      </x:c>
      <x:c r="B725" s="11" t="str">
        <x:v>WFP-42</x:v>
      </x:c>
      <x:c r="C725" s="11" t="str">
        <x:v>lock_cached_overlapped_test</x:v>
      </x:c>
      <x:c r="D725" s="11" t="str">
        <x:v>WinFsp fork 默认子集</x:v>
      </x:c>
      <x:c r="E725" s="11" t="str">
        <x:v>baidu</x:v>
      </x:c>
      <x:c r="F725" s="11" t="str">
        <x:v>后台</x:v>
      </x:c>
      <x:c r="G725" s="20" t="d">
        <x:v>2026-10-15T00:00:00.000Z</x:v>
      </x:c>
      <x:c r="H725" s="11" t="str">
        <x:v>已通过</x:v>
      </x:c>
      <x:c r="I725" s="22" t="n">
        <x:v>0.562</x:v>
      </x:c>
      <x:c r="J725" s="11" t="str">
        <x:v>JuiceFS 1.3.0+30190ca / WinFsp 2.1.25156；测试工具 S01–S04</x:v>
      </x:c>
      <x:c r="K725" s="11" t="str">
        <x:v>JuiceFS Windows CI 子集；attr-cache=0；云端 get-timeout=5m</x:v>
      </x:c>
      <x:c r="L725" s="11" t="str">
        <x:v>e920ead94a8e28f04e326664178b0c9f02d492b1 + productChanges / plansSha256 见 E01</x:v>
      </x:c>
      <x:c r="M725" s="11" t="str">
        <x:v>E01 / juicefs-upstream-run-AxbnJa</x:v>
      </x:c>
      <x:c r="N725" s="11" t="str">
        <x:v>--fuse-external --resilient --case-insensitive-cmp</x:v>
      </x:c>
    </x:row>
    <x:row r="726" ht="74" customHeight="1">
      <x:c r="A726" s="10" t="str">
        <x:v>SUBSET-20261015-baidu-wb</x:v>
      </x:c>
      <x:c r="B726" s="10" t="str">
        <x:v>WFP-43</x:v>
      </x:c>
      <x:c r="C726" s="10" t="str">
        <x:v>querydir_test</x:v>
      </x:c>
      <x:c r="D726" s="10" t="str">
        <x:v>WinFsp fork 默认子集</x:v>
      </x:c>
      <x:c r="E726" s="10" t="str">
        <x:v>baidu</x:v>
      </x:c>
      <x:c r="F726" s="10" t="str">
        <x:v>后台</x:v>
      </x:c>
      <x:c r="G726" s="19" t="d">
        <x:v>2026-10-15T00:00:00.000Z</x:v>
      </x:c>
      <x:c r="H726" s="10" t="str">
        <x:v>已通过</x:v>
      </x:c>
      <x:c r="I726" s="21" t="n">
        <x:v>10.424</x:v>
      </x:c>
      <x:c r="J726" s="10" t="str">
        <x:v>JuiceFS 1.3.0+30190ca / WinFsp 2.1.25156；测试工具 S01–S04</x:v>
      </x:c>
      <x:c r="K726" s="10" t="str">
        <x:v>JuiceFS Windows CI 子集；attr-cache=0；云端 get-timeout=5m</x:v>
      </x:c>
      <x:c r="L726" s="10" t="str">
        <x:v>e920ead94a8e28f04e326664178b0c9f02d492b1 + productChanges / plansSha256 见 E01</x:v>
      </x:c>
      <x:c r="M726" s="10" t="str">
        <x:v>E01 / juicefs-upstream-run-AxbnJa</x:v>
      </x:c>
      <x:c r="N726" s="10" t="str">
        <x:v>--fuse-external --resilient --case-insensitive-cmp</x:v>
      </x:c>
    </x:row>
    <x:row r="727" ht="74" customHeight="1">
      <x:c r="A727" s="11" t="str">
        <x:v>SUBSET-20261015-baidu-wb</x:v>
      </x:c>
      <x:c r="B727" s="11" t="str">
        <x:v>WFP-44</x:v>
      </x:c>
      <x:c r="C727" s="11" t="str">
        <x:v>querydir_expire_cache_test</x:v>
      </x:c>
      <x:c r="D727" s="11" t="str">
        <x:v>WinFsp fork 默认子集</x:v>
      </x:c>
      <x:c r="E727" s="11" t="str">
        <x:v>baidu</x:v>
      </x:c>
      <x:c r="F727" s="11" t="str">
        <x:v>后台</x:v>
      </x:c>
      <x:c r="G727" s="20" t="d">
        <x:v>2026-10-15T00:00:00.000Z</x:v>
      </x:c>
      <x:c r="H727" s="11" t="str">
        <x:v>已通过</x:v>
      </x:c>
      <x:c r="I727" s="22" t="n">
        <x:v>0.404</x:v>
      </x:c>
      <x:c r="J727" s="11" t="str">
        <x:v>JuiceFS 1.3.0+30190ca / WinFsp 2.1.25156；测试工具 S01–S04</x:v>
      </x:c>
      <x:c r="K727" s="11" t="str">
        <x:v>JuiceFS Windows CI 子集；attr-cache=0；云端 get-timeout=5m</x:v>
      </x:c>
      <x:c r="L727" s="11" t="str">
        <x:v>e920ead94a8e28f04e326664178b0c9f02d492b1 + productChanges / plansSha256 见 E01</x:v>
      </x:c>
      <x:c r="M727" s="11" t="str">
        <x:v>E01 / juicefs-upstream-run-AxbnJa</x:v>
      </x:c>
      <x:c r="N727" s="11" t="str">
        <x:v>--fuse-external --resilient --case-insensitive-cmp</x:v>
      </x:c>
    </x:row>
    <x:row r="728" ht="74" customHeight="1">
      <x:c r="A728" s="10" t="str">
        <x:v>SUBSET-20261015-baidu-wb</x:v>
      </x:c>
      <x:c r="B728" s="10" t="str">
        <x:v>WFP-45</x:v>
      </x:c>
      <x:c r="C728" s="10" t="str">
        <x:v>querydir_buffer_overflow_test</x:v>
      </x:c>
      <x:c r="D728" s="10" t="str">
        <x:v>WinFsp fork 默认子集</x:v>
      </x:c>
      <x:c r="E728" s="10" t="str">
        <x:v>baidu</x:v>
      </x:c>
      <x:c r="F728" s="10" t="str">
        <x:v>后台</x:v>
      </x:c>
      <x:c r="G728" s="19" t="d">
        <x:v>2026-10-15T00:00:00.000Z</x:v>
      </x:c>
      <x:c r="H728" s="10" t="str">
        <x:v>已通过</x:v>
      </x:c>
      <x:c r="I728" s="21" t="n">
        <x:v>0.364</x:v>
      </x:c>
      <x:c r="J728" s="10" t="str">
        <x:v>JuiceFS 1.3.0+30190ca / WinFsp 2.1.25156；测试工具 S01–S04</x:v>
      </x:c>
      <x:c r="K728" s="10" t="str">
        <x:v>JuiceFS Windows CI 子集；attr-cache=0；云端 get-timeout=5m</x:v>
      </x:c>
      <x:c r="L728" s="10" t="str">
        <x:v>e920ead94a8e28f04e326664178b0c9f02d492b1 + productChanges / plansSha256 见 E01</x:v>
      </x:c>
      <x:c r="M728" s="10" t="str">
        <x:v>E01 / juicefs-upstream-run-AxbnJa</x:v>
      </x:c>
      <x:c r="N728" s="10" t="str">
        <x:v>--fuse-external --resilient --case-insensitive-cmp</x:v>
      </x:c>
    </x:row>
    <x:row r="729" ht="74" customHeight="1">
      <x:c r="A729" s="11" t="str">
        <x:v>SUBSET-20261015-baidu-wb</x:v>
      </x:c>
      <x:c r="B729" s="11" t="str">
        <x:v>WFP-46</x:v>
      </x:c>
      <x:c r="C729" s="11" t="str">
        <x:v>querydir_namelen_test</x:v>
      </x:c>
      <x:c r="D729" s="11" t="str">
        <x:v>WinFsp fork 默认子集</x:v>
      </x:c>
      <x:c r="E729" s="11" t="str">
        <x:v>baidu</x:v>
      </x:c>
      <x:c r="F729" s="11" t="str">
        <x:v>后台</x:v>
      </x:c>
      <x:c r="G729" s="20" t="d">
        <x:v>2026-10-15T00:00:00.000Z</x:v>
      </x:c>
      <x:c r="H729" s="11" t="str">
        <x:v>已通过</x:v>
      </x:c>
      <x:c r="I729" s="22" t="n">
        <x:v>0.732</x:v>
      </x:c>
      <x:c r="J729" s="11" t="str">
        <x:v>JuiceFS 1.3.0+30190ca / WinFsp 2.1.25156；测试工具 S01–S04</x:v>
      </x:c>
      <x:c r="K729" s="11" t="str">
        <x:v>JuiceFS Windows CI 子集；attr-cache=0；云端 get-timeout=5m</x:v>
      </x:c>
      <x:c r="L729" s="11" t="str">
        <x:v>e920ead94a8e28f04e326664178b0c9f02d492b1 + productChanges / plansSha256 见 E01</x:v>
      </x:c>
      <x:c r="M729" s="11" t="str">
        <x:v>E01 / juicefs-upstream-run-AxbnJa</x:v>
      </x:c>
      <x:c r="N729" s="11" t="str">
        <x:v>--fuse-external --resilient --case-insensitive-cmp</x:v>
      </x:c>
    </x:row>
    <x:row r="730" ht="74" customHeight="1">
      <x:c r="A730" s="10" t="str">
        <x:v>SUBSET-20261015-baidu-wb</x:v>
      </x:c>
      <x:c r="B730" s="10" t="str">
        <x:v>WFP-47</x:v>
      </x:c>
      <x:c r="C730" s="10" t="str">
        <x:v>dirnotify_test</x:v>
      </x:c>
      <x:c r="D730" s="10" t="str">
        <x:v>WinFsp fork 默认子集</x:v>
      </x:c>
      <x:c r="E730" s="10" t="str">
        <x:v>baidu</x:v>
      </x:c>
      <x:c r="F730" s="10" t="str">
        <x:v>后台</x:v>
      </x:c>
      <x:c r="G730" s="19" t="d">
        <x:v>2026-10-15T00:00:00.000Z</x:v>
      </x:c>
      <x:c r="H730" s="10" t="str">
        <x:v>已通过</x:v>
      </x:c>
      <x:c r="I730" s="21" t="n">
        <x:v>1.438</x:v>
      </x:c>
      <x:c r="J730" s="10" t="str">
        <x:v>JuiceFS 1.3.0+30190ca / WinFsp 2.1.25156；测试工具 S01–S04</x:v>
      </x:c>
      <x:c r="K730" s="10" t="str">
        <x:v>JuiceFS Windows CI 子集；attr-cache=0；云端 get-timeout=5m</x:v>
      </x:c>
      <x:c r="L730" s="10" t="str">
        <x:v>e920ead94a8e28f04e326664178b0c9f02d492b1 + productChanges / plansSha256 见 E01</x:v>
      </x:c>
      <x:c r="M730" s="10" t="str">
        <x:v>E01 / juicefs-upstream-run-AxbnJa</x:v>
      </x:c>
      <x:c r="N730" s="10" t="str">
        <x:v>--fuse-external --resilient --case-insensitive-cmp</x:v>
      </x:c>
    </x:row>
    <x:row r="731" ht="74" customHeight="1">
      <x:c r="A731" s="11" t="str">
        <x:v>SUBSET-20261015-baidu-wb</x:v>
      </x:c>
      <x:c r="B731" s="11" t="str">
        <x:v>WFP-48</x:v>
      </x:c>
      <x:c r="C731" s="11" t="str">
        <x:v>exec_test</x:v>
      </x:c>
      <x:c r="D731" s="11" t="str">
        <x:v>WinFsp fork 默认子集</x:v>
      </x:c>
      <x:c r="E731" s="11" t="str">
        <x:v>baidu</x:v>
      </x:c>
      <x:c r="F731" s="11" t="str">
        <x:v>后台</x:v>
      </x:c>
      <x:c r="G731" s="20" t="d">
        <x:v>2026-10-15T00:00:00.000Z</x:v>
      </x:c>
      <x:c r="H731" s="11" t="str">
        <x:v>已通过</x:v>
      </x:c>
      <x:c r="I731" s="22" t="n">
        <x:v>0.664</x:v>
      </x:c>
      <x:c r="J731" s="11" t="str">
        <x:v>JuiceFS 1.3.0+30190ca / WinFsp 2.1.25156；测试工具 S01–S04</x:v>
      </x:c>
      <x:c r="K731" s="11" t="str">
        <x:v>JuiceFS Windows CI 子集；attr-cache=0；云端 get-timeout=5m</x:v>
      </x:c>
      <x:c r="L731" s="11" t="str">
        <x:v>e920ead94a8e28f04e326664178b0c9f02d492b1 + productChanges / plansSha256 见 E01</x:v>
      </x:c>
      <x:c r="M731" s="11" t="str">
        <x:v>E01 / juicefs-upstream-run-AxbnJa</x:v>
      </x:c>
      <x:c r="N731" s="11" t="str">
        <x:v>--fuse-external --resilient --case-insensitive-cmp</x:v>
      </x:c>
    </x:row>
    <x:row r="732" ht="74" customHeight="1">
      <x:c r="A732" s="10" t="str">
        <x:v>SUBSET-20261015-baidu-wb</x:v>
      </x:c>
      <x:c r="B732" s="10" t="str">
        <x:v>WFP-49</x:v>
      </x:c>
      <x:c r="C732" s="10" t="str">
        <x:v>exec_delete_test</x:v>
      </x:c>
      <x:c r="D732" s="10" t="str">
        <x:v>WinFsp fork 默认子集</x:v>
      </x:c>
      <x:c r="E732" s="10" t="str">
        <x:v>baidu</x:v>
      </x:c>
      <x:c r="F732" s="10" t="str">
        <x:v>后台</x:v>
      </x:c>
      <x:c r="G732" s="19" t="d">
        <x:v>2026-10-15T00:00:00.000Z</x:v>
      </x:c>
      <x:c r="H732" s="10" t="str">
        <x:v>已通过</x:v>
      </x:c>
      <x:c r="I732" s="21" t="n">
        <x:v>1.892</x:v>
      </x:c>
      <x:c r="J732" s="10" t="str">
        <x:v>JuiceFS 1.3.0+30190ca / WinFsp 2.1.25156；测试工具 S01–S04</x:v>
      </x:c>
      <x:c r="K732" s="10" t="str">
        <x:v>JuiceFS Windows CI 子集；attr-cache=0；云端 get-timeout=5m</x:v>
      </x:c>
      <x:c r="L732" s="10" t="str">
        <x:v>e920ead94a8e28f04e326664178b0c9f02d492b1 + productChanges / plansSha256 见 E01</x:v>
      </x:c>
      <x:c r="M732" s="10" t="str">
        <x:v>E01 / juicefs-upstream-run-AxbnJa</x:v>
      </x:c>
      <x:c r="N732" s="10" t="str">
        <x:v>--fuse-external --resilient --case-insensitive-cmp</x:v>
      </x:c>
    </x:row>
    <x:row r="733" ht="74" customHeight="1">
      <x:c r="A733" s="11" t="str">
        <x:v>SUBSET-20261015-baidu-wb</x:v>
      </x:c>
      <x:c r="B733" s="11" t="str">
        <x:v>WFP-50</x:v>
      </x:c>
      <x:c r="C733" s="11" t="str">
        <x:v>exec_rename_test</x:v>
      </x:c>
      <x:c r="D733" s="11" t="str">
        <x:v>WinFsp fork 默认子集</x:v>
      </x:c>
      <x:c r="E733" s="11" t="str">
        <x:v>baidu</x:v>
      </x:c>
      <x:c r="F733" s="11" t="str">
        <x:v>后台</x:v>
      </x:c>
      <x:c r="G733" s="20" t="d">
        <x:v>2026-10-15T00:00:00.000Z</x:v>
      </x:c>
      <x:c r="H733" s="11" t="str">
        <x:v>已通过</x:v>
      </x:c>
      <x:c r="I733" s="22" t="n">
        <x:v>1.727</x:v>
      </x:c>
      <x:c r="J733" s="11" t="str">
        <x:v>JuiceFS 1.3.0+30190ca / WinFsp 2.1.25156；测试工具 S01–S04</x:v>
      </x:c>
      <x:c r="K733" s="11" t="str">
        <x:v>JuiceFS Windows CI 子集；attr-cache=0；云端 get-timeout=5m</x:v>
      </x:c>
      <x:c r="L733" s="11" t="str">
        <x:v>e920ead94a8e28f04e326664178b0c9f02d492b1 + productChanges / plansSha256 见 E01</x:v>
      </x:c>
      <x:c r="M733" s="11" t="str">
        <x:v>E01 / juicefs-upstream-run-AxbnJa</x:v>
      </x:c>
      <x:c r="N733" s="11" t="str">
        <x:v>--fuse-external --resilient --case-insensitive-cmp</x:v>
      </x:c>
    </x:row>
    <x:row r="734" ht="74" customHeight="1">
      <x:c r="A734" s="10" t="str">
        <x:v>SUBSET-20261015-baidu-wb</x:v>
      </x:c>
      <x:c r="B734" s="10" t="str">
        <x:v>WFP-51</x:v>
      </x:c>
      <x:c r="C734" s="10" t="str">
        <x:v>exec_rename_dir_test</x:v>
      </x:c>
      <x:c r="D734" s="10" t="str">
        <x:v>WinFsp fork 默认子集</x:v>
      </x:c>
      <x:c r="E734" s="10" t="str">
        <x:v>baidu</x:v>
      </x:c>
      <x:c r="F734" s="10" t="str">
        <x:v>后台</x:v>
      </x:c>
      <x:c r="G734" s="19" t="d">
        <x:v>2026-10-15T00:00:00.000Z</x:v>
      </x:c>
      <x:c r="H734" s="10" t="str">
        <x:v>已通过</x:v>
      </x:c>
      <x:c r="I734" s="21" t="n">
        <x:v>3.221</x:v>
      </x:c>
      <x:c r="J734" s="10" t="str">
        <x:v>JuiceFS 1.3.0+30190ca / WinFsp 2.1.25156；测试工具 S01–S04</x:v>
      </x:c>
      <x:c r="K734" s="10" t="str">
        <x:v>JuiceFS Windows CI 子集；attr-cache=0；云端 get-timeout=5m</x:v>
      </x:c>
      <x:c r="L734" s="10" t="str">
        <x:v>e920ead94a8e28f04e326664178b0c9f02d492b1 + productChanges / plansSha256 见 E01</x:v>
      </x:c>
      <x:c r="M734" s="10" t="str">
        <x:v>E01 / juicefs-upstream-run-AxbnJa</x:v>
      </x:c>
      <x:c r="N734" s="10" t="str">
        <x:v>--fuse-external --resilient --case-insensitive-cmp</x:v>
      </x:c>
    </x:row>
    <x:row r="735" ht="74" customHeight="1">
      <x:c r="A735" s="11" t="str">
        <x:v>SUBSET-20261015-baidu-wb</x:v>
      </x:c>
      <x:c r="B735" s="11" t="str">
        <x:v>WFP-52</x:v>
      </x:c>
      <x:c r="C735" s="11" t="str">
        <x:v>reparse_nfs_test</x:v>
      </x:c>
      <x:c r="D735" s="11" t="str">
        <x:v>WinFsp fork 默认子集</x:v>
      </x:c>
      <x:c r="E735" s="11" t="str">
        <x:v>baidu</x:v>
      </x:c>
      <x:c r="F735" s="11" t="str">
        <x:v>后台</x:v>
      </x:c>
      <x:c r="G735" s="20" t="d">
        <x:v>2026-10-15T00:00:00.000Z</x:v>
      </x:c>
      <x:c r="H735" s="11" t="str">
        <x:v>已通过</x:v>
      </x:c>
      <x:c r="I735" s="22" t="n">
        <x:v>0.949</x:v>
      </x:c>
      <x:c r="J735" s="11" t="str">
        <x:v>JuiceFS 1.3.0+30190ca / WinFsp 2.1.25156；测试工具 S01–S04</x:v>
      </x:c>
      <x:c r="K735" s="11" t="str">
        <x:v>JuiceFS Windows CI 子集；attr-cache=0；云端 get-timeout=5m</x:v>
      </x:c>
      <x:c r="L735" s="11" t="str">
        <x:v>e920ead94a8e28f04e326664178b0c9f02d492b1 + productChanges / plansSha256 见 E01</x:v>
      </x:c>
      <x:c r="M735" s="11" t="str">
        <x:v>E01 / juicefs-upstream-run-AxbnJa</x:v>
      </x:c>
      <x:c r="N735" s="11" t="str">
        <x:v>--fuse-external --resilient --case-insensitive-cmp</x:v>
      </x:c>
    </x:row>
    <x:row r="736" ht="74" customHeight="1">
      <x:c r="A736" s="10" t="str">
        <x:v>SUBSET-20261015-baidu-wb</x:v>
      </x:c>
      <x:c r="B736" s="10" t="str">
        <x:v>WFP-53</x:v>
      </x:c>
      <x:c r="C736" s="10" t="str">
        <x:v>reparse_symlink_test</x:v>
      </x:c>
      <x:c r="D736" s="10" t="str">
        <x:v>WinFsp fork 默认子集</x:v>
      </x:c>
      <x:c r="E736" s="10" t="str">
        <x:v>baidu</x:v>
      </x:c>
      <x:c r="F736" s="10" t="str">
        <x:v>后台</x:v>
      </x:c>
      <x:c r="G736" s="19" t="d">
        <x:v>2026-10-15T00:00:00.000Z</x:v>
      </x:c>
      <x:c r="H736" s="10" t="str">
        <x:v>已通过</x:v>
      </x:c>
      <x:c r="I736" s="21" t="n">
        <x:v>0.406</x:v>
      </x:c>
      <x:c r="J736" s="10" t="str">
        <x:v>JuiceFS 1.3.0+30190ca / WinFsp 2.1.25156；测试工具 S01–S04</x:v>
      </x:c>
      <x:c r="K736" s="10" t="str">
        <x:v>JuiceFS Windows CI 子集；attr-cache=0；云端 get-timeout=5m</x:v>
      </x:c>
      <x:c r="L736" s="10" t="str">
        <x:v>e920ead94a8e28f04e326664178b0c9f02d492b1 + productChanges / plansSha256 见 E01</x:v>
      </x:c>
      <x:c r="M736" s="10" t="str">
        <x:v>E01 / juicefs-upstream-run-AxbnJa</x:v>
      </x:c>
      <x:c r="N736" s="10" t="str">
        <x:v>--fuse-external --resilient --case-insensitive-cmp</x:v>
      </x:c>
    </x:row>
    <x:row r="737" ht="74" customHeight="1">
      <x:c r="A737" s="11" t="str">
        <x:v>SUBSET-20261015-baidu-wb</x:v>
      </x:c>
      <x:c r="B737" s="11" t="str">
        <x:v>WFP-54</x:v>
      </x:c>
      <x:c r="C737" s="11" t="str">
        <x:v>reparse_symlink_relative_test</x:v>
      </x:c>
      <x:c r="D737" s="11" t="str">
        <x:v>WinFsp fork 默认子集</x:v>
      </x:c>
      <x:c r="E737" s="11" t="str">
        <x:v>baidu</x:v>
      </x:c>
      <x:c r="F737" s="11" t="str">
        <x:v>后台</x:v>
      </x:c>
      <x:c r="G737" s="20" t="d">
        <x:v>2026-10-15T00:00:00.000Z</x:v>
      </x:c>
      <x:c r="H737" s="11" t="str">
        <x:v>已通过</x:v>
      </x:c>
      <x:c r="I737" s="22" t="n">
        <x:v>0.615</x:v>
      </x:c>
      <x:c r="J737" s="11" t="str">
        <x:v>JuiceFS 1.3.0+30190ca / WinFsp 2.1.25156；测试工具 S01–S04</x:v>
      </x:c>
      <x:c r="K737" s="11" t="str">
        <x:v>JuiceFS Windows CI 子集；attr-cache=0；云端 get-timeout=5m</x:v>
      </x:c>
      <x:c r="L737" s="11" t="str">
        <x:v>e920ead94a8e28f04e326664178b0c9f02d492b1 + productChanges / plansSha256 见 E01</x:v>
      </x:c>
      <x:c r="M737" s="11" t="str">
        <x:v>E01 / juicefs-upstream-run-AxbnJa</x:v>
      </x:c>
      <x:c r="N737" s="11" t="str">
        <x:v>--fuse-external --resilient --case-insensitive-cmp</x:v>
      </x:c>
    </x:row>
    <x:row r="738" ht="74" customHeight="1">
      <x:c r="A738" s="10" t="str">
        <x:v>SUBSET-20261015-baidu-wb</x:v>
      </x:c>
      <x:c r="B738" s="10" t="str">
        <x:v>WFT-00…WFT-10</x:v>
      </x:c>
      <x:c r="C738" s="10" t="str">
        <x:v>11 个脚本的整套结果</x:v>
      </x:c>
      <x:c r="D738" s="10" t="str">
        <x:v>winfstest fork</x:v>
      </x:c>
      <x:c r="E738" s="10" t="str">
        <x:v>baidu</x:v>
      </x:c>
      <x:c r="F738" s="10" t="str">
        <x:v>后台</x:v>
      </x:c>
      <x:c r="G738" s="19" t="d">
        <x:v>2026-10-15T00:00:00.000Z</x:v>
      </x:c>
      <x:c r="H738" s="10" t="str">
        <x:v>已通过</x:v>
      </x:c>
      <x:c r="I738" s="21"/>
      <x:c r="J738" s="10" t="str">
        <x:v>JuiceFS 1.3.0+30190ca / WinFsp 2.1.25156；测试工具 S01–S04</x:v>
      </x:c>
      <x:c r="K738" s="10" t="str">
        <x:v>JuiceFS Windows CI 子集；attr-cache=0；云端 get-timeout=5m</x:v>
      </x:c>
      <x:c r="L738" s="10" t="str">
        <x:v>e920ead94a8e28f04e326664178b0c9f02d492b1 + productChanges / plansSha256 见 E01</x:v>
      </x:c>
      <x:c r="M738" s="10" t="str">
        <x:v>E01 / juicefs-upstream-run-AxbnJa</x:v>
      </x:c>
      <x:c r="N738" s="10" t="str">
        <x:v>152/152 断言；报告粒度为整套，不虚构每个脚本的耗时</x:v>
      </x:c>
    </x:row>
    <x:row r="739" ht="74" customHeight="1">
      <x:c r="A739" s="11" t="str">
        <x:v>SUBSET-20261015-baidu-wb</x:v>
      </x:c>
      <x:c r="B739" s="11" t="str">
        <x:v>JFS-FSX-01</x:v>
      </x:c>
      <x:c r="C739" s="11" t="str">
        <x:v>FSX 正常完成运行</x:v>
      </x:c>
      <x:c r="D739" s="11" t="str">
        <x:v>FSX fork</x:v>
      </x:c>
      <x:c r="E739" s="11" t="str">
        <x:v>baidu</x:v>
      </x:c>
      <x:c r="F739" s="11" t="str">
        <x:v>后台</x:v>
      </x:c>
      <x:c r="G739" s="20" t="d">
        <x:v>2026-10-15T00:00:00.000Z</x:v>
      </x:c>
      <x:c r="H739" s="11" t="str">
        <x:v>已通过</x:v>
      </x:c>
      <x:c r="I739" s="22"/>
      <x:c r="J739" s="11" t="str">
        <x:v>JuiceFS 1.3.0+30190ca / WinFsp 2.1.25156；测试工具 S01–S04</x:v>
      </x:c>
      <x:c r="K739" s="11" t="str">
        <x:v>JuiceFS Windows CI 子集；attr-cache=0；云端 get-timeout=5m</x:v>
      </x:c>
      <x:c r="L739" s="11" t="str">
        <x:v>e920ead94a8e28f04e326664178b0c9f02d492b1 + productChanges / plansSha256 见 E01</x:v>
      </x:c>
      <x:c r="M739" s="11" t="str">
        <x:v>E01 / juicefs-upstream-run-AxbnJa</x:v>
      </x:c>
      <x:c r="N739" s="11" t="str">
        <x:v>-N 200 -S 20261014 -p 100 -F 100000 fsxtest；实际 221 操作</x:v>
      </x:c>
    </x:row>
    <x:row r="740" ht="74" customHeight="1">
      <x:c r="A740" s="10" t="str">
        <x:v>SUBSET-20261015-baidu-wb</x:v>
      </x:c>
      <x:c r="B740" s="10" t="str">
        <x:v>CLOUD-006</x:v>
      </x:c>
      <x:c r="C740" s="10" t="str">
        <x:v>排空后冷读校验</x:v>
      </x:c>
      <x:c r="D740" s="10" t="str">
        <x:v>项目验证</x:v>
      </x:c>
      <x:c r="E740" s="10" t="str">
        <x:v>baidu</x:v>
      </x:c>
      <x:c r="F740" s="10" t="str">
        <x:v>后台</x:v>
      </x:c>
      <x:c r="G740" s="19" t="d">
        <x:v>2026-10-15T00:00:00.000Z</x:v>
      </x:c>
      <x:c r="H740" s="10" t="str">
        <x:v>已通过</x:v>
      </x:c>
      <x:c r="I740" s="21"/>
      <x:c r="J740" s="10" t="str">
        <x:v>JuiceFS 1.3.0+30190ca / WinFsp 2.1.25156；测试工具 S01–S04</x:v>
      </x:c>
      <x:c r="K740" s="10" t="str">
        <x:v>JuiceFS Windows CI 子集；attr-cache=0；云端 get-timeout=5m</x:v>
      </x:c>
      <x:c r="L740" s="10" t="str">
        <x:v>e920ead94a8e28f04e326664178b0c9f02d492b1 + productChanges / plansSha256 见 E01</x:v>
      </x:c>
      <x:c r="M740" s="10" t="str">
        <x:v>E01 / juicefs-upstream-run-AxbnJa</x:v>
      </x:c>
      <x:c r="N740" s="10" t="str">
        <x:v>原始记录见 E01；不代表故障恢复或 repair 测试</x:v>
      </x:c>
    </x:row>
    <x:row r="741" ht="74" customHeight="1">
      <x:c r="A741" s="11" t="str">
        <x:v>SUBSET-20261015-baidu-wb</x:v>
      </x:c>
      <x:c r="B741" s="11" t="str">
        <x:v>CLOUD-007</x:v>
      </x:c>
      <x:c r="C741" s="11" t="str">
        <x:v>只读 fsck</x:v>
      </x:c>
      <x:c r="D741" s="11" t="str">
        <x:v>项目验证</x:v>
      </x:c>
      <x:c r="E741" s="11" t="str">
        <x:v>baidu</x:v>
      </x:c>
      <x:c r="F741" s="11" t="str">
        <x:v>后台</x:v>
      </x:c>
      <x:c r="G741" s="20" t="d">
        <x:v>2026-10-15T00:00:00.000Z</x:v>
      </x:c>
      <x:c r="H741" s="11" t="str">
        <x:v>已通过</x:v>
      </x:c>
      <x:c r="I741" s="22"/>
      <x:c r="J741" s="11" t="str">
        <x:v>JuiceFS 1.3.0+30190ca / WinFsp 2.1.25156；测试工具 S01–S04</x:v>
      </x:c>
      <x:c r="K741" s="11" t="str">
        <x:v>JuiceFS Windows CI 子集；attr-cache=0；云端 get-timeout=5m</x:v>
      </x:c>
      <x:c r="L741" s="11" t="str">
        <x:v>e920ead94a8e28f04e326664178b0c9f02d492b1 + productChanges / plansSha256 见 E01</x:v>
      </x:c>
      <x:c r="M741" s="11" t="str">
        <x:v>E01 / juicefs-upstream-run-AxbnJa</x:v>
      </x:c>
      <x:c r="N741" s="11" t="str">
        <x:v>原始记录见 E01；不代表故障恢复或 repair 测试</x:v>
      </x:c>
    </x:row>
    <x:row r="742" ht="74" customHeight="1">
      <x:c r="A742" s="10" t="str">
        <x:v>SUBSET-20261015-drive-sync</x:v>
      </x:c>
      <x:c r="B742" s="10" t="str">
        <x:v>JFS-PY-01</x:v>
      </x:c>
      <x:c r="C742" s="10" t="str">
        <x:v>test_basic_operations</x:v>
      </x:c>
      <x:c r="D742" s="10" t="str">
        <x:v>Python</x:v>
      </x:c>
      <x:c r="E742" s="10" t="str">
        <x:v>drive</x:v>
      </x:c>
      <x:c r="F742" s="10" t="str">
        <x:v>同步</x:v>
      </x:c>
      <x:c r="G742" s="19" t="d">
        <x:v>2026-10-15T00:00:00.000Z</x:v>
      </x:c>
      <x:c r="H742" s="10" t="str">
        <x:v>已通过</x:v>
      </x:c>
      <x:c r="I742" s="21"/>
      <x:c r="J742" s="10" t="str">
        <x:v>JuiceFS 1.3.0+30190ca / WinFsp 2.1.25156；测试工具 S01–S04</x:v>
      </x:c>
      <x:c r="K742" s="10" t="str">
        <x:v>JuiceFS Windows CI 子集；attr-cache=0；云端 get-timeout=5m</x:v>
      </x:c>
      <x:c r="L742" s="10" t="str">
        <x:v>e920ead94a8e28f04e326664178b0c9f02d492b1 + productChanges / plansSha256 见 E01</x:v>
      </x:c>
      <x:c r="M742" s="10" t="str">
        <x:v>E01 / juicefs-upstream-run-9WTx4T</x:v>
      </x:c>
      <x:c r="N742" s="10" t="str">
        <x:v>上游原断言</x:v>
      </x:c>
    </x:row>
    <x:row r="743" ht="74" customHeight="1">
      <x:c r="A743" s="11" t="str">
        <x:v>SUBSET-20261015-drive-sync</x:v>
      </x:c>
      <x:c r="B743" s="11" t="str">
        <x:v>JFS-PY-02</x:v>
      </x:c>
      <x:c r="C743" s="11" t="str">
        <x:v>test_concurrent_operations</x:v>
      </x:c>
      <x:c r="D743" s="11" t="str">
        <x:v>Python</x:v>
      </x:c>
      <x:c r="E743" s="11" t="str">
        <x:v>drive</x:v>
      </x:c>
      <x:c r="F743" s="11" t="str">
        <x:v>同步</x:v>
      </x:c>
      <x:c r="G743" s="20" t="d">
        <x:v>2026-10-15T00:00:00.000Z</x:v>
      </x:c>
      <x:c r="H743" s="11" t="str">
        <x:v>已通过</x:v>
      </x:c>
      <x:c r="I743" s="22"/>
      <x:c r="J743" s="11" t="str">
        <x:v>JuiceFS 1.3.0+30190ca / WinFsp 2.1.25156；测试工具 S01–S04</x:v>
      </x:c>
      <x:c r="K743" s="11" t="str">
        <x:v>JuiceFS Windows CI 子集；attr-cache=0；云端 get-timeout=5m</x:v>
      </x:c>
      <x:c r="L743" s="11" t="str">
        <x:v>e920ead94a8e28f04e326664178b0c9f02d492b1 + productChanges / plansSha256 见 E01</x:v>
      </x:c>
      <x:c r="M743" s="11" t="str">
        <x:v>E01 / juicefs-upstream-run-9WTx4T</x:v>
      </x:c>
      <x:c r="N743" s="11" t="str">
        <x:v>上游原断言</x:v>
      </x:c>
    </x:row>
    <x:row r="744" ht="74" customHeight="1">
      <x:c r="A744" s="10" t="str">
        <x:v>SUBSET-20261015-drive-sync</x:v>
      </x:c>
      <x:c r="B744" s="10" t="str">
        <x:v>JFS-PY-03</x:v>
      </x:c>
      <x:c r="C744" s="10" t="str">
        <x:v>test_directory_operations</x:v>
      </x:c>
      <x:c r="D744" s="10" t="str">
        <x:v>Python</x:v>
      </x:c>
      <x:c r="E744" s="10" t="str">
        <x:v>drive</x:v>
      </x:c>
      <x:c r="F744" s="10" t="str">
        <x:v>同步</x:v>
      </x:c>
      <x:c r="G744" s="19" t="d">
        <x:v>2026-10-15T00:00:00.000Z</x:v>
      </x:c>
      <x:c r="H744" s="10" t="str">
        <x:v>已通过</x:v>
      </x:c>
      <x:c r="I744" s="21"/>
      <x:c r="J744" s="10" t="str">
        <x:v>JuiceFS 1.3.0+30190ca / WinFsp 2.1.25156；测试工具 S01–S04</x:v>
      </x:c>
      <x:c r="K744" s="10" t="str">
        <x:v>JuiceFS Windows CI 子集；attr-cache=0；云端 get-timeout=5m</x:v>
      </x:c>
      <x:c r="L744" s="10" t="str">
        <x:v>e920ead94a8e28f04e326664178b0c9f02d492b1 + productChanges / plansSha256 见 E01</x:v>
      </x:c>
      <x:c r="M744" s="10" t="str">
        <x:v>E01 / juicefs-upstream-run-9WTx4T</x:v>
      </x:c>
      <x:c r="N744" s="10" t="str">
        <x:v>上游原断言</x:v>
      </x:c>
    </x:row>
    <x:row r="745" ht="74" customHeight="1">
      <x:c r="A745" s="11" t="str">
        <x:v>SUBSET-20261015-drive-sync</x:v>
      </x:c>
      <x:c r="B745" s="11" t="str">
        <x:v>JFS-PY-04</x:v>
      </x:c>
      <x:c r="C745" s="11" t="str">
        <x:v>test_file_attributes</x:v>
      </x:c>
      <x:c r="D745" s="11" t="str">
        <x:v>Python</x:v>
      </x:c>
      <x:c r="E745" s="11" t="str">
        <x:v>drive</x:v>
      </x:c>
      <x:c r="F745" s="11" t="str">
        <x:v>同步</x:v>
      </x:c>
      <x:c r="G745" s="20" t="d">
        <x:v>2026-10-15T00:00:00.000Z</x:v>
      </x:c>
      <x:c r="H745" s="11" t="str">
        <x:v>已通过</x:v>
      </x:c>
      <x:c r="I745" s="22"/>
      <x:c r="J745" s="11" t="str">
        <x:v>JuiceFS 1.3.0+30190ca / WinFsp 2.1.25156；测试工具 S01–S04</x:v>
      </x:c>
      <x:c r="K745" s="11" t="str">
        <x:v>JuiceFS Windows CI 子集；attr-cache=0；云端 get-timeout=5m</x:v>
      </x:c>
      <x:c r="L745" s="11" t="str">
        <x:v>e920ead94a8e28f04e326664178b0c9f02d492b1 + productChanges / plansSha256 见 E01</x:v>
      </x:c>
      <x:c r="M745" s="11" t="str">
        <x:v>E01 / juicefs-upstream-run-9WTx4T</x:v>
      </x:c>
      <x:c r="N745" s="11" t="str">
        <x:v>上游原断言</x:v>
      </x:c>
    </x:row>
    <x:row r="746" ht="74" customHeight="1">
      <x:c r="A746" s="10" t="str">
        <x:v>SUBSET-20261015-drive-sync</x:v>
      </x:c>
      <x:c r="B746" s="10" t="str">
        <x:v>JFS-PY-05</x:v>
      </x:c>
      <x:c r="C746" s="10" t="str">
        <x:v>test_large_files</x:v>
      </x:c>
      <x:c r="D746" s="10" t="str">
        <x:v>Python</x:v>
      </x:c>
      <x:c r="E746" s="10" t="str">
        <x:v>drive</x:v>
      </x:c>
      <x:c r="F746" s="10" t="str">
        <x:v>同步</x:v>
      </x:c>
      <x:c r="G746" s="19" t="d">
        <x:v>2026-10-15T00:00:00.000Z</x:v>
      </x:c>
      <x:c r="H746" s="10" t="str">
        <x:v>已通过</x:v>
      </x:c>
      <x:c r="I746" s="21"/>
      <x:c r="J746" s="10" t="str">
        <x:v>JuiceFS 1.3.0+30190ca / WinFsp 2.1.25156；测试工具 S01–S04</x:v>
      </x:c>
      <x:c r="K746" s="10" t="str">
        <x:v>JuiceFS Windows CI 子集；attr-cache=0；云端 get-timeout=5m</x:v>
      </x:c>
      <x:c r="L746" s="10" t="str">
        <x:v>e920ead94a8e28f04e326664178b0c9f02d492b1 + productChanges / plansSha256 见 E01</x:v>
      </x:c>
      <x:c r="M746" s="10" t="str">
        <x:v>E01 / juicefs-upstream-run-9WTx4T</x:v>
      </x:c>
      <x:c r="N746" s="10" t="str">
        <x:v>上游原断言</x:v>
      </x:c>
    </x:row>
    <x:row r="747" ht="74" customHeight="1">
      <x:c r="A747" s="11" t="str">
        <x:v>SUBSET-20261015-drive-sync</x:v>
      </x:c>
      <x:c r="B747" s="11" t="str">
        <x:v>JFS-PY-06</x:v>
      </x:c>
      <x:c r="C747" s="11" t="str">
        <x:v>test_long_paths</x:v>
      </x:c>
      <x:c r="D747" s="11" t="str">
        <x:v>Python</x:v>
      </x:c>
      <x:c r="E747" s="11" t="str">
        <x:v>drive</x:v>
      </x:c>
      <x:c r="F747" s="11" t="str">
        <x:v>同步</x:v>
      </x:c>
      <x:c r="G747" s="20" t="d">
        <x:v>2026-10-15T00:00:00.000Z</x:v>
      </x:c>
      <x:c r="H747" s="11" t="str">
        <x:v>已通过</x:v>
      </x:c>
      <x:c r="I747" s="22"/>
      <x:c r="J747" s="11" t="str">
        <x:v>JuiceFS 1.3.0+30190ca / WinFsp 2.1.25156；测试工具 S01–S04</x:v>
      </x:c>
      <x:c r="K747" s="11" t="str">
        <x:v>JuiceFS Windows CI 子集；attr-cache=0；云端 get-timeout=5m</x:v>
      </x:c>
      <x:c r="L747" s="11" t="str">
        <x:v>e920ead94a8e28f04e326664178b0c9f02d492b1 + productChanges / plansSha256 见 E01</x:v>
      </x:c>
      <x:c r="M747" s="11" t="str">
        <x:v>E01 / juicefs-upstream-run-9WTx4T</x:v>
      </x:c>
      <x:c r="N747" s="11" t="str">
        <x:v>上游原断言</x:v>
      </x:c>
    </x:row>
    <x:row r="748" ht="74" customHeight="1">
      <x:c r="A748" s="10" t="str">
        <x:v>SUBSET-20261015-drive-sync</x:v>
      </x:c>
      <x:c r="B748" s="10" t="str">
        <x:v>JFS-PY-07</x:v>
      </x:c>
      <x:c r="C748" s="10" t="str">
        <x:v>test_rename_case_change</x:v>
      </x:c>
      <x:c r="D748" s="10" t="str">
        <x:v>Python</x:v>
      </x:c>
      <x:c r="E748" s="10" t="str">
        <x:v>drive</x:v>
      </x:c>
      <x:c r="F748" s="10" t="str">
        <x:v>同步</x:v>
      </x:c>
      <x:c r="G748" s="19" t="d">
        <x:v>2026-10-15T00:00:00.000Z</x:v>
      </x:c>
      <x:c r="H748" s="10" t="str">
        <x:v>已通过</x:v>
      </x:c>
      <x:c r="I748" s="21"/>
      <x:c r="J748" s="10" t="str">
        <x:v>JuiceFS 1.3.0+30190ca / WinFsp 2.1.25156；测试工具 S01–S04</x:v>
      </x:c>
      <x:c r="K748" s="10" t="str">
        <x:v>JuiceFS Windows CI 子集；attr-cache=0；云端 get-timeout=5m</x:v>
      </x:c>
      <x:c r="L748" s="10" t="str">
        <x:v>e920ead94a8e28f04e326664178b0c9f02d492b1 + productChanges / plansSha256 见 E01</x:v>
      </x:c>
      <x:c r="M748" s="10" t="str">
        <x:v>E01 / juicefs-upstream-run-9WTx4T</x:v>
      </x:c>
      <x:c r="N748" s="10" t="str">
        <x:v>上游原断言</x:v>
      </x:c>
    </x:row>
    <x:row r="749" ht="74" customHeight="1">
      <x:c r="A749" s="11" t="str">
        <x:v>SUBSET-20261015-drive-sync</x:v>
      </x:c>
      <x:c r="B749" s="11" t="str">
        <x:v>JFS-PY-08</x:v>
      </x:c>
      <x:c r="C749" s="11" t="str">
        <x:v>test_special_characters</x:v>
      </x:c>
      <x:c r="D749" s="11" t="str">
        <x:v>Python</x:v>
      </x:c>
      <x:c r="E749" s="11" t="str">
        <x:v>drive</x:v>
      </x:c>
      <x:c r="F749" s="11" t="str">
        <x:v>同步</x:v>
      </x:c>
      <x:c r="G749" s="20" t="d">
        <x:v>2026-10-15T00:00:00.000Z</x:v>
      </x:c>
      <x:c r="H749" s="11" t="str">
        <x:v>已通过</x:v>
      </x:c>
      <x:c r="I749" s="22"/>
      <x:c r="J749" s="11" t="str">
        <x:v>JuiceFS 1.3.0+30190ca / WinFsp 2.1.25156；测试工具 S01–S04</x:v>
      </x:c>
      <x:c r="K749" s="11" t="str">
        <x:v>JuiceFS Windows CI 子集；attr-cache=0；云端 get-timeout=5m</x:v>
      </x:c>
      <x:c r="L749" s="11" t="str">
        <x:v>e920ead94a8e28f04e326664178b0c9f02d492b1 + productChanges / plansSha256 见 E01</x:v>
      </x:c>
      <x:c r="M749" s="11" t="str">
        <x:v>E01 / juicefs-upstream-run-9WTx4T</x:v>
      </x:c>
      <x:c r="N749" s="11" t="str">
        <x:v>上游原断言</x:v>
      </x:c>
    </x:row>
    <x:row r="750" ht="74" customHeight="1">
      <x:c r="A750" s="10" t="str">
        <x:v>SUBSET-20261015-drive-sync</x:v>
      </x:c>
      <x:c r="B750" s="10" t="str">
        <x:v>JFS-PY-09</x:v>
      </x:c>
      <x:c r="C750" s="10" t="str">
        <x:v>test_symlinks</x:v>
      </x:c>
      <x:c r="D750" s="10" t="str">
        <x:v>Python</x:v>
      </x:c>
      <x:c r="E750" s="10" t="str">
        <x:v>drive</x:v>
      </x:c>
      <x:c r="F750" s="10" t="str">
        <x:v>同步</x:v>
      </x:c>
      <x:c r="G750" s="19" t="d">
        <x:v>2026-10-15T00:00:00.000Z</x:v>
      </x:c>
      <x:c r="H750" s="10" t="str">
        <x:v>已跳过</x:v>
      </x:c>
      <x:c r="I750" s="21"/>
      <x:c r="J750" s="10" t="str">
        <x:v>JuiceFS 1.3.0+30190ca / WinFsp 2.1.25156；测试工具 S01–S04</x:v>
      </x:c>
      <x:c r="K750" s="10" t="str">
        <x:v>JuiceFS Windows CI 子集；attr-cache=0；云端 get-timeout=5m</x:v>
      </x:c>
      <x:c r="L750" s="10" t="str">
        <x:v>e920ead94a8e28f04e326664178b0c9f02d492b1 + productChanges / plansSha256 见 E01</x:v>
      </x:c>
      <x:c r="M750" s="10" t="str">
        <x:v>E01 / juicefs-upstream-run-9WTx4T</x:v>
      </x:c>
      <x:c r="N750" s="10" t="str">
        <x:v>Windows Do not support</x:v>
      </x:c>
    </x:row>
    <x:row r="751" ht="74" customHeight="1">
      <x:c r="A751" s="11" t="str">
        <x:v>SUBSET-20261015-drive-sync</x:v>
      </x:c>
      <x:c r="B751" s="11" t="str">
        <x:v>WFP-01</x:v>
      </x:c>
      <x:c r="C751" s="11" t="str">
        <x:v>create_test</x:v>
      </x:c>
      <x:c r="D751" s="11" t="str">
        <x:v>WinFsp fork 默认子集</x:v>
      </x:c>
      <x:c r="E751" s="11" t="str">
        <x:v>drive</x:v>
      </x:c>
      <x:c r="F751" s="11" t="str">
        <x:v>同步</x:v>
      </x:c>
      <x:c r="G751" s="20" t="d">
        <x:v>2026-10-15T00:00:00.000Z</x:v>
      </x:c>
      <x:c r="H751" s="11" t="str">
        <x:v>已通过</x:v>
      </x:c>
      <x:c r="I751" s="22" t="n">
        <x:v>0.55</x:v>
      </x:c>
      <x:c r="J751" s="11" t="str">
        <x:v>JuiceFS 1.3.0+30190ca / WinFsp 2.1.25156；测试工具 S01–S04</x:v>
      </x:c>
      <x:c r="K751" s="11" t="str">
        <x:v>JuiceFS Windows CI 子集；attr-cache=0；云端 get-timeout=5m</x:v>
      </x:c>
      <x:c r="L751" s="11" t="str">
        <x:v>e920ead94a8e28f04e326664178b0c9f02d492b1 + productChanges / plansSha256 见 E01</x:v>
      </x:c>
      <x:c r="M751" s="11" t="str">
        <x:v>E01 / juicefs-upstream-run-9WTx4T</x:v>
      </x:c>
      <x:c r="N751" s="11" t="str">
        <x:v>--fuse-external --resilient --case-insensitive-cmp</x:v>
      </x:c>
    </x:row>
    <x:row r="752" ht="74" customHeight="1">
      <x:c r="A752" s="10" t="str">
        <x:v>SUBSET-20261015-drive-sync</x:v>
      </x:c>
      <x:c r="B752" s="10" t="str">
        <x:v>WFP-02</x:v>
      </x:c>
      <x:c r="C752" s="10" t="str">
        <x:v>create_fileattr_test</x:v>
      </x:c>
      <x:c r="D752" s="10" t="str">
        <x:v>WinFsp fork 默认子集</x:v>
      </x:c>
      <x:c r="E752" s="10" t="str">
        <x:v>drive</x:v>
      </x:c>
      <x:c r="F752" s="10" t="str">
        <x:v>同步</x:v>
      </x:c>
      <x:c r="G752" s="19" t="d">
        <x:v>2026-10-15T00:00:00.000Z</x:v>
      </x:c>
      <x:c r="H752" s="10" t="str">
        <x:v>已通过</x:v>
      </x:c>
      <x:c r="I752" s="21" t="n">
        <x:v>0.981</x:v>
      </x:c>
      <x:c r="J752" s="10" t="str">
        <x:v>JuiceFS 1.3.0+30190ca / WinFsp 2.1.25156；测试工具 S01–S04</x:v>
      </x:c>
      <x:c r="K752" s="10" t="str">
        <x:v>JuiceFS Windows CI 子集；attr-cache=0；云端 get-timeout=5m</x:v>
      </x:c>
      <x:c r="L752" s="10" t="str">
        <x:v>e920ead94a8e28f04e326664178b0c9f02d492b1 + productChanges / plansSha256 见 E01</x:v>
      </x:c>
      <x:c r="M752" s="10" t="str">
        <x:v>E01 / juicefs-upstream-run-9WTx4T</x:v>
      </x:c>
      <x:c r="N752" s="10" t="str">
        <x:v>--fuse-external --resilient --case-insensitive-cmp</x:v>
      </x:c>
    </x:row>
    <x:row r="753" ht="74" customHeight="1">
      <x:c r="A753" s="11" t="str">
        <x:v>SUBSET-20261015-drive-sync</x:v>
      </x:c>
      <x:c r="B753" s="11" t="str">
        <x:v>WFP-03</x:v>
      </x:c>
      <x:c r="C753" s="11" t="str">
        <x:v>create_readonlydir_test</x:v>
      </x:c>
      <x:c r="D753" s="11" t="str">
        <x:v>WinFsp fork 默认子集</x:v>
      </x:c>
      <x:c r="E753" s="11" t="str">
        <x:v>drive</x:v>
      </x:c>
      <x:c r="F753" s="11" t="str">
        <x:v>同步</x:v>
      </x:c>
      <x:c r="G753" s="20" t="d">
        <x:v>2026-10-15T00:00:00.000Z</x:v>
      </x:c>
      <x:c r="H753" s="11" t="str">
        <x:v>已通过</x:v>
      </x:c>
      <x:c r="I753" s="22" t="n">
        <x:v>0.939</x:v>
      </x:c>
      <x:c r="J753" s="11" t="str">
        <x:v>JuiceFS 1.3.0+30190ca / WinFsp 2.1.25156；测试工具 S01–S04</x:v>
      </x:c>
      <x:c r="K753" s="11" t="str">
        <x:v>JuiceFS Windows CI 子集；attr-cache=0；云端 get-timeout=5m</x:v>
      </x:c>
      <x:c r="L753" s="11" t="str">
        <x:v>e920ead94a8e28f04e326664178b0c9f02d492b1 + productChanges / plansSha256 见 E01</x:v>
      </x:c>
      <x:c r="M753" s="11" t="str">
        <x:v>E01 / juicefs-upstream-run-9WTx4T</x:v>
      </x:c>
      <x:c r="N753" s="11" t="str">
        <x:v>--fuse-external --resilient --case-insensitive-cmp</x:v>
      </x:c>
    </x:row>
    <x:row r="754" ht="74" customHeight="1">
      <x:c r="A754" s="10" t="str">
        <x:v>SUBSET-20261015-drive-sync</x:v>
      </x:c>
      <x:c r="B754" s="10" t="str">
        <x:v>WFP-04</x:v>
      </x:c>
      <x:c r="C754" s="10" t="str">
        <x:v>create_related_test</x:v>
      </x:c>
      <x:c r="D754" s="10" t="str">
        <x:v>WinFsp fork 默认子集</x:v>
      </x:c>
      <x:c r="E754" s="10" t="str">
        <x:v>drive</x:v>
      </x:c>
      <x:c r="F754" s="10" t="str">
        <x:v>同步</x:v>
      </x:c>
      <x:c r="G754" s="19" t="d">
        <x:v>2026-10-15T00:00:00.000Z</x:v>
      </x:c>
      <x:c r="H754" s="10" t="str">
        <x:v>已通过</x:v>
      </x:c>
      <x:c r="I754" s="21" t="n">
        <x:v>0.462</x:v>
      </x:c>
      <x:c r="J754" s="10" t="str">
        <x:v>JuiceFS 1.3.0+30190ca / WinFsp 2.1.25156；测试工具 S01–S04</x:v>
      </x:c>
      <x:c r="K754" s="10" t="str">
        <x:v>JuiceFS Windows CI 子集；attr-cache=0；云端 get-timeout=5m</x:v>
      </x:c>
      <x:c r="L754" s="10" t="str">
        <x:v>e920ead94a8e28f04e326664178b0c9f02d492b1 + productChanges / plansSha256 见 E01</x:v>
      </x:c>
      <x:c r="M754" s="10" t="str">
        <x:v>E01 / juicefs-upstream-run-9WTx4T</x:v>
      </x:c>
      <x:c r="N754" s="10" t="str">
        <x:v>--fuse-external --resilient --case-insensitive-cmp</x:v>
      </x:c>
    </x:row>
    <x:row r="755" ht="74" customHeight="1">
      <x:c r="A755" s="11" t="str">
        <x:v>SUBSET-20261015-drive-sync</x:v>
      </x:c>
      <x:c r="B755" s="11" t="str">
        <x:v>WFP-05</x:v>
      </x:c>
      <x:c r="C755" s="11" t="str">
        <x:v>create_sd_test</x:v>
      </x:c>
      <x:c r="D755" s="11" t="str">
        <x:v>WinFsp fork 默认子集</x:v>
      </x:c>
      <x:c r="E755" s="11" t="str">
        <x:v>drive</x:v>
      </x:c>
      <x:c r="F755" s="11" t="str">
        <x:v>同步</x:v>
      </x:c>
      <x:c r="G755" s="20" t="d">
        <x:v>2026-10-15T00:00:00.000Z</x:v>
      </x:c>
      <x:c r="H755" s="11" t="str">
        <x:v>已通过</x:v>
      </x:c>
      <x:c r="I755" s="22" t="n">
        <x:v>0.654</x:v>
      </x:c>
      <x:c r="J755" s="11" t="str">
        <x:v>JuiceFS 1.3.0+30190ca / WinFsp 2.1.25156；测试工具 S01–S04</x:v>
      </x:c>
      <x:c r="K755" s="11" t="str">
        <x:v>JuiceFS Windows CI 子集；attr-cache=0；云端 get-timeout=5m</x:v>
      </x:c>
      <x:c r="L755" s="11" t="str">
        <x:v>e920ead94a8e28f04e326664178b0c9f02d492b1 + productChanges / plansSha256 见 E01</x:v>
      </x:c>
      <x:c r="M755" s="11" t="str">
        <x:v>E01 / juicefs-upstream-run-9WTx4T</x:v>
      </x:c>
      <x:c r="N755" s="11" t="str">
        <x:v>--fuse-external --resilient --case-insensitive-cmp</x:v>
      </x:c>
    </x:row>
    <x:row r="756" ht="74" customHeight="1">
      <x:c r="A756" s="10" t="str">
        <x:v>SUBSET-20261015-drive-sync</x:v>
      </x:c>
      <x:c r="B756" s="10" t="str">
        <x:v>WFP-06</x:v>
      </x:c>
      <x:c r="C756" s="10" t="str">
        <x:v>create_share_test</x:v>
      </x:c>
      <x:c r="D756" s="10" t="str">
        <x:v>WinFsp fork 默认子集</x:v>
      </x:c>
      <x:c r="E756" s="10" t="str">
        <x:v>drive</x:v>
      </x:c>
      <x:c r="F756" s="10" t="str">
        <x:v>同步</x:v>
      </x:c>
      <x:c r="G756" s="19" t="d">
        <x:v>2026-10-15T00:00:00.000Z</x:v>
      </x:c>
      <x:c r="H756" s="10" t="str">
        <x:v>已通过</x:v>
      </x:c>
      <x:c r="I756" s="21" t="n">
        <x:v>1.044</x:v>
      </x:c>
      <x:c r="J756" s="10" t="str">
        <x:v>JuiceFS 1.3.0+30190ca / WinFsp 2.1.25156；测试工具 S01–S04</x:v>
      </x:c>
      <x:c r="K756" s="10" t="str">
        <x:v>JuiceFS Windows CI 子集；attr-cache=0；云端 get-timeout=5m</x:v>
      </x:c>
      <x:c r="L756" s="10" t="str">
        <x:v>e920ead94a8e28f04e326664178b0c9f02d492b1 + productChanges / plansSha256 见 E01</x:v>
      </x:c>
      <x:c r="M756" s="10" t="str">
        <x:v>E01 / juicefs-upstream-run-9WTx4T</x:v>
      </x:c>
      <x:c r="N756" s="10" t="str">
        <x:v>--fuse-external --resilient --case-insensitive-cmp</x:v>
      </x:c>
    </x:row>
    <x:row r="757" ht="74" customHeight="1">
      <x:c r="A757" s="11" t="str">
        <x:v>SUBSET-20261015-drive-sync</x:v>
      </x:c>
      <x:c r="B757" s="11" t="str">
        <x:v>WFP-07</x:v>
      </x:c>
      <x:c r="C757" s="11" t="str">
        <x:v>create_curdir_test</x:v>
      </x:c>
      <x:c r="D757" s="11" t="str">
        <x:v>WinFsp fork 默认子集</x:v>
      </x:c>
      <x:c r="E757" s="11" t="str">
        <x:v>drive</x:v>
      </x:c>
      <x:c r="F757" s="11" t="str">
        <x:v>同步</x:v>
      </x:c>
      <x:c r="G757" s="20" t="d">
        <x:v>2026-10-15T00:00:00.000Z</x:v>
      </x:c>
      <x:c r="H757" s="11" t="str">
        <x:v>已通过</x:v>
      </x:c>
      <x:c r="I757" s="22" t="n">
        <x:v>0.976</x:v>
      </x:c>
      <x:c r="J757" s="11" t="str">
        <x:v>JuiceFS 1.3.0+30190ca / WinFsp 2.1.25156；测试工具 S01–S04</x:v>
      </x:c>
      <x:c r="K757" s="11" t="str">
        <x:v>JuiceFS Windows CI 子集；attr-cache=0；云端 get-timeout=5m</x:v>
      </x:c>
      <x:c r="L757" s="11" t="str">
        <x:v>e920ead94a8e28f04e326664178b0c9f02d492b1 + productChanges / plansSha256 见 E01</x:v>
      </x:c>
      <x:c r="M757" s="11" t="str">
        <x:v>E01 / juicefs-upstream-run-9WTx4T</x:v>
      </x:c>
      <x:c r="N757" s="11" t="str">
        <x:v>--fuse-external --resilient --case-insensitive-cmp</x:v>
      </x:c>
    </x:row>
    <x:row r="758" ht="74" customHeight="1">
      <x:c r="A758" s="10" t="str">
        <x:v>SUBSET-20261015-drive-sync</x:v>
      </x:c>
      <x:c r="B758" s="10" t="str">
        <x:v>WFP-08</x:v>
      </x:c>
      <x:c r="C758" s="10" t="str">
        <x:v>getfileinfo_test</x:v>
      </x:c>
      <x:c r="D758" s="10" t="str">
        <x:v>WinFsp fork 默认子集</x:v>
      </x:c>
      <x:c r="E758" s="10" t="str">
        <x:v>drive</x:v>
      </x:c>
      <x:c r="F758" s="10" t="str">
        <x:v>同步</x:v>
      </x:c>
      <x:c r="G758" s="19" t="d">
        <x:v>2026-10-15T00:00:00.000Z</x:v>
      </x:c>
      <x:c r="H758" s="10" t="str">
        <x:v>已通过</x:v>
      </x:c>
      <x:c r="I758" s="21" t="n">
        <x:v>0.992</x:v>
      </x:c>
      <x:c r="J758" s="10" t="str">
        <x:v>JuiceFS 1.3.0+30190ca / WinFsp 2.1.25156；测试工具 S01–S04</x:v>
      </x:c>
      <x:c r="K758" s="10" t="str">
        <x:v>JuiceFS Windows CI 子集；attr-cache=0；云端 get-timeout=5m</x:v>
      </x:c>
      <x:c r="L758" s="10" t="str">
        <x:v>e920ead94a8e28f04e326664178b0c9f02d492b1 + productChanges / plansSha256 见 E01</x:v>
      </x:c>
      <x:c r="M758" s="10" t="str">
        <x:v>E01 / juicefs-upstream-run-9WTx4T</x:v>
      </x:c>
      <x:c r="N758" s="10" t="str">
        <x:v>--fuse-external --resilient --case-insensitive-cmp</x:v>
      </x:c>
    </x:row>
    <x:row r="759" ht="74" customHeight="1">
      <x:c r="A759" s="11" t="str">
        <x:v>SUBSET-20261015-drive-sync</x:v>
      </x:c>
      <x:c r="B759" s="11" t="str">
        <x:v>WFP-09</x:v>
      </x:c>
      <x:c r="C759" s="11" t="str">
        <x:v>setfileinfo_test</x:v>
      </x:c>
      <x:c r="D759" s="11" t="str">
        <x:v>WinFsp fork 默认子集</x:v>
      </x:c>
      <x:c r="E759" s="11" t="str">
        <x:v>drive</x:v>
      </x:c>
      <x:c r="F759" s="11" t="str">
        <x:v>同步</x:v>
      </x:c>
      <x:c r="G759" s="20" t="d">
        <x:v>2026-10-15T00:00:00.000Z</x:v>
      </x:c>
      <x:c r="H759" s="11" t="str">
        <x:v>已通过</x:v>
      </x:c>
      <x:c r="I759" s="22" t="n">
        <x:v>1.021</x:v>
      </x:c>
      <x:c r="J759" s="11" t="str">
        <x:v>JuiceFS 1.3.0+30190ca / WinFsp 2.1.25156；测试工具 S01–S04</x:v>
      </x:c>
      <x:c r="K759" s="11" t="str">
        <x:v>JuiceFS Windows CI 子集；attr-cache=0；云端 get-timeout=5m</x:v>
      </x:c>
      <x:c r="L759" s="11" t="str">
        <x:v>e920ead94a8e28f04e326664178b0c9f02d492b1 + productChanges / plansSha256 见 E01</x:v>
      </x:c>
      <x:c r="M759" s="11" t="str">
        <x:v>E01 / juicefs-upstream-run-9WTx4T</x:v>
      </x:c>
      <x:c r="N759" s="11" t="str">
        <x:v>--fuse-external --resilient --case-insensitive-cmp</x:v>
      </x:c>
    </x:row>
    <x:row r="760" ht="74" customHeight="1">
      <x:c r="A760" s="10" t="str">
        <x:v>SUBSET-20261015-drive-sync</x:v>
      </x:c>
      <x:c r="B760" s="10" t="str">
        <x:v>WFP-10</x:v>
      </x:c>
      <x:c r="C760" s="10" t="str">
        <x:v>delete_test</x:v>
      </x:c>
      <x:c r="D760" s="10" t="str">
        <x:v>WinFsp fork 默认子集</x:v>
      </x:c>
      <x:c r="E760" s="10" t="str">
        <x:v>drive</x:v>
      </x:c>
      <x:c r="F760" s="10" t="str">
        <x:v>同步</x:v>
      </x:c>
      <x:c r="G760" s="19" t="d">
        <x:v>2026-10-15T00:00:00.000Z</x:v>
      </x:c>
      <x:c r="H760" s="10" t="str">
        <x:v>已通过</x:v>
      </x:c>
      <x:c r="I760" s="21" t="n">
        <x:v>0.439</x:v>
      </x:c>
      <x:c r="J760" s="10" t="str">
        <x:v>JuiceFS 1.3.0+30190ca / WinFsp 2.1.25156；测试工具 S01–S04</x:v>
      </x:c>
      <x:c r="K760" s="10" t="str">
        <x:v>JuiceFS Windows CI 子集；attr-cache=0；云端 get-timeout=5m</x:v>
      </x:c>
      <x:c r="L760" s="10" t="str">
        <x:v>e920ead94a8e28f04e326664178b0c9f02d492b1 + productChanges / plansSha256 见 E01</x:v>
      </x:c>
      <x:c r="M760" s="10" t="str">
        <x:v>E01 / juicefs-upstream-run-9WTx4T</x:v>
      </x:c>
      <x:c r="N760" s="10" t="str">
        <x:v>--fuse-external --resilient --case-insensitive-cmp</x:v>
      </x:c>
    </x:row>
    <x:row r="761" ht="74" customHeight="1">
      <x:c r="A761" s="11" t="str">
        <x:v>SUBSET-20261015-drive-sync</x:v>
      </x:c>
      <x:c r="B761" s="11" t="str">
        <x:v>WFP-11</x:v>
      </x:c>
      <x:c r="C761" s="11" t="str">
        <x:v>delete_access_test</x:v>
      </x:c>
      <x:c r="D761" s="11" t="str">
        <x:v>WinFsp fork 默认子集</x:v>
      </x:c>
      <x:c r="E761" s="11" t="str">
        <x:v>drive</x:v>
      </x:c>
      <x:c r="F761" s="11" t="str">
        <x:v>同步</x:v>
      </x:c>
      <x:c r="G761" s="20" t="d">
        <x:v>2026-10-15T00:00:00.000Z</x:v>
      </x:c>
      <x:c r="H761" s="11" t="str">
        <x:v>已通过</x:v>
      </x:c>
      <x:c r="I761" s="22" t="n">
        <x:v>0.572</x:v>
      </x:c>
      <x:c r="J761" s="11" t="str">
        <x:v>JuiceFS 1.3.0+30190ca / WinFsp 2.1.25156；测试工具 S01–S04</x:v>
      </x:c>
      <x:c r="K761" s="11" t="str">
        <x:v>JuiceFS Windows CI 子集；attr-cache=0；云端 get-timeout=5m</x:v>
      </x:c>
      <x:c r="L761" s="11" t="str">
        <x:v>e920ead94a8e28f04e326664178b0c9f02d492b1 + productChanges / plansSha256 见 E01</x:v>
      </x:c>
      <x:c r="M761" s="11" t="str">
        <x:v>E01 / juicefs-upstream-run-9WTx4T</x:v>
      </x:c>
      <x:c r="N761" s="11" t="str">
        <x:v>--fuse-external --resilient --case-insensitive-cmp</x:v>
      </x:c>
    </x:row>
    <x:row r="762" ht="74" customHeight="1">
      <x:c r="A762" s="10" t="str">
        <x:v>SUBSET-20261015-drive-sync</x:v>
      </x:c>
      <x:c r="B762" s="10" t="str">
        <x:v>WFP-12</x:v>
      </x:c>
      <x:c r="C762" s="10" t="str">
        <x:v>delete_pending_test</x:v>
      </x:c>
      <x:c r="D762" s="10" t="str">
        <x:v>WinFsp fork 默认子集</x:v>
      </x:c>
      <x:c r="E762" s="10" t="str">
        <x:v>drive</x:v>
      </x:c>
      <x:c r="F762" s="10" t="str">
        <x:v>同步</x:v>
      </x:c>
      <x:c r="G762" s="19" t="d">
        <x:v>2026-10-15T00:00:00.000Z</x:v>
      </x:c>
      <x:c r="H762" s="10" t="str">
        <x:v>已通过</x:v>
      </x:c>
      <x:c r="I762" s="21" t="n">
        <x:v>0.486</x:v>
      </x:c>
      <x:c r="J762" s="10" t="str">
        <x:v>JuiceFS 1.3.0+30190ca / WinFsp 2.1.25156；测试工具 S01–S04</x:v>
      </x:c>
      <x:c r="K762" s="10" t="str">
        <x:v>JuiceFS Windows CI 子集；attr-cache=0；云端 get-timeout=5m</x:v>
      </x:c>
      <x:c r="L762" s="10" t="str">
        <x:v>e920ead94a8e28f04e326664178b0c9f02d492b1 + productChanges / plansSha256 见 E01</x:v>
      </x:c>
      <x:c r="M762" s="10" t="str">
        <x:v>E01 / juicefs-upstream-run-9WTx4T</x:v>
      </x:c>
      <x:c r="N762" s="10" t="str">
        <x:v>--fuse-external --resilient --case-insensitive-cmp</x:v>
      </x:c>
    </x:row>
    <x:row r="763" ht="74" customHeight="1">
      <x:c r="A763" s="11" t="str">
        <x:v>SUBSET-20261015-drive-sync</x:v>
      </x:c>
      <x:c r="B763" s="11" t="str">
        <x:v>WFP-13</x:v>
      </x:c>
      <x:c r="C763" s="11" t="str">
        <x:v>delete_mmap_test</x:v>
      </x:c>
      <x:c r="D763" s="11" t="str">
        <x:v>WinFsp fork 默认子集</x:v>
      </x:c>
      <x:c r="E763" s="11" t="str">
        <x:v>drive</x:v>
      </x:c>
      <x:c r="F763" s="11" t="str">
        <x:v>同步</x:v>
      </x:c>
      <x:c r="G763" s="20" t="d">
        <x:v>2026-10-15T00:00:00.000Z</x:v>
      </x:c>
      <x:c r="H763" s="11" t="str">
        <x:v>已通过</x:v>
      </x:c>
      <x:c r="I763" s="22" t="n">
        <x:v>0.964</x:v>
      </x:c>
      <x:c r="J763" s="11" t="str">
        <x:v>JuiceFS 1.3.0+30190ca / WinFsp 2.1.25156；测试工具 S01–S04</x:v>
      </x:c>
      <x:c r="K763" s="11" t="str">
        <x:v>JuiceFS Windows CI 子集；attr-cache=0；云端 get-timeout=5m</x:v>
      </x:c>
      <x:c r="L763" s="11" t="str">
        <x:v>e920ead94a8e28f04e326664178b0c9f02d492b1 + productChanges / plansSha256 见 E01</x:v>
      </x:c>
      <x:c r="M763" s="11" t="str">
        <x:v>E01 / juicefs-upstream-run-9WTx4T</x:v>
      </x:c>
      <x:c r="N763" s="11" t="str">
        <x:v>--fuse-external --resilient --case-insensitive-cmp</x:v>
      </x:c>
    </x:row>
    <x:row r="764" ht="74" customHeight="1">
      <x:c r="A764" s="10" t="str">
        <x:v>SUBSET-20261015-drive-sync</x:v>
      </x:c>
      <x:c r="B764" s="10" t="str">
        <x:v>WFP-14</x:v>
      </x:c>
      <x:c r="C764" s="10" t="str">
        <x:v>delete_standby_test</x:v>
      </x:c>
      <x:c r="D764" s="10" t="str">
        <x:v>WinFsp fork 默认子集</x:v>
      </x:c>
      <x:c r="E764" s="10" t="str">
        <x:v>drive</x:v>
      </x:c>
      <x:c r="F764" s="10" t="str">
        <x:v>同步</x:v>
      </x:c>
      <x:c r="G764" s="19" t="d">
        <x:v>2026-10-15T00:00:00.000Z</x:v>
      </x:c>
      <x:c r="H764" s="10" t="str">
        <x:v>已通过</x:v>
      </x:c>
      <x:c r="I764" s="21" t="n">
        <x:v>0.756</x:v>
      </x:c>
      <x:c r="J764" s="10" t="str">
        <x:v>JuiceFS 1.3.0+30190ca / WinFsp 2.1.25156；测试工具 S01–S04</x:v>
      </x:c>
      <x:c r="K764" s="10" t="str">
        <x:v>JuiceFS Windows CI 子集；attr-cache=0；云端 get-timeout=5m</x:v>
      </x:c>
      <x:c r="L764" s="10" t="str">
        <x:v>e920ead94a8e28f04e326664178b0c9f02d492b1 + productChanges / plansSha256 见 E01</x:v>
      </x:c>
      <x:c r="M764" s="10" t="str">
        <x:v>E01 / juicefs-upstream-run-9WTx4T</x:v>
      </x:c>
      <x:c r="N764" s="10" t="str">
        <x:v>--fuse-external --resilient --case-insensitive-cmp</x:v>
      </x:c>
    </x:row>
    <x:row r="765" ht="74" customHeight="1">
      <x:c r="A765" s="11" t="str">
        <x:v>SUBSET-20261015-drive-sync</x:v>
      </x:c>
      <x:c r="B765" s="11" t="str">
        <x:v>WFP-15</x:v>
      </x:c>
      <x:c r="C765" s="11" t="str">
        <x:v>delete_ex_test</x:v>
      </x:c>
      <x:c r="D765" s="11" t="str">
        <x:v>WinFsp fork 默认子集</x:v>
      </x:c>
      <x:c r="E765" s="11" t="str">
        <x:v>drive</x:v>
      </x:c>
      <x:c r="F765" s="11" t="str">
        <x:v>同步</x:v>
      </x:c>
      <x:c r="G765" s="20" t="d">
        <x:v>2026-10-15T00:00:00.000Z</x:v>
      </x:c>
      <x:c r="H765" s="11" t="str">
        <x:v>已通过</x:v>
      </x:c>
      <x:c r="I765" s="22" t="n">
        <x:v>0.998</x:v>
      </x:c>
      <x:c r="J765" s="11" t="str">
        <x:v>JuiceFS 1.3.0+30190ca / WinFsp 2.1.25156；测试工具 S01–S04</x:v>
      </x:c>
      <x:c r="K765" s="11" t="str">
        <x:v>JuiceFS Windows CI 子集；attr-cache=0；云端 get-timeout=5m</x:v>
      </x:c>
      <x:c r="L765" s="11" t="str">
        <x:v>e920ead94a8e28f04e326664178b0c9f02d492b1 + productChanges / plansSha256 见 E01</x:v>
      </x:c>
      <x:c r="M765" s="11" t="str">
        <x:v>E01 / juicefs-upstream-run-9WTx4T</x:v>
      </x:c>
      <x:c r="N765" s="11" t="str">
        <x:v>--fuse-external --resilient --case-insensitive-cmp</x:v>
      </x:c>
    </x:row>
    <x:row r="766" ht="74" customHeight="1">
      <x:c r="A766" s="10" t="str">
        <x:v>SUBSET-20261015-drive-sync</x:v>
      </x:c>
      <x:c r="B766" s="10" t="str">
        <x:v>WFP-16</x:v>
      </x:c>
      <x:c r="C766" s="10" t="str">
        <x:v>rename_test</x:v>
      </x:c>
      <x:c r="D766" s="10" t="str">
        <x:v>WinFsp fork 默认子集</x:v>
      </x:c>
      <x:c r="E766" s="10" t="str">
        <x:v>drive</x:v>
      </x:c>
      <x:c r="F766" s="10" t="str">
        <x:v>同步</x:v>
      </x:c>
      <x:c r="G766" s="19" t="d">
        <x:v>2026-10-15T00:00:00.000Z</x:v>
      </x:c>
      <x:c r="H766" s="10" t="str">
        <x:v>已通过</x:v>
      </x:c>
      <x:c r="I766" s="21" t="n">
        <x:v>1.217</x:v>
      </x:c>
      <x:c r="J766" s="10" t="str">
        <x:v>JuiceFS 1.3.0+30190ca / WinFsp 2.1.25156；测试工具 S01–S04</x:v>
      </x:c>
      <x:c r="K766" s="10" t="str">
        <x:v>JuiceFS Windows CI 子集；attr-cache=0；云端 get-timeout=5m</x:v>
      </x:c>
      <x:c r="L766" s="10" t="str">
        <x:v>e920ead94a8e28f04e326664178b0c9f02d492b1 + productChanges / plansSha256 见 E01</x:v>
      </x:c>
      <x:c r="M766" s="10" t="str">
        <x:v>E01 / juicefs-upstream-run-9WTx4T</x:v>
      </x:c>
      <x:c r="N766" s="10" t="str">
        <x:v>--fuse-external --resilient --case-insensitive-cmp</x:v>
      </x:c>
    </x:row>
    <x:row r="767" ht="74" customHeight="1">
      <x:c r="A767" s="11" t="str">
        <x:v>SUBSET-20261015-drive-sync</x:v>
      </x:c>
      <x:c r="B767" s="11" t="str">
        <x:v>WFP-17</x:v>
      </x:c>
      <x:c r="C767" s="11" t="str">
        <x:v>rename_backslash_test</x:v>
      </x:c>
      <x:c r="D767" s="11" t="str">
        <x:v>WinFsp fork 默认子集</x:v>
      </x:c>
      <x:c r="E767" s="11" t="str">
        <x:v>drive</x:v>
      </x:c>
      <x:c r="F767" s="11" t="str">
        <x:v>同步</x:v>
      </x:c>
      <x:c r="G767" s="20" t="d">
        <x:v>2026-10-15T00:00:00.000Z</x:v>
      </x:c>
      <x:c r="H767" s="11" t="str">
        <x:v>已通过</x:v>
      </x:c>
      <x:c r="I767" s="22" t="n">
        <x:v>0.929</x:v>
      </x:c>
      <x:c r="J767" s="11" t="str">
        <x:v>JuiceFS 1.3.0+30190ca / WinFsp 2.1.25156；测试工具 S01–S04</x:v>
      </x:c>
      <x:c r="K767" s="11" t="str">
        <x:v>JuiceFS Windows CI 子集；attr-cache=0；云端 get-timeout=5m</x:v>
      </x:c>
      <x:c r="L767" s="11" t="str">
        <x:v>e920ead94a8e28f04e326664178b0c9f02d492b1 + productChanges / plansSha256 见 E01</x:v>
      </x:c>
      <x:c r="M767" s="11" t="str">
        <x:v>E01 / juicefs-upstream-run-9WTx4T</x:v>
      </x:c>
      <x:c r="N767" s="11" t="str">
        <x:v>--fuse-external --resilient --case-insensitive-cmp</x:v>
      </x:c>
    </x:row>
    <x:row r="768" ht="74" customHeight="1">
      <x:c r="A768" s="10" t="str">
        <x:v>SUBSET-20261015-drive-sync</x:v>
      </x:c>
      <x:c r="B768" s="10" t="str">
        <x:v>WFP-18</x:v>
      </x:c>
      <x:c r="C768" s="10" t="str">
        <x:v>rename_open_test</x:v>
      </x:c>
      <x:c r="D768" s="10" t="str">
        <x:v>WinFsp fork 默认子集</x:v>
      </x:c>
      <x:c r="E768" s="10" t="str">
        <x:v>drive</x:v>
      </x:c>
      <x:c r="F768" s="10" t="str">
        <x:v>同步</x:v>
      </x:c>
      <x:c r="G768" s="19" t="d">
        <x:v>2026-10-15T00:00:00.000Z</x:v>
      </x:c>
      <x:c r="H768" s="10" t="str">
        <x:v>已通过</x:v>
      </x:c>
      <x:c r="I768" s="21" t="n">
        <x:v>0.968</x:v>
      </x:c>
      <x:c r="J768" s="10" t="str">
        <x:v>JuiceFS 1.3.0+30190ca / WinFsp 2.1.25156；测试工具 S01–S04</x:v>
      </x:c>
      <x:c r="K768" s="10" t="str">
        <x:v>JuiceFS Windows CI 子集；attr-cache=0；云端 get-timeout=5m</x:v>
      </x:c>
      <x:c r="L768" s="10" t="str">
        <x:v>e920ead94a8e28f04e326664178b0c9f02d492b1 + productChanges / plansSha256 见 E01</x:v>
      </x:c>
      <x:c r="M768" s="10" t="str">
        <x:v>E01 / juicefs-upstream-run-9WTx4T</x:v>
      </x:c>
      <x:c r="N768" s="10" t="str">
        <x:v>--fuse-external --resilient --case-insensitive-cmp</x:v>
      </x:c>
    </x:row>
    <x:row r="769" ht="74" customHeight="1">
      <x:c r="A769" s="11" t="str">
        <x:v>SUBSET-20261015-drive-sync</x:v>
      </x:c>
      <x:c r="B769" s="11" t="str">
        <x:v>WFP-19</x:v>
      </x:c>
      <x:c r="C769" s="11" t="str">
        <x:v>rename_caseins_test</x:v>
      </x:c>
      <x:c r="D769" s="11" t="str">
        <x:v>WinFsp fork 默认子集</x:v>
      </x:c>
      <x:c r="E769" s="11" t="str">
        <x:v>drive</x:v>
      </x:c>
      <x:c r="F769" s="11" t="str">
        <x:v>同步</x:v>
      </x:c>
      <x:c r="G769" s="20" t="d">
        <x:v>2026-10-15T00:00:00.000Z</x:v>
      </x:c>
      <x:c r="H769" s="11" t="str">
        <x:v>已通过</x:v>
      </x:c>
      <x:c r="I769" s="22" t="n">
        <x:v>0.982</x:v>
      </x:c>
      <x:c r="J769" s="11" t="str">
        <x:v>JuiceFS 1.3.0+30190ca / WinFsp 2.1.25156；测试工具 S01–S04</x:v>
      </x:c>
      <x:c r="K769" s="11" t="str">
        <x:v>JuiceFS Windows CI 子集；attr-cache=0；云端 get-timeout=5m</x:v>
      </x:c>
      <x:c r="L769" s="11" t="str">
        <x:v>e920ead94a8e28f04e326664178b0c9f02d492b1 + productChanges / plansSha256 见 E01</x:v>
      </x:c>
      <x:c r="M769" s="11" t="str">
        <x:v>E01 / juicefs-upstream-run-9WTx4T</x:v>
      </x:c>
      <x:c r="N769" s="11" t="str">
        <x:v>--fuse-external --resilient --case-insensitive-cmp</x:v>
      </x:c>
    </x:row>
    <x:row r="770" ht="74" customHeight="1">
      <x:c r="A770" s="10" t="str">
        <x:v>SUBSET-20261015-drive-sync</x:v>
      </x:c>
      <x:c r="B770" s="10" t="str">
        <x:v>WFP-20</x:v>
      </x:c>
      <x:c r="C770" s="10" t="str">
        <x:v>rename_flipflop_test</x:v>
      </x:c>
      <x:c r="D770" s="10" t="str">
        <x:v>WinFsp fork 默认子集</x:v>
      </x:c>
      <x:c r="E770" s="10" t="str">
        <x:v>drive</x:v>
      </x:c>
      <x:c r="F770" s="10" t="str">
        <x:v>同步</x:v>
      </x:c>
      <x:c r="G770" s="19" t="d">
        <x:v>2026-10-15T00:00:00.000Z</x:v>
      </x:c>
      <x:c r="H770" s="10" t="str">
        <x:v>已通过</x:v>
      </x:c>
      <x:c r="I770" s="21" t="n">
        <x:v>0.507</x:v>
      </x:c>
      <x:c r="J770" s="10" t="str">
        <x:v>JuiceFS 1.3.0+30190ca / WinFsp 2.1.25156；测试工具 S01–S04</x:v>
      </x:c>
      <x:c r="K770" s="10" t="str">
        <x:v>JuiceFS Windows CI 子集；attr-cache=0；云端 get-timeout=5m</x:v>
      </x:c>
      <x:c r="L770" s="10" t="str">
        <x:v>e920ead94a8e28f04e326664178b0c9f02d492b1 + productChanges / plansSha256 见 E01</x:v>
      </x:c>
      <x:c r="M770" s="10" t="str">
        <x:v>E01 / juicefs-upstream-run-9WTx4T</x:v>
      </x:c>
      <x:c r="N770" s="10" t="str">
        <x:v>--fuse-external --resilient --case-insensitive-cmp</x:v>
      </x:c>
    </x:row>
    <x:row r="771" ht="74" customHeight="1">
      <x:c r="A771" s="11" t="str">
        <x:v>SUBSET-20261015-drive-sync</x:v>
      </x:c>
      <x:c r="B771" s="11" t="str">
        <x:v>WFP-21</x:v>
      </x:c>
      <x:c r="C771" s="11" t="str">
        <x:v>rename_mmap_test</x:v>
      </x:c>
      <x:c r="D771" s="11" t="str">
        <x:v>WinFsp fork 默认子集</x:v>
      </x:c>
      <x:c r="E771" s="11" t="str">
        <x:v>drive</x:v>
      </x:c>
      <x:c r="F771" s="11" t="str">
        <x:v>同步</x:v>
      </x:c>
      <x:c r="G771" s="20" t="d">
        <x:v>2026-10-15T00:00:00.000Z</x:v>
      </x:c>
      <x:c r="H771" s="11" t="str">
        <x:v>已通过</x:v>
      </x:c>
      <x:c r="I771" s="22" t="n">
        <x:v>0.481</x:v>
      </x:c>
      <x:c r="J771" s="11" t="str">
        <x:v>JuiceFS 1.3.0+30190ca / WinFsp 2.1.25156；测试工具 S01–S04</x:v>
      </x:c>
      <x:c r="K771" s="11" t="str">
        <x:v>JuiceFS Windows CI 子集；attr-cache=0；云端 get-timeout=5m</x:v>
      </x:c>
      <x:c r="L771" s="11" t="str">
        <x:v>e920ead94a8e28f04e326664178b0c9f02d492b1 + productChanges / plansSha256 见 E01</x:v>
      </x:c>
      <x:c r="M771" s="11" t="str">
        <x:v>E01 / juicefs-upstream-run-9WTx4T</x:v>
      </x:c>
      <x:c r="N771" s="11" t="str">
        <x:v>--fuse-external --resilient --case-insensitive-cmp</x:v>
      </x:c>
    </x:row>
    <x:row r="772" ht="74" customHeight="1">
      <x:c r="A772" s="10" t="str">
        <x:v>SUBSET-20261015-drive-sync</x:v>
      </x:c>
      <x:c r="B772" s="10" t="str">
        <x:v>WFP-22</x:v>
      </x:c>
      <x:c r="C772" s="10" t="str">
        <x:v>rename_standby_test</x:v>
      </x:c>
      <x:c r="D772" s="10" t="str">
        <x:v>WinFsp fork 默认子集</x:v>
      </x:c>
      <x:c r="E772" s="10" t="str">
        <x:v>drive</x:v>
      </x:c>
      <x:c r="F772" s="10" t="str">
        <x:v>同步</x:v>
      </x:c>
      <x:c r="G772" s="19" t="d">
        <x:v>2026-10-15T00:00:00.000Z</x:v>
      </x:c>
      <x:c r="H772" s="10" t="str">
        <x:v>已通过</x:v>
      </x:c>
      <x:c r="I772" s="21" t="n">
        <x:v>20.575</x:v>
      </x:c>
      <x:c r="J772" s="10" t="str">
        <x:v>JuiceFS 1.3.0+30190ca / WinFsp 2.1.25156；测试工具 S01–S04</x:v>
      </x:c>
      <x:c r="K772" s="10" t="str">
        <x:v>JuiceFS Windows CI 子集；attr-cache=0；云端 get-timeout=5m</x:v>
      </x:c>
      <x:c r="L772" s="10" t="str">
        <x:v>e920ead94a8e28f04e326664178b0c9f02d492b1 + productChanges / plansSha256 见 E01</x:v>
      </x:c>
      <x:c r="M772" s="10" t="str">
        <x:v>E01 / juicefs-upstream-run-9WTx4T</x:v>
      </x:c>
      <x:c r="N772" s="10" t="str">
        <x:v>--fuse-external --resilient --case-insensitive-cmp</x:v>
      </x:c>
    </x:row>
    <x:row r="773" ht="74" customHeight="1">
      <x:c r="A773" s="11" t="str">
        <x:v>SUBSET-20261015-drive-sync</x:v>
      </x:c>
      <x:c r="B773" s="11" t="str">
        <x:v>WFP-23</x:v>
      </x:c>
      <x:c r="C773" s="11" t="str">
        <x:v>rename_ex_test</x:v>
      </x:c>
      <x:c r="D773" s="11" t="str">
        <x:v>WinFsp fork 默认子集</x:v>
      </x:c>
      <x:c r="E773" s="11" t="str">
        <x:v>drive</x:v>
      </x:c>
      <x:c r="F773" s="11" t="str">
        <x:v>同步</x:v>
      </x:c>
      <x:c r="G773" s="20" t="d">
        <x:v>2026-10-15T00:00:00.000Z</x:v>
      </x:c>
      <x:c r="H773" s="11" t="str">
        <x:v>已通过</x:v>
      </x:c>
      <x:c r="I773" s="22" t="n">
        <x:v>0.719</x:v>
      </x:c>
      <x:c r="J773" s="11" t="str">
        <x:v>JuiceFS 1.3.0+30190ca / WinFsp 2.1.25156；测试工具 S01–S04</x:v>
      </x:c>
      <x:c r="K773" s="11" t="str">
        <x:v>JuiceFS Windows CI 子集；attr-cache=0；云端 get-timeout=5m</x:v>
      </x:c>
      <x:c r="L773" s="11" t="str">
        <x:v>e920ead94a8e28f04e326664178b0c9f02d492b1 + productChanges / plansSha256 见 E01</x:v>
      </x:c>
      <x:c r="M773" s="11" t="str">
        <x:v>E01 / juicefs-upstream-run-9WTx4T</x:v>
      </x:c>
      <x:c r="N773" s="11" t="str">
        <x:v>--fuse-external --resilient --case-insensitive-cmp</x:v>
      </x:c>
    </x:row>
    <x:row r="774" ht="74" customHeight="1">
      <x:c r="A774" s="10" t="str">
        <x:v>SUBSET-20261015-drive-sync</x:v>
      </x:c>
      <x:c r="B774" s="10" t="str">
        <x:v>WFP-24</x:v>
      </x:c>
      <x:c r="C774" s="10" t="str">
        <x:v>getvolinfo_test</x:v>
      </x:c>
      <x:c r="D774" s="10" t="str">
        <x:v>WinFsp fork 默认子集</x:v>
      </x:c>
      <x:c r="E774" s="10" t="str">
        <x:v>drive</x:v>
      </x:c>
      <x:c r="F774" s="10" t="str">
        <x:v>同步</x:v>
      </x:c>
      <x:c r="G774" s="19" t="d">
        <x:v>2026-10-15T00:00:00.000Z</x:v>
      </x:c>
      <x:c r="H774" s="10" t="str">
        <x:v>已通过</x:v>
      </x:c>
      <x:c r="I774" s="21" t="n">
        <x:v>0.988</x:v>
      </x:c>
      <x:c r="J774" s="10" t="str">
        <x:v>JuiceFS 1.3.0+30190ca / WinFsp 2.1.25156；测试工具 S01–S04</x:v>
      </x:c>
      <x:c r="K774" s="10" t="str">
        <x:v>JuiceFS Windows CI 子集；attr-cache=0；云端 get-timeout=5m</x:v>
      </x:c>
      <x:c r="L774" s="10" t="str">
        <x:v>e920ead94a8e28f04e326664178b0c9f02d492b1 + productChanges / plansSha256 见 E01</x:v>
      </x:c>
      <x:c r="M774" s="10" t="str">
        <x:v>E01 / juicefs-upstream-run-9WTx4T</x:v>
      </x:c>
      <x:c r="N774" s="10" t="str">
        <x:v>--fuse-external --resilient --case-insensitive-cmp</x:v>
      </x:c>
    </x:row>
    <x:row r="775" ht="74" customHeight="1">
      <x:c r="A775" s="11" t="str">
        <x:v>SUBSET-20261015-drive-sync</x:v>
      </x:c>
      <x:c r="B775" s="11" t="str">
        <x:v>WFP-25</x:v>
      </x:c>
      <x:c r="C775" s="11" t="str">
        <x:v>setvolinfo_test</x:v>
      </x:c>
      <x:c r="D775" s="11" t="str">
        <x:v>WinFsp fork 默认子集</x:v>
      </x:c>
      <x:c r="E775" s="11" t="str">
        <x:v>drive</x:v>
      </x:c>
      <x:c r="F775" s="11" t="str">
        <x:v>同步</x:v>
      </x:c>
      <x:c r="G775" s="20" t="d">
        <x:v>2026-10-15T00:00:00.000Z</x:v>
      </x:c>
      <x:c r="H775" s="11" t="str">
        <x:v>已通过</x:v>
      </x:c>
      <x:c r="I775" s="22" t="n">
        <x:v>1.021</x:v>
      </x:c>
      <x:c r="J775" s="11" t="str">
        <x:v>JuiceFS 1.3.0+30190ca / WinFsp 2.1.25156；测试工具 S01–S04</x:v>
      </x:c>
      <x:c r="K775" s="11" t="str">
        <x:v>JuiceFS Windows CI 子集；attr-cache=0；云端 get-timeout=5m</x:v>
      </x:c>
      <x:c r="L775" s="11" t="str">
        <x:v>e920ead94a8e28f04e326664178b0c9f02d492b1 + productChanges / plansSha256 见 E01</x:v>
      </x:c>
      <x:c r="M775" s="11" t="str">
        <x:v>E01 / juicefs-upstream-run-9WTx4T</x:v>
      </x:c>
      <x:c r="N775" s="11" t="str">
        <x:v>--fuse-external --resilient --case-insensitive-cmp</x:v>
      </x:c>
    </x:row>
    <x:row r="776" ht="74" customHeight="1">
      <x:c r="A776" s="10" t="str">
        <x:v>SUBSET-20261015-drive-sync</x:v>
      </x:c>
      <x:c r="B776" s="10" t="str">
        <x:v>WFP-26</x:v>
      </x:c>
      <x:c r="C776" s="10" t="str">
        <x:v>getsecurity_test</x:v>
      </x:c>
      <x:c r="D776" s="10" t="str">
        <x:v>WinFsp fork 默认子集</x:v>
      </x:c>
      <x:c r="E776" s="10" t="str">
        <x:v>drive</x:v>
      </x:c>
      <x:c r="F776" s="10" t="str">
        <x:v>同步</x:v>
      </x:c>
      <x:c r="G776" s="19" t="d">
        <x:v>2026-10-15T00:00:00.000Z</x:v>
      </x:c>
      <x:c r="H776" s="10" t="str">
        <x:v>已通过</x:v>
      </x:c>
      <x:c r="I776" s="21" t="n">
        <x:v>0.539</x:v>
      </x:c>
      <x:c r="J776" s="10" t="str">
        <x:v>JuiceFS 1.3.0+30190ca / WinFsp 2.1.25156；测试工具 S01–S04</x:v>
      </x:c>
      <x:c r="K776" s="10" t="str">
        <x:v>JuiceFS Windows CI 子集；attr-cache=0；云端 get-timeout=5m</x:v>
      </x:c>
      <x:c r="L776" s="10" t="str">
        <x:v>e920ead94a8e28f04e326664178b0c9f02d492b1 + productChanges / plansSha256 见 E01</x:v>
      </x:c>
      <x:c r="M776" s="10" t="str">
        <x:v>E01 / juicefs-upstream-run-9WTx4T</x:v>
      </x:c>
      <x:c r="N776" s="10" t="str">
        <x:v>--fuse-external --resilient --case-insensitive-cmp</x:v>
      </x:c>
    </x:row>
    <x:row r="777" ht="74" customHeight="1">
      <x:c r="A777" s="11" t="str">
        <x:v>SUBSET-20261015-drive-sync</x:v>
      </x:c>
      <x:c r="B777" s="11" t="str">
        <x:v>WFP-27</x:v>
      </x:c>
      <x:c r="C777" s="11" t="str">
        <x:v>rdwr_noncached_test</x:v>
      </x:c>
      <x:c r="D777" s="11" t="str">
        <x:v>WinFsp fork 默认子集</x:v>
      </x:c>
      <x:c r="E777" s="11" t="str">
        <x:v>drive</x:v>
      </x:c>
      <x:c r="F777" s="11" t="str">
        <x:v>同步</x:v>
      </x:c>
      <x:c r="G777" s="20" t="d">
        <x:v>2026-10-15T00:00:00.000Z</x:v>
      </x:c>
      <x:c r="H777" s="11" t="str">
        <x:v>已通过</x:v>
      </x:c>
      <x:c r="I777" s="22" t="n">
        <x:v>14.47</x:v>
      </x:c>
      <x:c r="J777" s="11" t="str">
        <x:v>JuiceFS 1.3.0+30190ca / WinFsp 2.1.25156；测试工具 S01–S04</x:v>
      </x:c>
      <x:c r="K777" s="11" t="str">
        <x:v>JuiceFS Windows CI 子集；attr-cache=0；云端 get-timeout=5m</x:v>
      </x:c>
      <x:c r="L777" s="11" t="str">
        <x:v>e920ead94a8e28f04e326664178b0c9f02d492b1 + productChanges / plansSha256 见 E01</x:v>
      </x:c>
      <x:c r="M777" s="11" t="str">
        <x:v>E01 / juicefs-upstream-run-9WTx4T</x:v>
      </x:c>
      <x:c r="N777" s="11" t="str">
        <x:v>--fuse-external --resilient --case-insensitive-cmp</x:v>
      </x:c>
    </x:row>
    <x:row r="778" ht="74" customHeight="1">
      <x:c r="A778" s="10" t="str">
        <x:v>SUBSET-20261015-drive-sync</x:v>
      </x:c>
      <x:c r="B778" s="10" t="str">
        <x:v>WFP-28</x:v>
      </x:c>
      <x:c r="C778" s="10" t="str">
        <x:v>rdwr_noncached_overlapped_test</x:v>
      </x:c>
      <x:c r="D778" s="10" t="str">
        <x:v>WinFsp fork 默认子集</x:v>
      </x:c>
      <x:c r="E778" s="10" t="str">
        <x:v>drive</x:v>
      </x:c>
      <x:c r="F778" s="10" t="str">
        <x:v>同步</x:v>
      </x:c>
      <x:c r="G778" s="19" t="d">
        <x:v>2026-10-15T00:00:00.000Z</x:v>
      </x:c>
      <x:c r="H778" s="10" t="str">
        <x:v>已通过</x:v>
      </x:c>
      <x:c r="I778" s="21" t="n">
        <x:v>18.141</x:v>
      </x:c>
      <x:c r="J778" s="10" t="str">
        <x:v>JuiceFS 1.3.0+30190ca / WinFsp 2.1.25156；测试工具 S01–S04</x:v>
      </x:c>
      <x:c r="K778" s="10" t="str">
        <x:v>JuiceFS Windows CI 子集；attr-cache=0；云端 get-timeout=5m</x:v>
      </x:c>
      <x:c r="L778" s="10" t="str">
        <x:v>e920ead94a8e28f04e326664178b0c9f02d492b1 + productChanges / plansSha256 见 E01</x:v>
      </x:c>
      <x:c r="M778" s="10" t="str">
        <x:v>E01 / juicefs-upstream-run-9WTx4T</x:v>
      </x:c>
      <x:c r="N778" s="10" t="str">
        <x:v>--fuse-external --resilient --case-insensitive-cmp</x:v>
      </x:c>
    </x:row>
    <x:row r="779" ht="74" customHeight="1">
      <x:c r="A779" s="11" t="str">
        <x:v>SUBSET-20261015-drive-sync</x:v>
      </x:c>
      <x:c r="B779" s="11" t="str">
        <x:v>WFP-29</x:v>
      </x:c>
      <x:c r="C779" s="11" t="str">
        <x:v>rdwr_cached_test</x:v>
      </x:c>
      <x:c r="D779" s="11" t="str">
        <x:v>WinFsp fork 默认子集</x:v>
      </x:c>
      <x:c r="E779" s="11" t="str">
        <x:v>drive</x:v>
      </x:c>
      <x:c r="F779" s="11" t="str">
        <x:v>同步</x:v>
      </x:c>
      <x:c r="G779" s="20" t="d">
        <x:v>2026-10-15T00:00:00.000Z</x:v>
      </x:c>
      <x:c r="H779" s="11" t="str">
        <x:v>已通过</x:v>
      </x:c>
      <x:c r="I779" s="22" t="n">
        <x:v>13.069</x:v>
      </x:c>
      <x:c r="J779" s="11" t="str">
        <x:v>JuiceFS 1.3.0+30190ca / WinFsp 2.1.25156；测试工具 S01–S04</x:v>
      </x:c>
      <x:c r="K779" s="11" t="str">
        <x:v>JuiceFS Windows CI 子集；attr-cache=0；云端 get-timeout=5m</x:v>
      </x:c>
      <x:c r="L779" s="11" t="str">
        <x:v>e920ead94a8e28f04e326664178b0c9f02d492b1 + productChanges / plansSha256 见 E01</x:v>
      </x:c>
      <x:c r="M779" s="11" t="str">
        <x:v>E01 / juicefs-upstream-run-9WTx4T</x:v>
      </x:c>
      <x:c r="N779" s="11" t="str">
        <x:v>--fuse-external --resilient --case-insensitive-cmp</x:v>
      </x:c>
    </x:row>
    <x:row r="780" ht="74" customHeight="1">
      <x:c r="A780" s="10" t="str">
        <x:v>SUBSET-20261015-drive-sync</x:v>
      </x:c>
      <x:c r="B780" s="10" t="str">
        <x:v>WFP-30</x:v>
      </x:c>
      <x:c r="C780" s="10" t="str">
        <x:v>rdwr_cached_append_test</x:v>
      </x:c>
      <x:c r="D780" s="10" t="str">
        <x:v>WinFsp fork 默认子集</x:v>
      </x:c>
      <x:c r="E780" s="10" t="str">
        <x:v>drive</x:v>
      </x:c>
      <x:c r="F780" s="10" t="str">
        <x:v>同步</x:v>
      </x:c>
      <x:c r="G780" s="19" t="d">
        <x:v>2026-10-15T00:00:00.000Z</x:v>
      </x:c>
      <x:c r="H780" s="10" t="str">
        <x:v>已通过</x:v>
      </x:c>
      <x:c r="I780" s="21" t="n">
        <x:v>3.318</x:v>
      </x:c>
      <x:c r="J780" s="10" t="str">
        <x:v>JuiceFS 1.3.0+30190ca / WinFsp 2.1.25156；测试工具 S01–S04</x:v>
      </x:c>
      <x:c r="K780" s="10" t="str">
        <x:v>JuiceFS Windows CI 子集；attr-cache=0；云端 get-timeout=5m</x:v>
      </x:c>
      <x:c r="L780" s="10" t="str">
        <x:v>e920ead94a8e28f04e326664178b0c9f02d492b1 + productChanges / plansSha256 见 E01</x:v>
      </x:c>
      <x:c r="M780" s="10" t="str">
        <x:v>E01 / juicefs-upstream-run-9WTx4T</x:v>
      </x:c>
      <x:c r="N780" s="10" t="str">
        <x:v>--fuse-external --resilient --case-insensitive-cmp</x:v>
      </x:c>
    </x:row>
    <x:row r="781" ht="74" customHeight="1">
      <x:c r="A781" s="11" t="str">
        <x:v>SUBSET-20261015-drive-sync</x:v>
      </x:c>
      <x:c r="B781" s="11" t="str">
        <x:v>WFP-31</x:v>
      </x:c>
      <x:c r="C781" s="11" t="str">
        <x:v>rdwr_cached_overlapped_test</x:v>
      </x:c>
      <x:c r="D781" s="11" t="str">
        <x:v>WinFsp fork 默认子集</x:v>
      </x:c>
      <x:c r="E781" s="11" t="str">
        <x:v>drive</x:v>
      </x:c>
      <x:c r="F781" s="11" t="str">
        <x:v>同步</x:v>
      </x:c>
      <x:c r="G781" s="20" t="d">
        <x:v>2026-10-15T00:00:00.000Z</x:v>
      </x:c>
      <x:c r="H781" s="11" t="str">
        <x:v>已通过</x:v>
      </x:c>
      <x:c r="I781" s="22" t="n">
        <x:v>13.281</x:v>
      </x:c>
      <x:c r="J781" s="11" t="str">
        <x:v>JuiceFS 1.3.0+30190ca / WinFsp 2.1.25156；测试工具 S01–S04</x:v>
      </x:c>
      <x:c r="K781" s="11" t="str">
        <x:v>JuiceFS Windows CI 子集；attr-cache=0；云端 get-timeout=5m</x:v>
      </x:c>
      <x:c r="L781" s="11" t="str">
        <x:v>e920ead94a8e28f04e326664178b0c9f02d492b1 + productChanges / plansSha256 见 E01</x:v>
      </x:c>
      <x:c r="M781" s="11" t="str">
        <x:v>E01 / juicefs-upstream-run-9WTx4T</x:v>
      </x:c>
      <x:c r="N781" s="11" t="str">
        <x:v>--fuse-external --resilient --case-insensitive-cmp</x:v>
      </x:c>
    </x:row>
    <x:row r="782" ht="74" customHeight="1">
      <x:c r="A782" s="10" t="str">
        <x:v>SUBSET-20261015-drive-sync</x:v>
      </x:c>
      <x:c r="B782" s="10" t="str">
        <x:v>WFP-32</x:v>
      </x:c>
      <x:c r="C782" s="10" t="str">
        <x:v>rdwr_writethru_test</x:v>
      </x:c>
      <x:c r="D782" s="10" t="str">
        <x:v>WinFsp fork 默认子集</x:v>
      </x:c>
      <x:c r="E782" s="10" t="str">
        <x:v>drive</x:v>
      </x:c>
      <x:c r="F782" s="10" t="str">
        <x:v>同步</x:v>
      </x:c>
      <x:c r="G782" s="19" t="d">
        <x:v>2026-10-15T00:00:00.000Z</x:v>
      </x:c>
      <x:c r="H782" s="10" t="str">
        <x:v>已通过</x:v>
      </x:c>
      <x:c r="I782" s="21" t="n">
        <x:v>12.95</x:v>
      </x:c>
      <x:c r="J782" s="10" t="str">
        <x:v>JuiceFS 1.3.0+30190ca / WinFsp 2.1.25156；测试工具 S01–S04</x:v>
      </x:c>
      <x:c r="K782" s="10" t="str">
        <x:v>JuiceFS Windows CI 子集；attr-cache=0；云端 get-timeout=5m</x:v>
      </x:c>
      <x:c r="L782" s="10" t="str">
        <x:v>e920ead94a8e28f04e326664178b0c9f02d492b1 + productChanges / plansSha256 见 E01</x:v>
      </x:c>
      <x:c r="M782" s="10" t="str">
        <x:v>E01 / juicefs-upstream-run-9WTx4T</x:v>
      </x:c>
      <x:c r="N782" s="10" t="str">
        <x:v>--fuse-external --resilient --case-insensitive-cmp</x:v>
      </x:c>
    </x:row>
    <x:row r="783" ht="74" customHeight="1">
      <x:c r="A783" s="11" t="str">
        <x:v>SUBSET-20261015-drive-sync</x:v>
      </x:c>
      <x:c r="B783" s="11" t="str">
        <x:v>WFP-33</x:v>
      </x:c>
      <x:c r="C783" s="11" t="str">
        <x:v>rdwr_writethru_append_test</x:v>
      </x:c>
      <x:c r="D783" s="11" t="str">
        <x:v>WinFsp fork 默认子集</x:v>
      </x:c>
      <x:c r="E783" s="11" t="str">
        <x:v>drive</x:v>
      </x:c>
      <x:c r="F783" s="11" t="str">
        <x:v>同步</x:v>
      </x:c>
      <x:c r="G783" s="20" t="d">
        <x:v>2026-10-15T00:00:00.000Z</x:v>
      </x:c>
      <x:c r="H783" s="11" t="str">
        <x:v>已通过</x:v>
      </x:c>
      <x:c r="I783" s="22" t="n">
        <x:v>2.907</x:v>
      </x:c>
      <x:c r="J783" s="11" t="str">
        <x:v>JuiceFS 1.3.0+30190ca / WinFsp 2.1.25156；测试工具 S01–S04</x:v>
      </x:c>
      <x:c r="K783" s="11" t="str">
        <x:v>JuiceFS Windows CI 子集；attr-cache=0；云端 get-timeout=5m</x:v>
      </x:c>
      <x:c r="L783" s="11" t="str">
        <x:v>e920ead94a8e28f04e326664178b0c9f02d492b1 + productChanges / plansSha256 见 E01</x:v>
      </x:c>
      <x:c r="M783" s="11" t="str">
        <x:v>E01 / juicefs-upstream-run-9WTx4T</x:v>
      </x:c>
      <x:c r="N783" s="11" t="str">
        <x:v>--fuse-external --resilient --case-insensitive-cmp</x:v>
      </x:c>
    </x:row>
    <x:row r="784" ht="74" customHeight="1">
      <x:c r="A784" s="10" t="str">
        <x:v>SUBSET-20261015-drive-sync</x:v>
      </x:c>
      <x:c r="B784" s="10" t="str">
        <x:v>WFP-34</x:v>
      </x:c>
      <x:c r="C784" s="10" t="str">
        <x:v>rdwr_writethru_overlapped_test</x:v>
      </x:c>
      <x:c r="D784" s="10" t="str">
        <x:v>WinFsp fork 默认子集</x:v>
      </x:c>
      <x:c r="E784" s="10" t="str">
        <x:v>drive</x:v>
      </x:c>
      <x:c r="F784" s="10" t="str">
        <x:v>同步</x:v>
      </x:c>
      <x:c r="G784" s="19" t="d">
        <x:v>2026-10-15T00:00:00.000Z</x:v>
      </x:c>
      <x:c r="H784" s="10" t="str">
        <x:v>已通过</x:v>
      </x:c>
      <x:c r="I784" s="21" t="n">
        <x:v>11.826</x:v>
      </x:c>
      <x:c r="J784" s="10" t="str">
        <x:v>JuiceFS 1.3.0+30190ca / WinFsp 2.1.25156；测试工具 S01–S04</x:v>
      </x:c>
      <x:c r="K784" s="10" t="str">
        <x:v>JuiceFS Windows CI 子集；attr-cache=0；云端 get-timeout=5m</x:v>
      </x:c>
      <x:c r="L784" s="10" t="str">
        <x:v>e920ead94a8e28f04e326664178b0c9f02d492b1 + productChanges / plansSha256 见 E01</x:v>
      </x:c>
      <x:c r="M784" s="10" t="str">
        <x:v>E01 / juicefs-upstream-run-9WTx4T</x:v>
      </x:c>
      <x:c r="N784" s="10" t="str">
        <x:v>--fuse-external --resilient --case-insensitive-cmp</x:v>
      </x:c>
    </x:row>
    <x:row r="785" ht="74" customHeight="1">
      <x:c r="A785" s="11" t="str">
        <x:v>SUBSET-20261015-drive-sync</x:v>
      </x:c>
      <x:c r="B785" s="11" t="str">
        <x:v>WFP-35</x:v>
      </x:c>
      <x:c r="C785" s="11" t="str">
        <x:v>rdwr_mmap_test</x:v>
      </x:c>
      <x:c r="D785" s="11" t="str">
        <x:v>WinFsp fork 默认子集</x:v>
      </x:c>
      <x:c r="E785" s="11" t="str">
        <x:v>drive</x:v>
      </x:c>
      <x:c r="F785" s="11" t="str">
        <x:v>同步</x:v>
      </x:c>
      <x:c r="G785" s="20" t="d">
        <x:v>2026-10-15T00:00:00.000Z</x:v>
      </x:c>
      <x:c r="H785" s="11" t="str">
        <x:v>已通过</x:v>
      </x:c>
      <x:c r="I785" s="22" t="n">
        <x:v>33.472</x:v>
      </x:c>
      <x:c r="J785" s="11" t="str">
        <x:v>JuiceFS 1.3.0+30190ca / WinFsp 2.1.25156；测试工具 S01–S04</x:v>
      </x:c>
      <x:c r="K785" s="11" t="str">
        <x:v>JuiceFS Windows CI 子集；attr-cache=0；云端 get-timeout=5m</x:v>
      </x:c>
      <x:c r="L785" s="11" t="str">
        <x:v>e920ead94a8e28f04e326664178b0c9f02d492b1 + productChanges / plansSha256 见 E01</x:v>
      </x:c>
      <x:c r="M785" s="11" t="str">
        <x:v>E01 / juicefs-upstream-run-9WTx4T</x:v>
      </x:c>
      <x:c r="N785" s="11" t="str">
        <x:v>--fuse-external --resilient --case-insensitive-cmp</x:v>
      </x:c>
    </x:row>
    <x:row r="786" ht="74" customHeight="1">
      <x:c r="A786" s="10" t="str">
        <x:v>SUBSET-20261015-drive-sync</x:v>
      </x:c>
      <x:c r="B786" s="10" t="str">
        <x:v>WFP-36</x:v>
      </x:c>
      <x:c r="C786" s="10" t="str">
        <x:v>rdwr_mixed_test</x:v>
      </x:c>
      <x:c r="D786" s="10" t="str">
        <x:v>WinFsp fork 默认子集</x:v>
      </x:c>
      <x:c r="E786" s="10" t="str">
        <x:v>drive</x:v>
      </x:c>
      <x:c r="F786" s="10" t="str">
        <x:v>同步</x:v>
      </x:c>
      <x:c r="G786" s="19" t="d">
        <x:v>2026-10-15T00:00:00.000Z</x:v>
      </x:c>
      <x:c r="H786" s="10" t="str">
        <x:v>已通过</x:v>
      </x:c>
      <x:c r="I786" s="21" t="n">
        <x:v>6.109</x:v>
      </x:c>
      <x:c r="J786" s="10" t="str">
        <x:v>JuiceFS 1.3.0+30190ca / WinFsp 2.1.25156；测试工具 S01–S04</x:v>
      </x:c>
      <x:c r="K786" s="10" t="str">
        <x:v>JuiceFS Windows CI 子集；attr-cache=0；云端 get-timeout=5m</x:v>
      </x:c>
      <x:c r="L786" s="10" t="str">
        <x:v>e920ead94a8e28f04e326664178b0c9f02d492b1 + productChanges / plansSha256 见 E01</x:v>
      </x:c>
      <x:c r="M786" s="10" t="str">
        <x:v>E01 / juicefs-upstream-run-9WTx4T</x:v>
      </x:c>
      <x:c r="N786" s="10" t="str">
        <x:v>--fuse-external --resilient --case-insensitive-cmp</x:v>
      </x:c>
    </x:row>
    <x:row r="787" ht="74" customHeight="1">
      <x:c r="A787" s="11" t="str">
        <x:v>SUBSET-20261015-drive-sync</x:v>
      </x:c>
      <x:c r="B787" s="11" t="str">
        <x:v>WFP-37</x:v>
      </x:c>
      <x:c r="C787" s="11" t="str">
        <x:v>flush_test</x:v>
      </x:c>
      <x:c r="D787" s="11" t="str">
        <x:v>WinFsp fork 默认子集</x:v>
      </x:c>
      <x:c r="E787" s="11" t="str">
        <x:v>drive</x:v>
      </x:c>
      <x:c r="F787" s="11" t="str">
        <x:v>同步</x:v>
      </x:c>
      <x:c r="G787" s="20" t="d">
        <x:v>2026-10-15T00:00:00.000Z</x:v>
      </x:c>
      <x:c r="H787" s="11" t="str">
        <x:v>已通过</x:v>
      </x:c>
      <x:c r="I787" s="22" t="n">
        <x:v>38.805</x:v>
      </x:c>
      <x:c r="J787" s="11" t="str">
        <x:v>JuiceFS 1.3.0+30190ca / WinFsp 2.1.25156；测试工具 S01–S04</x:v>
      </x:c>
      <x:c r="K787" s="11" t="str">
        <x:v>JuiceFS Windows CI 子集；attr-cache=0；云端 get-timeout=5m</x:v>
      </x:c>
      <x:c r="L787" s="11" t="str">
        <x:v>e920ead94a8e28f04e326664178b0c9f02d492b1 + productChanges / plansSha256 见 E01</x:v>
      </x:c>
      <x:c r="M787" s="11" t="str">
        <x:v>E01 / juicefs-upstream-run-9WTx4T</x:v>
      </x:c>
      <x:c r="N787" s="11" t="str">
        <x:v>--fuse-external --resilient --case-insensitive-cmp</x:v>
      </x:c>
    </x:row>
    <x:row r="788" ht="74" customHeight="1">
      <x:c r="A788" s="10" t="str">
        <x:v>SUBSET-20261015-drive-sync</x:v>
      </x:c>
      <x:c r="B788" s="10" t="str">
        <x:v>WFP-38</x:v>
      </x:c>
      <x:c r="C788" s="10" t="str">
        <x:v>flush_volume_test</x:v>
      </x:c>
      <x:c r="D788" s="10" t="str">
        <x:v>WinFsp fork 默认子集</x:v>
      </x:c>
      <x:c r="E788" s="10" t="str">
        <x:v>drive</x:v>
      </x:c>
      <x:c r="F788" s="10" t="str">
        <x:v>同步</x:v>
      </x:c>
      <x:c r="G788" s="19" t="d">
        <x:v>2026-10-15T00:00:00.000Z</x:v>
      </x:c>
      <x:c r="H788" s="10" t="str">
        <x:v>已通过</x:v>
      </x:c>
      <x:c r="I788" s="21" t="n">
        <x:v>0.392</x:v>
      </x:c>
      <x:c r="J788" s="10" t="str">
        <x:v>JuiceFS 1.3.0+30190ca / WinFsp 2.1.25156；测试工具 S01–S04</x:v>
      </x:c>
      <x:c r="K788" s="10" t="str">
        <x:v>JuiceFS Windows CI 子集；attr-cache=0；云端 get-timeout=5m</x:v>
      </x:c>
      <x:c r="L788" s="10" t="str">
        <x:v>e920ead94a8e28f04e326664178b0c9f02d492b1 + productChanges / plansSha256 见 E01</x:v>
      </x:c>
      <x:c r="M788" s="10" t="str">
        <x:v>E01 / juicefs-upstream-run-9WTx4T</x:v>
      </x:c>
      <x:c r="N788" s="10" t="str">
        <x:v>--fuse-external --resilient --case-insensitive-cmp</x:v>
      </x:c>
    </x:row>
    <x:row r="789" ht="74" customHeight="1">
      <x:c r="A789" s="11" t="str">
        <x:v>SUBSET-20261015-drive-sync</x:v>
      </x:c>
      <x:c r="B789" s="11" t="str">
        <x:v>WFP-39</x:v>
      </x:c>
      <x:c r="C789" s="11" t="str">
        <x:v>lock_noncached_test</x:v>
      </x:c>
      <x:c r="D789" s="11" t="str">
        <x:v>WinFsp fork 默认子集</x:v>
      </x:c>
      <x:c r="E789" s="11" t="str">
        <x:v>drive</x:v>
      </x:c>
      <x:c r="F789" s="11" t="str">
        <x:v>同步</x:v>
      </x:c>
      <x:c r="G789" s="20" t="d">
        <x:v>2026-10-15T00:00:00.000Z</x:v>
      </x:c>
      <x:c r="H789" s="11" t="str">
        <x:v>已通过</x:v>
      </x:c>
      <x:c r="I789" s="22" t="n">
        <x:v>21.526</x:v>
      </x:c>
      <x:c r="J789" s="11" t="str">
        <x:v>JuiceFS 1.3.0+30190ca / WinFsp 2.1.25156；测试工具 S01–S04</x:v>
      </x:c>
      <x:c r="K789" s="11" t="str">
        <x:v>JuiceFS Windows CI 子集；attr-cache=0；云端 get-timeout=5m</x:v>
      </x:c>
      <x:c r="L789" s="11" t="str">
        <x:v>e920ead94a8e28f04e326664178b0c9f02d492b1 + productChanges / plansSha256 见 E01</x:v>
      </x:c>
      <x:c r="M789" s="11" t="str">
        <x:v>E01 / juicefs-upstream-run-9WTx4T</x:v>
      </x:c>
      <x:c r="N789" s="11" t="str">
        <x:v>--fuse-external --resilient --case-insensitive-cmp</x:v>
      </x:c>
    </x:row>
    <x:row r="790" ht="74" customHeight="1">
      <x:c r="A790" s="10" t="str">
        <x:v>SUBSET-20261015-drive-sync</x:v>
      </x:c>
      <x:c r="B790" s="10" t="str">
        <x:v>WFP-40</x:v>
      </x:c>
      <x:c r="C790" s="10" t="str">
        <x:v>lock_noncached_overlapped_test</x:v>
      </x:c>
      <x:c r="D790" s="10" t="str">
        <x:v>WinFsp fork 默认子集</x:v>
      </x:c>
      <x:c r="E790" s="10" t="str">
        <x:v>drive</x:v>
      </x:c>
      <x:c r="F790" s="10" t="str">
        <x:v>同步</x:v>
      </x:c>
      <x:c r="G790" s="19" t="d">
        <x:v>2026-10-15T00:00:00.000Z</x:v>
      </x:c>
      <x:c r="H790" s="10" t="str">
        <x:v>已通过</x:v>
      </x:c>
      <x:c r="I790" s="21" t="n">
        <x:v>14.902</x:v>
      </x:c>
      <x:c r="J790" s="10" t="str">
        <x:v>JuiceFS 1.3.0+30190ca / WinFsp 2.1.25156；测试工具 S01–S04</x:v>
      </x:c>
      <x:c r="K790" s="10" t="str">
        <x:v>JuiceFS Windows CI 子集；attr-cache=0；云端 get-timeout=5m</x:v>
      </x:c>
      <x:c r="L790" s="10" t="str">
        <x:v>e920ead94a8e28f04e326664178b0c9f02d492b1 + productChanges / plansSha256 见 E01</x:v>
      </x:c>
      <x:c r="M790" s="10" t="str">
        <x:v>E01 / juicefs-upstream-run-9WTx4T</x:v>
      </x:c>
      <x:c r="N790" s="10" t="str">
        <x:v>--fuse-external --resilient --case-insensitive-cmp</x:v>
      </x:c>
    </x:row>
    <x:row r="791" ht="74" customHeight="1">
      <x:c r="A791" s="11" t="str">
        <x:v>SUBSET-20261015-drive-sync</x:v>
      </x:c>
      <x:c r="B791" s="11" t="str">
        <x:v>WFP-41</x:v>
      </x:c>
      <x:c r="C791" s="11" t="str">
        <x:v>lock_cached_test</x:v>
      </x:c>
      <x:c r="D791" s="11" t="str">
        <x:v>WinFsp fork 默认子集</x:v>
      </x:c>
      <x:c r="E791" s="11" t="str">
        <x:v>drive</x:v>
      </x:c>
      <x:c r="F791" s="11" t="str">
        <x:v>同步</x:v>
      </x:c>
      <x:c r="G791" s="20" t="d">
        <x:v>2026-10-15T00:00:00.000Z</x:v>
      </x:c>
      <x:c r="H791" s="11" t="str">
        <x:v>已通过</x:v>
      </x:c>
      <x:c r="I791" s="22" t="n">
        <x:v>14.112</x:v>
      </x:c>
      <x:c r="J791" s="11" t="str">
        <x:v>JuiceFS 1.3.0+30190ca / WinFsp 2.1.25156；测试工具 S01–S04</x:v>
      </x:c>
      <x:c r="K791" s="11" t="str">
        <x:v>JuiceFS Windows CI 子集；attr-cache=0；云端 get-timeout=5m</x:v>
      </x:c>
      <x:c r="L791" s="11" t="str">
        <x:v>e920ead94a8e28f04e326664178b0c9f02d492b1 + productChanges / plansSha256 见 E01</x:v>
      </x:c>
      <x:c r="M791" s="11" t="str">
        <x:v>E01 / juicefs-upstream-run-9WTx4T</x:v>
      </x:c>
      <x:c r="N791" s="11" t="str">
        <x:v>--fuse-external --resilient --case-insensitive-cmp</x:v>
      </x:c>
    </x:row>
    <x:row r="792" ht="74" customHeight="1">
      <x:c r="A792" s="10" t="str">
        <x:v>SUBSET-20261015-drive-sync</x:v>
      </x:c>
      <x:c r="B792" s="10" t="str">
        <x:v>WFP-42</x:v>
      </x:c>
      <x:c r="C792" s="10" t="str">
        <x:v>lock_cached_overlapped_test</x:v>
      </x:c>
      <x:c r="D792" s="10" t="str">
        <x:v>WinFsp fork 默认子集</x:v>
      </x:c>
      <x:c r="E792" s="10" t="str">
        <x:v>drive</x:v>
      </x:c>
      <x:c r="F792" s="10" t="str">
        <x:v>同步</x:v>
      </x:c>
      <x:c r="G792" s="19" t="d">
        <x:v>2026-10-15T00:00:00.000Z</x:v>
      </x:c>
      <x:c r="H792" s="10" t="str">
        <x:v>已通过</x:v>
      </x:c>
      <x:c r="I792" s="21" t="n">
        <x:v>12.842</x:v>
      </x:c>
      <x:c r="J792" s="10" t="str">
        <x:v>JuiceFS 1.3.0+30190ca / WinFsp 2.1.25156；测试工具 S01–S04</x:v>
      </x:c>
      <x:c r="K792" s="10" t="str">
        <x:v>JuiceFS Windows CI 子集；attr-cache=0；云端 get-timeout=5m</x:v>
      </x:c>
      <x:c r="L792" s="10" t="str">
        <x:v>e920ead94a8e28f04e326664178b0c9f02d492b1 + productChanges / plansSha256 见 E01</x:v>
      </x:c>
      <x:c r="M792" s="10" t="str">
        <x:v>E01 / juicefs-upstream-run-9WTx4T</x:v>
      </x:c>
      <x:c r="N792" s="10" t="str">
        <x:v>--fuse-external --resilient --case-insensitive-cmp</x:v>
      </x:c>
    </x:row>
    <x:row r="793" ht="74" customHeight="1">
      <x:c r="A793" s="11" t="str">
        <x:v>SUBSET-20261015-drive-sync</x:v>
      </x:c>
      <x:c r="B793" s="11" t="str">
        <x:v>WFP-43</x:v>
      </x:c>
      <x:c r="C793" s="11" t="str">
        <x:v>querydir_test</x:v>
      </x:c>
      <x:c r="D793" s="11" t="str">
        <x:v>WinFsp fork 默认子集</x:v>
      </x:c>
      <x:c r="E793" s="11" t="str">
        <x:v>drive</x:v>
      </x:c>
      <x:c r="F793" s="11" t="str">
        <x:v>同步</x:v>
      </x:c>
      <x:c r="G793" s="20" t="d">
        <x:v>2026-10-15T00:00:00.000Z</x:v>
      </x:c>
      <x:c r="H793" s="11" t="str">
        <x:v>已通过</x:v>
      </x:c>
      <x:c r="I793" s="22" t="n">
        <x:v>12.707</x:v>
      </x:c>
      <x:c r="J793" s="11" t="str">
        <x:v>JuiceFS 1.3.0+30190ca / WinFsp 2.1.25156；测试工具 S01–S04</x:v>
      </x:c>
      <x:c r="K793" s="11" t="str">
        <x:v>JuiceFS Windows CI 子集；attr-cache=0；云端 get-timeout=5m</x:v>
      </x:c>
      <x:c r="L793" s="11" t="str">
        <x:v>e920ead94a8e28f04e326664178b0c9f02d492b1 + productChanges / plansSha256 见 E01</x:v>
      </x:c>
      <x:c r="M793" s="11" t="str">
        <x:v>E01 / juicefs-upstream-run-9WTx4T</x:v>
      </x:c>
      <x:c r="N793" s="11" t="str">
        <x:v>--fuse-external --resilient --case-insensitive-cmp</x:v>
      </x:c>
    </x:row>
    <x:row r="794" ht="74" customHeight="1">
      <x:c r="A794" s="10" t="str">
        <x:v>SUBSET-20261015-drive-sync</x:v>
      </x:c>
      <x:c r="B794" s="10" t="str">
        <x:v>WFP-44</x:v>
      </x:c>
      <x:c r="C794" s="10" t="str">
        <x:v>querydir_expire_cache_test</x:v>
      </x:c>
      <x:c r="D794" s="10" t="str">
        <x:v>WinFsp fork 默认子集</x:v>
      </x:c>
      <x:c r="E794" s="10" t="str">
        <x:v>drive</x:v>
      </x:c>
      <x:c r="F794" s="10" t="str">
        <x:v>同步</x:v>
      </x:c>
      <x:c r="G794" s="19" t="d">
        <x:v>2026-10-15T00:00:00.000Z</x:v>
      </x:c>
      <x:c r="H794" s="10" t="str">
        <x:v>已通过</x:v>
      </x:c>
      <x:c r="I794" s="21" t="n">
        <x:v>0.445</x:v>
      </x:c>
      <x:c r="J794" s="10" t="str">
        <x:v>JuiceFS 1.3.0+30190ca / WinFsp 2.1.25156；测试工具 S01–S04</x:v>
      </x:c>
      <x:c r="K794" s="10" t="str">
        <x:v>JuiceFS Windows CI 子集；attr-cache=0；云端 get-timeout=5m</x:v>
      </x:c>
      <x:c r="L794" s="10" t="str">
        <x:v>e920ead94a8e28f04e326664178b0c9f02d492b1 + productChanges / plansSha256 见 E01</x:v>
      </x:c>
      <x:c r="M794" s="10" t="str">
        <x:v>E01 / juicefs-upstream-run-9WTx4T</x:v>
      </x:c>
      <x:c r="N794" s="10" t="str">
        <x:v>--fuse-external --resilient --case-insensitive-cmp</x:v>
      </x:c>
    </x:row>
    <x:row r="795" ht="74" customHeight="1">
      <x:c r="A795" s="11" t="str">
        <x:v>SUBSET-20261015-drive-sync</x:v>
      </x:c>
      <x:c r="B795" s="11" t="str">
        <x:v>WFP-45</x:v>
      </x:c>
      <x:c r="C795" s="11" t="str">
        <x:v>querydir_buffer_overflow_test</x:v>
      </x:c>
      <x:c r="D795" s="11" t="str">
        <x:v>WinFsp fork 默认子集</x:v>
      </x:c>
      <x:c r="E795" s="11" t="str">
        <x:v>drive</x:v>
      </x:c>
      <x:c r="F795" s="11" t="str">
        <x:v>同步</x:v>
      </x:c>
      <x:c r="G795" s="20" t="d">
        <x:v>2026-10-15T00:00:00.000Z</x:v>
      </x:c>
      <x:c r="H795" s="11" t="str">
        <x:v>已通过</x:v>
      </x:c>
      <x:c r="I795" s="22" t="n">
        <x:v>0.451</x:v>
      </x:c>
      <x:c r="J795" s="11" t="str">
        <x:v>JuiceFS 1.3.0+30190ca / WinFsp 2.1.25156；测试工具 S01–S04</x:v>
      </x:c>
      <x:c r="K795" s="11" t="str">
        <x:v>JuiceFS Windows CI 子集；attr-cache=0；云端 get-timeout=5m</x:v>
      </x:c>
      <x:c r="L795" s="11" t="str">
        <x:v>e920ead94a8e28f04e326664178b0c9f02d492b1 + productChanges / plansSha256 见 E01</x:v>
      </x:c>
      <x:c r="M795" s="11" t="str">
        <x:v>E01 / juicefs-upstream-run-9WTx4T</x:v>
      </x:c>
      <x:c r="N795" s="11" t="str">
        <x:v>--fuse-external --resilient --case-insensitive-cmp</x:v>
      </x:c>
    </x:row>
    <x:row r="796" ht="74" customHeight="1">
      <x:c r="A796" s="10" t="str">
        <x:v>SUBSET-20261015-drive-sync</x:v>
      </x:c>
      <x:c r="B796" s="10" t="str">
        <x:v>WFP-46</x:v>
      </x:c>
      <x:c r="C796" s="10" t="str">
        <x:v>querydir_namelen_test</x:v>
      </x:c>
      <x:c r="D796" s="10" t="str">
        <x:v>WinFsp fork 默认子集</x:v>
      </x:c>
      <x:c r="E796" s="10" t="str">
        <x:v>drive</x:v>
      </x:c>
      <x:c r="F796" s="10" t="str">
        <x:v>同步</x:v>
      </x:c>
      <x:c r="G796" s="19" t="d">
        <x:v>2026-10-15T00:00:00.000Z</x:v>
      </x:c>
      <x:c r="H796" s="10" t="str">
        <x:v>已通过</x:v>
      </x:c>
      <x:c r="I796" s="21" t="n">
        <x:v>0.604</x:v>
      </x:c>
      <x:c r="J796" s="10" t="str">
        <x:v>JuiceFS 1.3.0+30190ca / WinFsp 2.1.25156；测试工具 S01–S04</x:v>
      </x:c>
      <x:c r="K796" s="10" t="str">
        <x:v>JuiceFS Windows CI 子集；attr-cache=0；云端 get-timeout=5m</x:v>
      </x:c>
      <x:c r="L796" s="10" t="str">
        <x:v>e920ead94a8e28f04e326664178b0c9f02d492b1 + productChanges / plansSha256 见 E01</x:v>
      </x:c>
      <x:c r="M796" s="10" t="str">
        <x:v>E01 / juicefs-upstream-run-9WTx4T</x:v>
      </x:c>
      <x:c r="N796" s="10" t="str">
        <x:v>--fuse-external --resilient --case-insensitive-cmp</x:v>
      </x:c>
    </x:row>
    <x:row r="797" ht="74" customHeight="1">
      <x:c r="A797" s="11" t="str">
        <x:v>SUBSET-20261015-drive-sync</x:v>
      </x:c>
      <x:c r="B797" s="11" t="str">
        <x:v>WFP-47</x:v>
      </x:c>
      <x:c r="C797" s="11" t="str">
        <x:v>dirnotify_test</x:v>
      </x:c>
      <x:c r="D797" s="11" t="str">
        <x:v>WinFsp fork 默认子集</x:v>
      </x:c>
      <x:c r="E797" s="11" t="str">
        <x:v>drive</x:v>
      </x:c>
      <x:c r="F797" s="11" t="str">
        <x:v>同步</x:v>
      </x:c>
      <x:c r="G797" s="20" t="d">
        <x:v>2026-10-15T00:00:00.000Z</x:v>
      </x:c>
      <x:c r="H797" s="11" t="str">
        <x:v>已通过</x:v>
      </x:c>
      <x:c r="I797" s="22" t="n">
        <x:v>1.668</x:v>
      </x:c>
      <x:c r="J797" s="11" t="str">
        <x:v>JuiceFS 1.3.0+30190ca / WinFsp 2.1.25156；测试工具 S01–S04</x:v>
      </x:c>
      <x:c r="K797" s="11" t="str">
        <x:v>JuiceFS Windows CI 子集；attr-cache=0；云端 get-timeout=5m</x:v>
      </x:c>
      <x:c r="L797" s="11" t="str">
        <x:v>e920ead94a8e28f04e326664178b0c9f02d492b1 + productChanges / plansSha256 见 E01</x:v>
      </x:c>
      <x:c r="M797" s="11" t="str">
        <x:v>E01 / juicefs-upstream-run-9WTx4T</x:v>
      </x:c>
      <x:c r="N797" s="11" t="str">
        <x:v>--fuse-external --resilient --case-insensitive-cmp</x:v>
      </x:c>
    </x:row>
    <x:row r="798" ht="74" customHeight="1">
      <x:c r="A798" s="10" t="str">
        <x:v>SUBSET-20261015-drive-sync</x:v>
      </x:c>
      <x:c r="B798" s="10" t="str">
        <x:v>WFP-48</x:v>
      </x:c>
      <x:c r="C798" s="10" t="str">
        <x:v>exec_test</x:v>
      </x:c>
      <x:c r="D798" s="10" t="str">
        <x:v>WinFsp fork 默认子集</x:v>
      </x:c>
      <x:c r="E798" s="10" t="str">
        <x:v>drive</x:v>
      </x:c>
      <x:c r="F798" s="10" t="str">
        <x:v>同步</x:v>
      </x:c>
      <x:c r="G798" s="19" t="d">
        <x:v>2026-10-15T00:00:00.000Z</x:v>
      </x:c>
      <x:c r="H798" s="10" t="str">
        <x:v>已通过</x:v>
      </x:c>
      <x:c r="I798" s="21" t="n">
        <x:v>6.738</x:v>
      </x:c>
      <x:c r="J798" s="10" t="str">
        <x:v>JuiceFS 1.3.0+30190ca / WinFsp 2.1.25156；测试工具 S01–S04</x:v>
      </x:c>
      <x:c r="K798" s="10" t="str">
        <x:v>JuiceFS Windows CI 子集；attr-cache=0；云端 get-timeout=5m</x:v>
      </x:c>
      <x:c r="L798" s="10" t="str">
        <x:v>e920ead94a8e28f04e326664178b0c9f02d492b1 + productChanges / plansSha256 见 E01</x:v>
      </x:c>
      <x:c r="M798" s="10" t="str">
        <x:v>E01 / juicefs-upstream-run-9WTx4T</x:v>
      </x:c>
      <x:c r="N798" s="10" t="str">
        <x:v>--fuse-external --resilient --case-insensitive-cmp</x:v>
      </x:c>
    </x:row>
    <x:row r="799" ht="74" customHeight="1">
      <x:c r="A799" s="11" t="str">
        <x:v>SUBSET-20261015-drive-sync</x:v>
      </x:c>
      <x:c r="B799" s="11" t="str">
        <x:v>WFP-49</x:v>
      </x:c>
      <x:c r="C799" s="11" t="str">
        <x:v>exec_delete_test</x:v>
      </x:c>
      <x:c r="D799" s="11" t="str">
        <x:v>WinFsp fork 默认子集</x:v>
      </x:c>
      <x:c r="E799" s="11" t="str">
        <x:v>drive</x:v>
      </x:c>
      <x:c r="F799" s="11" t="str">
        <x:v>同步</x:v>
      </x:c>
      <x:c r="G799" s="20" t="d">
        <x:v>2026-10-15T00:00:00.000Z</x:v>
      </x:c>
      <x:c r="H799" s="11" t="str">
        <x:v>已通过</x:v>
      </x:c>
      <x:c r="I799" s="22" t="n">
        <x:v>4.477</x:v>
      </x:c>
      <x:c r="J799" s="11" t="str">
        <x:v>JuiceFS 1.3.0+30190ca / WinFsp 2.1.25156；测试工具 S01–S04</x:v>
      </x:c>
      <x:c r="K799" s="11" t="str">
        <x:v>JuiceFS Windows CI 子集；attr-cache=0；云端 get-timeout=5m</x:v>
      </x:c>
      <x:c r="L799" s="11" t="str">
        <x:v>e920ead94a8e28f04e326664178b0c9f02d492b1 + productChanges / plansSha256 见 E01</x:v>
      </x:c>
      <x:c r="M799" s="11" t="str">
        <x:v>E01 / juicefs-upstream-run-9WTx4T</x:v>
      </x:c>
      <x:c r="N799" s="11" t="str">
        <x:v>--fuse-external --resilient --case-insensitive-cmp</x:v>
      </x:c>
    </x:row>
    <x:row r="800" ht="74" customHeight="1">
      <x:c r="A800" s="10" t="str">
        <x:v>SUBSET-20261015-drive-sync</x:v>
      </x:c>
      <x:c r="B800" s="10" t="str">
        <x:v>WFP-50</x:v>
      </x:c>
      <x:c r="C800" s="10" t="str">
        <x:v>exec_rename_test</x:v>
      </x:c>
      <x:c r="D800" s="10" t="str">
        <x:v>WinFsp fork 默认子集</x:v>
      </x:c>
      <x:c r="E800" s="10" t="str">
        <x:v>drive</x:v>
      </x:c>
      <x:c r="F800" s="10" t="str">
        <x:v>同步</x:v>
      </x:c>
      <x:c r="G800" s="19" t="d">
        <x:v>2026-10-15T00:00:00.000Z</x:v>
      </x:c>
      <x:c r="H800" s="10" t="str">
        <x:v>已通过</x:v>
      </x:c>
      <x:c r="I800" s="21" t="n">
        <x:v>4.206</x:v>
      </x:c>
      <x:c r="J800" s="10" t="str">
        <x:v>JuiceFS 1.3.0+30190ca / WinFsp 2.1.25156；测试工具 S01–S04</x:v>
      </x:c>
      <x:c r="K800" s="10" t="str">
        <x:v>JuiceFS Windows CI 子集；attr-cache=0；云端 get-timeout=5m</x:v>
      </x:c>
      <x:c r="L800" s="10" t="str">
        <x:v>e920ead94a8e28f04e326664178b0c9f02d492b1 + productChanges / plansSha256 见 E01</x:v>
      </x:c>
      <x:c r="M800" s="10" t="str">
        <x:v>E01 / juicefs-upstream-run-9WTx4T</x:v>
      </x:c>
      <x:c r="N800" s="10" t="str">
        <x:v>--fuse-external --resilient --case-insensitive-cmp</x:v>
      </x:c>
    </x:row>
    <x:row r="801" ht="74" customHeight="1">
      <x:c r="A801" s="11" t="str">
        <x:v>SUBSET-20261015-drive-sync</x:v>
      </x:c>
      <x:c r="B801" s="11" t="str">
        <x:v>WFP-51</x:v>
      </x:c>
      <x:c r="C801" s="11" t="str">
        <x:v>exec_rename_dir_test</x:v>
      </x:c>
      <x:c r="D801" s="11" t="str">
        <x:v>WinFsp fork 默认子集</x:v>
      </x:c>
      <x:c r="E801" s="11" t="str">
        <x:v>drive</x:v>
      </x:c>
      <x:c r="F801" s="11" t="str">
        <x:v>同步</x:v>
      </x:c>
      <x:c r="G801" s="20" t="d">
        <x:v>2026-10-15T00:00:00.000Z</x:v>
      </x:c>
      <x:c r="H801" s="11" t="str">
        <x:v>已通过</x:v>
      </x:c>
      <x:c r="I801" s="22" t="n">
        <x:v>5.801</x:v>
      </x:c>
      <x:c r="J801" s="11" t="str">
        <x:v>JuiceFS 1.3.0+30190ca / WinFsp 2.1.25156；测试工具 S01–S04</x:v>
      </x:c>
      <x:c r="K801" s="11" t="str">
        <x:v>JuiceFS Windows CI 子集；attr-cache=0；云端 get-timeout=5m</x:v>
      </x:c>
      <x:c r="L801" s="11" t="str">
        <x:v>e920ead94a8e28f04e326664178b0c9f02d492b1 + productChanges / plansSha256 见 E01</x:v>
      </x:c>
      <x:c r="M801" s="11" t="str">
        <x:v>E01 / juicefs-upstream-run-9WTx4T</x:v>
      </x:c>
      <x:c r="N801" s="11" t="str">
        <x:v>--fuse-external --resilient --case-insensitive-cmp</x:v>
      </x:c>
    </x:row>
    <x:row r="802" ht="74" customHeight="1">
      <x:c r="A802" s="10" t="str">
        <x:v>SUBSET-20261015-drive-sync</x:v>
      </x:c>
      <x:c r="B802" s="10" t="str">
        <x:v>WFP-52</x:v>
      </x:c>
      <x:c r="C802" s="10" t="str">
        <x:v>reparse_nfs_test</x:v>
      </x:c>
      <x:c r="D802" s="10" t="str">
        <x:v>WinFsp fork 默认子集</x:v>
      </x:c>
      <x:c r="E802" s="10" t="str">
        <x:v>drive</x:v>
      </x:c>
      <x:c r="F802" s="10" t="str">
        <x:v>同步</x:v>
      </x:c>
      <x:c r="G802" s="19" t="d">
        <x:v>2026-10-15T00:00:00.000Z</x:v>
      </x:c>
      <x:c r="H802" s="10" t="str">
        <x:v>已通过</x:v>
      </x:c>
      <x:c r="I802" s="21" t="n">
        <x:v>0.457</x:v>
      </x:c>
      <x:c r="J802" s="10" t="str">
        <x:v>JuiceFS 1.3.0+30190ca / WinFsp 2.1.25156；测试工具 S01–S04</x:v>
      </x:c>
      <x:c r="K802" s="10" t="str">
        <x:v>JuiceFS Windows CI 子集；attr-cache=0；云端 get-timeout=5m</x:v>
      </x:c>
      <x:c r="L802" s="10" t="str">
        <x:v>e920ead94a8e28f04e326664178b0c9f02d492b1 + productChanges / plansSha256 见 E01</x:v>
      </x:c>
      <x:c r="M802" s="10" t="str">
        <x:v>E01 / juicefs-upstream-run-9WTx4T</x:v>
      </x:c>
      <x:c r="N802" s="10" t="str">
        <x:v>--fuse-external --resilient --case-insensitive-cmp</x:v>
      </x:c>
    </x:row>
    <x:row r="803" ht="74" customHeight="1">
      <x:c r="A803" s="11" t="str">
        <x:v>SUBSET-20261015-drive-sync</x:v>
      </x:c>
      <x:c r="B803" s="11" t="str">
        <x:v>WFP-53</x:v>
      </x:c>
      <x:c r="C803" s="11" t="str">
        <x:v>reparse_symlink_test</x:v>
      </x:c>
      <x:c r="D803" s="11" t="str">
        <x:v>WinFsp fork 默认子集</x:v>
      </x:c>
      <x:c r="E803" s="11" t="str">
        <x:v>drive</x:v>
      </x:c>
      <x:c r="F803" s="11" t="str">
        <x:v>同步</x:v>
      </x:c>
      <x:c r="G803" s="20" t="d">
        <x:v>2026-10-15T00:00:00.000Z</x:v>
      </x:c>
      <x:c r="H803" s="11" t="str">
        <x:v>已通过</x:v>
      </x:c>
      <x:c r="I803" s="22" t="n">
        <x:v>0.429</x:v>
      </x:c>
      <x:c r="J803" s="11" t="str">
        <x:v>JuiceFS 1.3.0+30190ca / WinFsp 2.1.25156；测试工具 S01–S04</x:v>
      </x:c>
      <x:c r="K803" s="11" t="str">
        <x:v>JuiceFS Windows CI 子集；attr-cache=0；云端 get-timeout=5m</x:v>
      </x:c>
      <x:c r="L803" s="11" t="str">
        <x:v>e920ead94a8e28f04e326664178b0c9f02d492b1 + productChanges / plansSha256 见 E01</x:v>
      </x:c>
      <x:c r="M803" s="11" t="str">
        <x:v>E01 / juicefs-upstream-run-9WTx4T</x:v>
      </x:c>
      <x:c r="N803" s="11" t="str">
        <x:v>--fuse-external --resilient --case-insensitive-cmp</x:v>
      </x:c>
    </x:row>
    <x:row r="804" ht="74" customHeight="1">
      <x:c r="A804" s="10" t="str">
        <x:v>SUBSET-20261015-drive-sync</x:v>
      </x:c>
      <x:c r="B804" s="10" t="str">
        <x:v>WFP-54</x:v>
      </x:c>
      <x:c r="C804" s="10" t="str">
        <x:v>reparse_symlink_relative_test</x:v>
      </x:c>
      <x:c r="D804" s="10" t="str">
        <x:v>WinFsp fork 默认子集</x:v>
      </x:c>
      <x:c r="E804" s="10" t="str">
        <x:v>drive</x:v>
      </x:c>
      <x:c r="F804" s="10" t="str">
        <x:v>同步</x:v>
      </x:c>
      <x:c r="G804" s="19" t="d">
        <x:v>2026-10-15T00:00:00.000Z</x:v>
      </x:c>
      <x:c r="H804" s="10" t="str">
        <x:v>已通过</x:v>
      </x:c>
      <x:c r="I804" s="21" t="n">
        <x:v>0.494</x:v>
      </x:c>
      <x:c r="J804" s="10" t="str">
        <x:v>JuiceFS 1.3.0+30190ca / WinFsp 2.1.25156；测试工具 S01–S04</x:v>
      </x:c>
      <x:c r="K804" s="10" t="str">
        <x:v>JuiceFS Windows CI 子集；attr-cache=0；云端 get-timeout=5m</x:v>
      </x:c>
      <x:c r="L804" s="10" t="str">
        <x:v>e920ead94a8e28f04e326664178b0c9f02d492b1 + productChanges / plansSha256 见 E01</x:v>
      </x:c>
      <x:c r="M804" s="10" t="str">
        <x:v>E01 / juicefs-upstream-run-9WTx4T</x:v>
      </x:c>
      <x:c r="N804" s="10" t="str">
        <x:v>--fuse-external --resilient --case-insensitive-cmp</x:v>
      </x:c>
    </x:row>
    <x:row r="805" ht="74" customHeight="1">
      <x:c r="A805" s="11" t="str">
        <x:v>SUBSET-20261015-drive-sync</x:v>
      </x:c>
      <x:c r="B805" s="11" t="str">
        <x:v>WFT-00…WFT-10</x:v>
      </x:c>
      <x:c r="C805" s="11" t="str">
        <x:v>11 个脚本的整套结果</x:v>
      </x:c>
      <x:c r="D805" s="11" t="str">
        <x:v>winfstest fork</x:v>
      </x:c>
      <x:c r="E805" s="11" t="str">
        <x:v>drive</x:v>
      </x:c>
      <x:c r="F805" s="11" t="str">
        <x:v>同步</x:v>
      </x:c>
      <x:c r="G805" s="20" t="d">
        <x:v>2026-10-15T00:00:00.000Z</x:v>
      </x:c>
      <x:c r="H805" s="11" t="str">
        <x:v>已通过</x:v>
      </x:c>
      <x:c r="I805" s="22"/>
      <x:c r="J805" s="11" t="str">
        <x:v>JuiceFS 1.3.0+30190ca / WinFsp 2.1.25156；测试工具 S01–S04</x:v>
      </x:c>
      <x:c r="K805" s="11" t="str">
        <x:v>JuiceFS Windows CI 子集；attr-cache=0；云端 get-timeout=5m</x:v>
      </x:c>
      <x:c r="L805" s="11" t="str">
        <x:v>e920ead94a8e28f04e326664178b0c9f02d492b1 + productChanges / plansSha256 见 E01</x:v>
      </x:c>
      <x:c r="M805" s="11" t="str">
        <x:v>E01 / juicefs-upstream-run-9WTx4T</x:v>
      </x:c>
      <x:c r="N805" s="11" t="str">
        <x:v>152/152 断言；报告粒度为整套，不虚构每个脚本的耗时</x:v>
      </x:c>
    </x:row>
    <x:row r="806" ht="74" customHeight="1">
      <x:c r="A806" s="10" t="str">
        <x:v>SUBSET-20261015-drive-sync</x:v>
      </x:c>
      <x:c r="B806" s="10" t="str">
        <x:v>JFS-FSX-01</x:v>
      </x:c>
      <x:c r="C806" s="10" t="str">
        <x:v>FSX 正常完成运行</x:v>
      </x:c>
      <x:c r="D806" s="10" t="str">
        <x:v>FSX fork</x:v>
      </x:c>
      <x:c r="E806" s="10" t="str">
        <x:v>drive</x:v>
      </x:c>
      <x:c r="F806" s="10" t="str">
        <x:v>同步</x:v>
      </x:c>
      <x:c r="G806" s="19" t="d">
        <x:v>2026-10-15T00:00:00.000Z</x:v>
      </x:c>
      <x:c r="H806" s="10" t="str">
        <x:v>已通过</x:v>
      </x:c>
      <x:c r="I806" s="21"/>
      <x:c r="J806" s="10" t="str">
        <x:v>JuiceFS 1.3.0+30190ca / WinFsp 2.1.25156；测试工具 S01–S04</x:v>
      </x:c>
      <x:c r="K806" s="10" t="str">
        <x:v>JuiceFS Windows CI 子集；attr-cache=0；云端 get-timeout=5m</x:v>
      </x:c>
      <x:c r="L806" s="10" t="str">
        <x:v>e920ead94a8e28f04e326664178b0c9f02d492b1 + productChanges / plansSha256 见 E01</x:v>
      </x:c>
      <x:c r="M806" s="10" t="str">
        <x:v>E01 / juicefs-upstream-run-9WTx4T</x:v>
      </x:c>
      <x:c r="N806" s="10" t="str">
        <x:v>-d 180 -S 20261014 -p 10000 -F 100000 fsxtest；实际 132 操作</x:v>
      </x:c>
    </x:row>
    <x:row r="807" ht="74" customHeight="1">
      <x:c r="A807" s="11" t="str">
        <x:v>SUBSET-20261015-drive-sync</x:v>
      </x:c>
      <x:c r="B807" s="11" t="str">
        <x:v>CLOUD-006</x:v>
      </x:c>
      <x:c r="C807" s="11" t="str">
        <x:v>排空后冷读校验</x:v>
      </x:c>
      <x:c r="D807" s="11" t="str">
        <x:v>项目验证</x:v>
      </x:c>
      <x:c r="E807" s="11" t="str">
        <x:v>drive</x:v>
      </x:c>
      <x:c r="F807" s="11" t="str">
        <x:v>同步</x:v>
      </x:c>
      <x:c r="G807" s="20" t="d">
        <x:v>2026-10-15T00:00:00.000Z</x:v>
      </x:c>
      <x:c r="H807" s="11" t="str">
        <x:v>已通过</x:v>
      </x:c>
      <x:c r="I807" s="22"/>
      <x:c r="J807" s="11" t="str">
        <x:v>JuiceFS 1.3.0+30190ca / WinFsp 2.1.25156；测试工具 S01–S04</x:v>
      </x:c>
      <x:c r="K807" s="11" t="str">
        <x:v>JuiceFS Windows CI 子集；attr-cache=0；云端 get-timeout=5m</x:v>
      </x:c>
      <x:c r="L807" s="11" t="str">
        <x:v>e920ead94a8e28f04e326664178b0c9f02d492b1 + productChanges / plansSha256 见 E01</x:v>
      </x:c>
      <x:c r="M807" s="11" t="str">
        <x:v>E01 / juicefs-upstream-run-9WTx4T</x:v>
      </x:c>
      <x:c r="N807" s="11" t="str">
        <x:v>原始记录见 E01；不代表故障恢复或 repair 测试</x:v>
      </x:c>
    </x:row>
    <x:row r="808" ht="74" customHeight="1">
      <x:c r="A808" s="10" t="str">
        <x:v>SUBSET-20261015-drive-sync</x:v>
      </x:c>
      <x:c r="B808" s="10" t="str">
        <x:v>CLOUD-007</x:v>
      </x:c>
      <x:c r="C808" s="10" t="str">
        <x:v>只读 fsck</x:v>
      </x:c>
      <x:c r="D808" s="10" t="str">
        <x:v>项目验证</x:v>
      </x:c>
      <x:c r="E808" s="10" t="str">
        <x:v>drive</x:v>
      </x:c>
      <x:c r="F808" s="10" t="str">
        <x:v>同步</x:v>
      </x:c>
      <x:c r="G808" s="19" t="d">
        <x:v>2026-10-15T00:00:00.000Z</x:v>
      </x:c>
      <x:c r="H808" s="10" t="str">
        <x:v>已通过</x:v>
      </x:c>
      <x:c r="I808" s="21"/>
      <x:c r="J808" s="10" t="str">
        <x:v>JuiceFS 1.3.0+30190ca / WinFsp 2.1.25156；测试工具 S01–S04</x:v>
      </x:c>
      <x:c r="K808" s="10" t="str">
        <x:v>JuiceFS Windows CI 子集；attr-cache=0；云端 get-timeout=5m</x:v>
      </x:c>
      <x:c r="L808" s="10" t="str">
        <x:v>e920ead94a8e28f04e326664178b0c9f02d492b1 + productChanges / plansSha256 见 E01</x:v>
      </x:c>
      <x:c r="M808" s="10" t="str">
        <x:v>E01 / juicefs-upstream-run-9WTx4T</x:v>
      </x:c>
      <x:c r="N808" s="10" t="str">
        <x:v>原始记录见 E01；不代表故障恢复或 repair 测试</x:v>
      </x:c>
    </x:row>
    <x:row r="809" ht="74" customHeight="1">
      <x:c r="A809" s="11" t="str">
        <x:v>SUBSET-20261015-drive-wb</x:v>
      </x:c>
      <x:c r="B809" s="11" t="str">
        <x:v>JFS-PY-01</x:v>
      </x:c>
      <x:c r="C809" s="11" t="str">
        <x:v>test_basic_operations</x:v>
      </x:c>
      <x:c r="D809" s="11" t="str">
        <x:v>Python</x:v>
      </x:c>
      <x:c r="E809" s="11" t="str">
        <x:v>drive</x:v>
      </x:c>
      <x:c r="F809" s="11" t="str">
        <x:v>后台</x:v>
      </x:c>
      <x:c r="G809" s="20" t="d">
        <x:v>2026-10-15T00:00:00.000Z</x:v>
      </x:c>
      <x:c r="H809" s="11" t="str">
        <x:v>已通过</x:v>
      </x:c>
      <x:c r="I809" s="22"/>
      <x:c r="J809" s="11" t="str">
        <x:v>JuiceFS 1.3.0+30190ca / WinFsp 2.1.25156；测试工具 S01–S04</x:v>
      </x:c>
      <x:c r="K809" s="11" t="str">
        <x:v>JuiceFS Windows CI 子集；attr-cache=0；云端 get-timeout=5m</x:v>
      </x:c>
      <x:c r="L809" s="11" t="str">
        <x:v>e920ead94a8e28f04e326664178b0c9f02d492b1 + productChanges / plansSha256 见 E01</x:v>
      </x:c>
      <x:c r="M809" s="11" t="str">
        <x:v>E01 / juicefs-upstream-run-PnYPG8</x:v>
      </x:c>
      <x:c r="N809" s="11" t="str">
        <x:v>上游原断言</x:v>
      </x:c>
    </x:row>
    <x:row r="810" ht="74" customHeight="1">
      <x:c r="A810" s="10" t="str">
        <x:v>SUBSET-20261015-drive-wb</x:v>
      </x:c>
      <x:c r="B810" s="10" t="str">
        <x:v>JFS-PY-02</x:v>
      </x:c>
      <x:c r="C810" s="10" t="str">
        <x:v>test_concurrent_operations</x:v>
      </x:c>
      <x:c r="D810" s="10" t="str">
        <x:v>Python</x:v>
      </x:c>
      <x:c r="E810" s="10" t="str">
        <x:v>drive</x:v>
      </x:c>
      <x:c r="F810" s="10" t="str">
        <x:v>后台</x:v>
      </x:c>
      <x:c r="G810" s="19" t="d">
        <x:v>2026-10-15T00:00:00.000Z</x:v>
      </x:c>
      <x:c r="H810" s="10" t="str">
        <x:v>已通过</x:v>
      </x:c>
      <x:c r="I810" s="21"/>
      <x:c r="J810" s="10" t="str">
        <x:v>JuiceFS 1.3.0+30190ca / WinFsp 2.1.25156；测试工具 S01–S04</x:v>
      </x:c>
      <x:c r="K810" s="10" t="str">
        <x:v>JuiceFS Windows CI 子集；attr-cache=0；云端 get-timeout=5m</x:v>
      </x:c>
      <x:c r="L810" s="10" t="str">
        <x:v>e920ead94a8e28f04e326664178b0c9f02d492b1 + productChanges / plansSha256 见 E01</x:v>
      </x:c>
      <x:c r="M810" s="10" t="str">
        <x:v>E01 / juicefs-upstream-run-PnYPG8</x:v>
      </x:c>
      <x:c r="N810" s="10" t="str">
        <x:v>上游原断言</x:v>
      </x:c>
    </x:row>
    <x:row r="811" ht="74" customHeight="1">
      <x:c r="A811" s="11" t="str">
        <x:v>SUBSET-20261015-drive-wb</x:v>
      </x:c>
      <x:c r="B811" s="11" t="str">
        <x:v>JFS-PY-03</x:v>
      </x:c>
      <x:c r="C811" s="11" t="str">
        <x:v>test_directory_operations</x:v>
      </x:c>
      <x:c r="D811" s="11" t="str">
        <x:v>Python</x:v>
      </x:c>
      <x:c r="E811" s="11" t="str">
        <x:v>drive</x:v>
      </x:c>
      <x:c r="F811" s="11" t="str">
        <x:v>后台</x:v>
      </x:c>
      <x:c r="G811" s="20" t="d">
        <x:v>2026-10-15T00:00:00.000Z</x:v>
      </x:c>
      <x:c r="H811" s="11" t="str">
        <x:v>已通过</x:v>
      </x:c>
      <x:c r="I811" s="22"/>
      <x:c r="J811" s="11" t="str">
        <x:v>JuiceFS 1.3.0+30190ca / WinFsp 2.1.25156；测试工具 S01–S04</x:v>
      </x:c>
      <x:c r="K811" s="11" t="str">
        <x:v>JuiceFS Windows CI 子集；attr-cache=0；云端 get-timeout=5m</x:v>
      </x:c>
      <x:c r="L811" s="11" t="str">
        <x:v>e920ead94a8e28f04e326664178b0c9f02d492b1 + productChanges / plansSha256 见 E01</x:v>
      </x:c>
      <x:c r="M811" s="11" t="str">
        <x:v>E01 / juicefs-upstream-run-PnYPG8</x:v>
      </x:c>
      <x:c r="N811" s="11" t="str">
        <x:v>上游原断言</x:v>
      </x:c>
    </x:row>
    <x:row r="812" ht="74" customHeight="1">
      <x:c r="A812" s="10" t="str">
        <x:v>SUBSET-20261015-drive-wb</x:v>
      </x:c>
      <x:c r="B812" s="10" t="str">
        <x:v>JFS-PY-04</x:v>
      </x:c>
      <x:c r="C812" s="10" t="str">
        <x:v>test_file_attributes</x:v>
      </x:c>
      <x:c r="D812" s="10" t="str">
        <x:v>Python</x:v>
      </x:c>
      <x:c r="E812" s="10" t="str">
        <x:v>drive</x:v>
      </x:c>
      <x:c r="F812" s="10" t="str">
        <x:v>后台</x:v>
      </x:c>
      <x:c r="G812" s="19" t="d">
        <x:v>2026-10-15T00:00:00.000Z</x:v>
      </x:c>
      <x:c r="H812" s="10" t="str">
        <x:v>已通过</x:v>
      </x:c>
      <x:c r="I812" s="21"/>
      <x:c r="J812" s="10" t="str">
        <x:v>JuiceFS 1.3.0+30190ca / WinFsp 2.1.25156；测试工具 S01–S04</x:v>
      </x:c>
      <x:c r="K812" s="10" t="str">
        <x:v>JuiceFS Windows CI 子集；attr-cache=0；云端 get-timeout=5m</x:v>
      </x:c>
      <x:c r="L812" s="10" t="str">
        <x:v>e920ead94a8e28f04e326664178b0c9f02d492b1 + productChanges / plansSha256 见 E01</x:v>
      </x:c>
      <x:c r="M812" s="10" t="str">
        <x:v>E01 / juicefs-upstream-run-PnYPG8</x:v>
      </x:c>
      <x:c r="N812" s="10" t="str">
        <x:v>上游原断言</x:v>
      </x:c>
    </x:row>
    <x:row r="813" ht="74" customHeight="1">
      <x:c r="A813" s="11" t="str">
        <x:v>SUBSET-20261015-drive-wb</x:v>
      </x:c>
      <x:c r="B813" s="11" t="str">
        <x:v>JFS-PY-05</x:v>
      </x:c>
      <x:c r="C813" s="11" t="str">
        <x:v>test_large_files</x:v>
      </x:c>
      <x:c r="D813" s="11" t="str">
        <x:v>Python</x:v>
      </x:c>
      <x:c r="E813" s="11" t="str">
        <x:v>drive</x:v>
      </x:c>
      <x:c r="F813" s="11" t="str">
        <x:v>后台</x:v>
      </x:c>
      <x:c r="G813" s="20" t="d">
        <x:v>2026-10-15T00:00:00.000Z</x:v>
      </x:c>
      <x:c r="H813" s="11" t="str">
        <x:v>已通过</x:v>
      </x:c>
      <x:c r="I813" s="22"/>
      <x:c r="J813" s="11" t="str">
        <x:v>JuiceFS 1.3.0+30190ca / WinFsp 2.1.25156；测试工具 S01–S04</x:v>
      </x:c>
      <x:c r="K813" s="11" t="str">
        <x:v>JuiceFS Windows CI 子集；attr-cache=0；云端 get-timeout=5m</x:v>
      </x:c>
      <x:c r="L813" s="11" t="str">
        <x:v>e920ead94a8e28f04e326664178b0c9f02d492b1 + productChanges / plansSha256 见 E01</x:v>
      </x:c>
      <x:c r="M813" s="11" t="str">
        <x:v>E01 / juicefs-upstream-run-PnYPG8</x:v>
      </x:c>
      <x:c r="N813" s="11" t="str">
        <x:v>上游原断言</x:v>
      </x:c>
    </x:row>
    <x:row r="814" ht="74" customHeight="1">
      <x:c r="A814" s="10" t="str">
        <x:v>SUBSET-20261015-drive-wb</x:v>
      </x:c>
      <x:c r="B814" s="10" t="str">
        <x:v>JFS-PY-06</x:v>
      </x:c>
      <x:c r="C814" s="10" t="str">
        <x:v>test_long_paths</x:v>
      </x:c>
      <x:c r="D814" s="10" t="str">
        <x:v>Python</x:v>
      </x:c>
      <x:c r="E814" s="10" t="str">
        <x:v>drive</x:v>
      </x:c>
      <x:c r="F814" s="10" t="str">
        <x:v>后台</x:v>
      </x:c>
      <x:c r="G814" s="19" t="d">
        <x:v>2026-10-15T00:00:00.000Z</x:v>
      </x:c>
      <x:c r="H814" s="10" t="str">
        <x:v>已通过</x:v>
      </x:c>
      <x:c r="I814" s="21"/>
      <x:c r="J814" s="10" t="str">
        <x:v>JuiceFS 1.3.0+30190ca / WinFsp 2.1.25156；测试工具 S01–S04</x:v>
      </x:c>
      <x:c r="K814" s="10" t="str">
        <x:v>JuiceFS Windows CI 子集；attr-cache=0；云端 get-timeout=5m</x:v>
      </x:c>
      <x:c r="L814" s="10" t="str">
        <x:v>e920ead94a8e28f04e326664178b0c9f02d492b1 + productChanges / plansSha256 见 E01</x:v>
      </x:c>
      <x:c r="M814" s="10" t="str">
        <x:v>E01 / juicefs-upstream-run-PnYPG8</x:v>
      </x:c>
      <x:c r="N814" s="10" t="str">
        <x:v>上游原断言</x:v>
      </x:c>
    </x:row>
    <x:row r="815" ht="74" customHeight="1">
      <x:c r="A815" s="11" t="str">
        <x:v>SUBSET-20261015-drive-wb</x:v>
      </x:c>
      <x:c r="B815" s="11" t="str">
        <x:v>JFS-PY-07</x:v>
      </x:c>
      <x:c r="C815" s="11" t="str">
        <x:v>test_rename_case_change</x:v>
      </x:c>
      <x:c r="D815" s="11" t="str">
        <x:v>Python</x:v>
      </x:c>
      <x:c r="E815" s="11" t="str">
        <x:v>drive</x:v>
      </x:c>
      <x:c r="F815" s="11" t="str">
        <x:v>后台</x:v>
      </x:c>
      <x:c r="G815" s="20" t="d">
        <x:v>2026-10-15T00:00:00.000Z</x:v>
      </x:c>
      <x:c r="H815" s="11" t="str">
        <x:v>已通过</x:v>
      </x:c>
      <x:c r="I815" s="22"/>
      <x:c r="J815" s="11" t="str">
        <x:v>JuiceFS 1.3.0+30190ca / WinFsp 2.1.25156；测试工具 S01–S04</x:v>
      </x:c>
      <x:c r="K815" s="11" t="str">
        <x:v>JuiceFS Windows CI 子集；attr-cache=0；云端 get-timeout=5m</x:v>
      </x:c>
      <x:c r="L815" s="11" t="str">
        <x:v>e920ead94a8e28f04e326664178b0c9f02d492b1 + productChanges / plansSha256 见 E01</x:v>
      </x:c>
      <x:c r="M815" s="11" t="str">
        <x:v>E01 / juicefs-upstream-run-PnYPG8</x:v>
      </x:c>
      <x:c r="N815" s="11" t="str">
        <x:v>上游原断言</x:v>
      </x:c>
    </x:row>
    <x:row r="816" ht="74" customHeight="1">
      <x:c r="A816" s="10" t="str">
        <x:v>SUBSET-20261015-drive-wb</x:v>
      </x:c>
      <x:c r="B816" s="10" t="str">
        <x:v>JFS-PY-08</x:v>
      </x:c>
      <x:c r="C816" s="10" t="str">
        <x:v>test_special_characters</x:v>
      </x:c>
      <x:c r="D816" s="10" t="str">
        <x:v>Python</x:v>
      </x:c>
      <x:c r="E816" s="10" t="str">
        <x:v>drive</x:v>
      </x:c>
      <x:c r="F816" s="10" t="str">
        <x:v>后台</x:v>
      </x:c>
      <x:c r="G816" s="19" t="d">
        <x:v>2026-10-15T00:00:00.000Z</x:v>
      </x:c>
      <x:c r="H816" s="10" t="str">
        <x:v>已通过</x:v>
      </x:c>
      <x:c r="I816" s="21"/>
      <x:c r="J816" s="10" t="str">
        <x:v>JuiceFS 1.3.0+30190ca / WinFsp 2.1.25156；测试工具 S01–S04</x:v>
      </x:c>
      <x:c r="K816" s="10" t="str">
        <x:v>JuiceFS Windows CI 子集；attr-cache=0；云端 get-timeout=5m</x:v>
      </x:c>
      <x:c r="L816" s="10" t="str">
        <x:v>e920ead94a8e28f04e326664178b0c9f02d492b1 + productChanges / plansSha256 见 E01</x:v>
      </x:c>
      <x:c r="M816" s="10" t="str">
        <x:v>E01 / juicefs-upstream-run-PnYPG8</x:v>
      </x:c>
      <x:c r="N816" s="10" t="str">
        <x:v>上游原断言</x:v>
      </x:c>
    </x:row>
    <x:row r="817" ht="74" customHeight="1">
      <x:c r="A817" s="11" t="str">
        <x:v>SUBSET-20261015-drive-wb</x:v>
      </x:c>
      <x:c r="B817" s="11" t="str">
        <x:v>JFS-PY-09</x:v>
      </x:c>
      <x:c r="C817" s="11" t="str">
        <x:v>test_symlinks</x:v>
      </x:c>
      <x:c r="D817" s="11" t="str">
        <x:v>Python</x:v>
      </x:c>
      <x:c r="E817" s="11" t="str">
        <x:v>drive</x:v>
      </x:c>
      <x:c r="F817" s="11" t="str">
        <x:v>后台</x:v>
      </x:c>
      <x:c r="G817" s="20" t="d">
        <x:v>2026-10-15T00:00:00.000Z</x:v>
      </x:c>
      <x:c r="H817" s="11" t="str">
        <x:v>已跳过</x:v>
      </x:c>
      <x:c r="I817" s="22"/>
      <x:c r="J817" s="11" t="str">
        <x:v>JuiceFS 1.3.0+30190ca / WinFsp 2.1.25156；测试工具 S01–S04</x:v>
      </x:c>
      <x:c r="K817" s="11" t="str">
        <x:v>JuiceFS Windows CI 子集；attr-cache=0；云端 get-timeout=5m</x:v>
      </x:c>
      <x:c r="L817" s="11" t="str">
        <x:v>e920ead94a8e28f04e326664178b0c9f02d492b1 + productChanges / plansSha256 见 E01</x:v>
      </x:c>
      <x:c r="M817" s="11" t="str">
        <x:v>E01 / juicefs-upstream-run-PnYPG8</x:v>
      </x:c>
      <x:c r="N817" s="11" t="str">
        <x:v>Windows Do not support</x:v>
      </x:c>
    </x:row>
    <x:row r="818" ht="74" customHeight="1">
      <x:c r="A818" s="10" t="str">
        <x:v>SUBSET-20261015-drive-wb</x:v>
      </x:c>
      <x:c r="B818" s="10" t="str">
        <x:v>WFP-01</x:v>
      </x:c>
      <x:c r="C818" s="10" t="str">
        <x:v>create_test</x:v>
      </x:c>
      <x:c r="D818" s="10" t="str">
        <x:v>WinFsp fork 默认子集</x:v>
      </x:c>
      <x:c r="E818" s="10" t="str">
        <x:v>drive</x:v>
      </x:c>
      <x:c r="F818" s="10" t="str">
        <x:v>后台</x:v>
      </x:c>
      <x:c r="G818" s="19" t="d">
        <x:v>2026-10-15T00:00:00.000Z</x:v>
      </x:c>
      <x:c r="H818" s="10" t="str">
        <x:v>已通过</x:v>
      </x:c>
      <x:c r="I818" s="21" t="n">
        <x:v>0.342</x:v>
      </x:c>
      <x:c r="J818" s="10" t="str">
        <x:v>JuiceFS 1.3.0+30190ca / WinFsp 2.1.25156；测试工具 S01–S04</x:v>
      </x:c>
      <x:c r="K818" s="10" t="str">
        <x:v>JuiceFS Windows CI 子集；attr-cache=0；云端 get-timeout=5m</x:v>
      </x:c>
      <x:c r="L818" s="10" t="str">
        <x:v>e920ead94a8e28f04e326664178b0c9f02d492b1 + productChanges / plansSha256 见 E01</x:v>
      </x:c>
      <x:c r="M818" s="10" t="str">
        <x:v>E01 / juicefs-upstream-run-PnYPG8</x:v>
      </x:c>
      <x:c r="N818" s="10" t="str">
        <x:v>--fuse-external --resilient --case-insensitive-cmp</x:v>
      </x:c>
    </x:row>
    <x:row r="819" ht="74" customHeight="1">
      <x:c r="A819" s="11" t="str">
        <x:v>SUBSET-20261015-drive-wb</x:v>
      </x:c>
      <x:c r="B819" s="11" t="str">
        <x:v>WFP-02</x:v>
      </x:c>
      <x:c r="C819" s="11" t="str">
        <x:v>create_fileattr_test</x:v>
      </x:c>
      <x:c r="D819" s="11" t="str">
        <x:v>WinFsp fork 默认子集</x:v>
      </x:c>
      <x:c r="E819" s="11" t="str">
        <x:v>drive</x:v>
      </x:c>
      <x:c r="F819" s="11" t="str">
        <x:v>后台</x:v>
      </x:c>
      <x:c r="G819" s="20" t="d">
        <x:v>2026-10-15T00:00:00.000Z</x:v>
      </x:c>
      <x:c r="H819" s="11" t="str">
        <x:v>已通过</x:v>
      </x:c>
      <x:c r="I819" s="22" t="n">
        <x:v>0.33</x:v>
      </x:c>
      <x:c r="J819" s="11" t="str">
        <x:v>JuiceFS 1.3.0+30190ca / WinFsp 2.1.25156；测试工具 S01–S04</x:v>
      </x:c>
      <x:c r="K819" s="11" t="str">
        <x:v>JuiceFS Windows CI 子集；attr-cache=0；云端 get-timeout=5m</x:v>
      </x:c>
      <x:c r="L819" s="11" t="str">
        <x:v>e920ead94a8e28f04e326664178b0c9f02d492b1 + productChanges / plansSha256 见 E01</x:v>
      </x:c>
      <x:c r="M819" s="11" t="str">
        <x:v>E01 / juicefs-upstream-run-PnYPG8</x:v>
      </x:c>
      <x:c r="N819" s="11" t="str">
        <x:v>--fuse-external --resilient --case-insensitive-cmp</x:v>
      </x:c>
    </x:row>
    <x:row r="820" ht="74" customHeight="1">
      <x:c r="A820" s="10" t="str">
        <x:v>SUBSET-20261015-drive-wb</x:v>
      </x:c>
      <x:c r="B820" s="10" t="str">
        <x:v>WFP-03</x:v>
      </x:c>
      <x:c r="C820" s="10" t="str">
        <x:v>create_readonlydir_test</x:v>
      </x:c>
      <x:c r="D820" s="10" t="str">
        <x:v>WinFsp fork 默认子集</x:v>
      </x:c>
      <x:c r="E820" s="10" t="str">
        <x:v>drive</x:v>
      </x:c>
      <x:c r="F820" s="10" t="str">
        <x:v>后台</x:v>
      </x:c>
      <x:c r="G820" s="19" t="d">
        <x:v>2026-10-15T00:00:00.000Z</x:v>
      </x:c>
      <x:c r="H820" s="10" t="str">
        <x:v>已通过</x:v>
      </x:c>
      <x:c r="I820" s="21" t="n">
        <x:v>0.3</x:v>
      </x:c>
      <x:c r="J820" s="10" t="str">
        <x:v>JuiceFS 1.3.0+30190ca / WinFsp 2.1.25156；测试工具 S01–S04</x:v>
      </x:c>
      <x:c r="K820" s="10" t="str">
        <x:v>JuiceFS Windows CI 子集；attr-cache=0；云端 get-timeout=5m</x:v>
      </x:c>
      <x:c r="L820" s="10" t="str">
        <x:v>e920ead94a8e28f04e326664178b0c9f02d492b1 + productChanges / plansSha256 见 E01</x:v>
      </x:c>
      <x:c r="M820" s="10" t="str">
        <x:v>E01 / juicefs-upstream-run-PnYPG8</x:v>
      </x:c>
      <x:c r="N820" s="10" t="str">
        <x:v>--fuse-external --resilient --case-insensitive-cmp</x:v>
      </x:c>
    </x:row>
    <x:row r="821" ht="74" customHeight="1">
      <x:c r="A821" s="11" t="str">
        <x:v>SUBSET-20261015-drive-wb</x:v>
      </x:c>
      <x:c r="B821" s="11" t="str">
        <x:v>WFP-04</x:v>
      </x:c>
      <x:c r="C821" s="11" t="str">
        <x:v>create_related_test</x:v>
      </x:c>
      <x:c r="D821" s="11" t="str">
        <x:v>WinFsp fork 默认子集</x:v>
      </x:c>
      <x:c r="E821" s="11" t="str">
        <x:v>drive</x:v>
      </x:c>
      <x:c r="F821" s="11" t="str">
        <x:v>后台</x:v>
      </x:c>
      <x:c r="G821" s="20" t="d">
        <x:v>2026-10-15T00:00:00.000Z</x:v>
      </x:c>
      <x:c r="H821" s="11" t="str">
        <x:v>已通过</x:v>
      </x:c>
      <x:c r="I821" s="22" t="n">
        <x:v>0.331</x:v>
      </x:c>
      <x:c r="J821" s="11" t="str">
        <x:v>JuiceFS 1.3.0+30190ca / WinFsp 2.1.25156；测试工具 S01–S04</x:v>
      </x:c>
      <x:c r="K821" s="11" t="str">
        <x:v>JuiceFS Windows CI 子集；attr-cache=0；云端 get-timeout=5m</x:v>
      </x:c>
      <x:c r="L821" s="11" t="str">
        <x:v>e920ead94a8e28f04e326664178b0c9f02d492b1 + productChanges / plansSha256 见 E01</x:v>
      </x:c>
      <x:c r="M821" s="11" t="str">
        <x:v>E01 / juicefs-upstream-run-PnYPG8</x:v>
      </x:c>
      <x:c r="N821" s="11" t="str">
        <x:v>--fuse-external --resilient --case-insensitive-cmp</x:v>
      </x:c>
    </x:row>
    <x:row r="822" ht="74" customHeight="1">
      <x:c r="A822" s="10" t="str">
        <x:v>SUBSET-20261015-drive-wb</x:v>
      </x:c>
      <x:c r="B822" s="10" t="str">
        <x:v>WFP-05</x:v>
      </x:c>
      <x:c r="C822" s="10" t="str">
        <x:v>create_sd_test</x:v>
      </x:c>
      <x:c r="D822" s="10" t="str">
        <x:v>WinFsp fork 默认子集</x:v>
      </x:c>
      <x:c r="E822" s="10" t="str">
        <x:v>drive</x:v>
      </x:c>
      <x:c r="F822" s="10" t="str">
        <x:v>后台</x:v>
      </x:c>
      <x:c r="G822" s="19" t="d">
        <x:v>2026-10-15T00:00:00.000Z</x:v>
      </x:c>
      <x:c r="H822" s="10" t="str">
        <x:v>已通过</x:v>
      </x:c>
      <x:c r="I822" s="21" t="n">
        <x:v>0.326</x:v>
      </x:c>
      <x:c r="J822" s="10" t="str">
        <x:v>JuiceFS 1.3.0+30190ca / WinFsp 2.1.25156；测试工具 S01–S04</x:v>
      </x:c>
      <x:c r="K822" s="10" t="str">
        <x:v>JuiceFS Windows CI 子集；attr-cache=0；云端 get-timeout=5m</x:v>
      </x:c>
      <x:c r="L822" s="10" t="str">
        <x:v>e920ead94a8e28f04e326664178b0c9f02d492b1 + productChanges / plansSha256 见 E01</x:v>
      </x:c>
      <x:c r="M822" s="10" t="str">
        <x:v>E01 / juicefs-upstream-run-PnYPG8</x:v>
      </x:c>
      <x:c r="N822" s="10" t="str">
        <x:v>--fuse-external --resilient --case-insensitive-cmp</x:v>
      </x:c>
    </x:row>
    <x:row r="823" ht="74" customHeight="1">
      <x:c r="A823" s="11" t="str">
        <x:v>SUBSET-20261015-drive-wb</x:v>
      </x:c>
      <x:c r="B823" s="11" t="str">
        <x:v>WFP-06</x:v>
      </x:c>
      <x:c r="C823" s="11" t="str">
        <x:v>create_share_test</x:v>
      </x:c>
      <x:c r="D823" s="11" t="str">
        <x:v>WinFsp fork 默认子集</x:v>
      </x:c>
      <x:c r="E823" s="11" t="str">
        <x:v>drive</x:v>
      </x:c>
      <x:c r="F823" s="11" t="str">
        <x:v>后台</x:v>
      </x:c>
      <x:c r="G823" s="20" t="d">
        <x:v>2026-10-15T00:00:00.000Z</x:v>
      </x:c>
      <x:c r="H823" s="11" t="str">
        <x:v>已通过</x:v>
      </x:c>
      <x:c r="I823" s="22" t="n">
        <x:v>0.298</x:v>
      </x:c>
      <x:c r="J823" s="11" t="str">
        <x:v>JuiceFS 1.3.0+30190ca / WinFsp 2.1.25156；测试工具 S01–S04</x:v>
      </x:c>
      <x:c r="K823" s="11" t="str">
        <x:v>JuiceFS Windows CI 子集；attr-cache=0；云端 get-timeout=5m</x:v>
      </x:c>
      <x:c r="L823" s="11" t="str">
        <x:v>e920ead94a8e28f04e326664178b0c9f02d492b1 + productChanges / plansSha256 见 E01</x:v>
      </x:c>
      <x:c r="M823" s="11" t="str">
        <x:v>E01 / juicefs-upstream-run-PnYPG8</x:v>
      </x:c>
      <x:c r="N823" s="11" t="str">
        <x:v>--fuse-external --resilient --case-insensitive-cmp</x:v>
      </x:c>
    </x:row>
    <x:row r="824" ht="74" customHeight="1">
      <x:c r="A824" s="10" t="str">
        <x:v>SUBSET-20261015-drive-wb</x:v>
      </x:c>
      <x:c r="B824" s="10" t="str">
        <x:v>WFP-07</x:v>
      </x:c>
      <x:c r="C824" s="10" t="str">
        <x:v>create_curdir_test</x:v>
      </x:c>
      <x:c r="D824" s="10" t="str">
        <x:v>WinFsp fork 默认子集</x:v>
      </x:c>
      <x:c r="E824" s="10" t="str">
        <x:v>drive</x:v>
      </x:c>
      <x:c r="F824" s="10" t="str">
        <x:v>后台</x:v>
      </x:c>
      <x:c r="G824" s="19" t="d">
        <x:v>2026-10-15T00:00:00.000Z</x:v>
      </x:c>
      <x:c r="H824" s="10" t="str">
        <x:v>已通过</x:v>
      </x:c>
      <x:c r="I824" s="21" t="n">
        <x:v>0.31</x:v>
      </x:c>
      <x:c r="J824" s="10" t="str">
        <x:v>JuiceFS 1.3.0+30190ca / WinFsp 2.1.25156；测试工具 S01–S04</x:v>
      </x:c>
      <x:c r="K824" s="10" t="str">
        <x:v>JuiceFS Windows CI 子集；attr-cache=0；云端 get-timeout=5m</x:v>
      </x:c>
      <x:c r="L824" s="10" t="str">
        <x:v>e920ead94a8e28f04e326664178b0c9f02d492b1 + productChanges / plansSha256 见 E01</x:v>
      </x:c>
      <x:c r="M824" s="10" t="str">
        <x:v>E01 / juicefs-upstream-run-PnYPG8</x:v>
      </x:c>
      <x:c r="N824" s="10" t="str">
        <x:v>--fuse-external --resilient --case-insensitive-cmp</x:v>
      </x:c>
    </x:row>
    <x:row r="825" ht="74" customHeight="1">
      <x:c r="A825" s="11" t="str">
        <x:v>SUBSET-20261015-drive-wb</x:v>
      </x:c>
      <x:c r="B825" s="11" t="str">
        <x:v>WFP-08</x:v>
      </x:c>
      <x:c r="C825" s="11" t="str">
        <x:v>getfileinfo_test</x:v>
      </x:c>
      <x:c r="D825" s="11" t="str">
        <x:v>WinFsp fork 默认子集</x:v>
      </x:c>
      <x:c r="E825" s="11" t="str">
        <x:v>drive</x:v>
      </x:c>
      <x:c r="F825" s="11" t="str">
        <x:v>后台</x:v>
      </x:c>
      <x:c r="G825" s="20" t="d">
        <x:v>2026-10-15T00:00:00.000Z</x:v>
      </x:c>
      <x:c r="H825" s="11" t="str">
        <x:v>已通过</x:v>
      </x:c>
      <x:c r="I825" s="22" t="n">
        <x:v>0.324</x:v>
      </x:c>
      <x:c r="J825" s="11" t="str">
        <x:v>JuiceFS 1.3.0+30190ca / WinFsp 2.1.25156；测试工具 S01–S04</x:v>
      </x:c>
      <x:c r="K825" s="11" t="str">
        <x:v>JuiceFS Windows CI 子集；attr-cache=0；云端 get-timeout=5m</x:v>
      </x:c>
      <x:c r="L825" s="11" t="str">
        <x:v>e920ead94a8e28f04e326664178b0c9f02d492b1 + productChanges / plansSha256 见 E01</x:v>
      </x:c>
      <x:c r="M825" s="11" t="str">
        <x:v>E01 / juicefs-upstream-run-PnYPG8</x:v>
      </x:c>
      <x:c r="N825" s="11" t="str">
        <x:v>--fuse-external --resilient --case-insensitive-cmp</x:v>
      </x:c>
    </x:row>
    <x:row r="826" ht="74" customHeight="1">
      <x:c r="A826" s="10" t="str">
        <x:v>SUBSET-20261015-drive-wb</x:v>
      </x:c>
      <x:c r="B826" s="10" t="str">
        <x:v>WFP-09</x:v>
      </x:c>
      <x:c r="C826" s="10" t="str">
        <x:v>setfileinfo_test</x:v>
      </x:c>
      <x:c r="D826" s="10" t="str">
        <x:v>WinFsp fork 默认子集</x:v>
      </x:c>
      <x:c r="E826" s="10" t="str">
        <x:v>drive</x:v>
      </x:c>
      <x:c r="F826" s="10" t="str">
        <x:v>后台</x:v>
      </x:c>
      <x:c r="G826" s="19" t="d">
        <x:v>2026-10-15T00:00:00.000Z</x:v>
      </x:c>
      <x:c r="H826" s="10" t="str">
        <x:v>已通过</x:v>
      </x:c>
      <x:c r="I826" s="21" t="n">
        <x:v>0.327</x:v>
      </x:c>
      <x:c r="J826" s="10" t="str">
        <x:v>JuiceFS 1.3.0+30190ca / WinFsp 2.1.25156；测试工具 S01–S04</x:v>
      </x:c>
      <x:c r="K826" s="10" t="str">
        <x:v>JuiceFS Windows CI 子集；attr-cache=0；云端 get-timeout=5m</x:v>
      </x:c>
      <x:c r="L826" s="10" t="str">
        <x:v>e920ead94a8e28f04e326664178b0c9f02d492b1 + productChanges / plansSha256 见 E01</x:v>
      </x:c>
      <x:c r="M826" s="10" t="str">
        <x:v>E01 / juicefs-upstream-run-PnYPG8</x:v>
      </x:c>
      <x:c r="N826" s="10" t="str">
        <x:v>--fuse-external --resilient --case-insensitive-cmp</x:v>
      </x:c>
    </x:row>
    <x:row r="827" ht="74" customHeight="1">
      <x:c r="A827" s="11" t="str">
        <x:v>SUBSET-20261015-drive-wb</x:v>
      </x:c>
      <x:c r="B827" s="11" t="str">
        <x:v>WFP-10</x:v>
      </x:c>
      <x:c r="C827" s="11" t="str">
        <x:v>delete_test</x:v>
      </x:c>
      <x:c r="D827" s="11" t="str">
        <x:v>WinFsp fork 默认子集</x:v>
      </x:c>
      <x:c r="E827" s="11" t="str">
        <x:v>drive</x:v>
      </x:c>
      <x:c r="F827" s="11" t="str">
        <x:v>后台</x:v>
      </x:c>
      <x:c r="G827" s="20" t="d">
        <x:v>2026-10-15T00:00:00.000Z</x:v>
      </x:c>
      <x:c r="H827" s="11" t="str">
        <x:v>已通过</x:v>
      </x:c>
      <x:c r="I827" s="22" t="n">
        <x:v>0.328</x:v>
      </x:c>
      <x:c r="J827" s="11" t="str">
        <x:v>JuiceFS 1.3.0+30190ca / WinFsp 2.1.25156；测试工具 S01–S04</x:v>
      </x:c>
      <x:c r="K827" s="11" t="str">
        <x:v>JuiceFS Windows CI 子集；attr-cache=0；云端 get-timeout=5m</x:v>
      </x:c>
      <x:c r="L827" s="11" t="str">
        <x:v>e920ead94a8e28f04e326664178b0c9f02d492b1 + productChanges / plansSha256 见 E01</x:v>
      </x:c>
      <x:c r="M827" s="11" t="str">
        <x:v>E01 / juicefs-upstream-run-PnYPG8</x:v>
      </x:c>
      <x:c r="N827" s="11" t="str">
        <x:v>--fuse-external --resilient --case-insensitive-cmp</x:v>
      </x:c>
    </x:row>
    <x:row r="828" ht="74" customHeight="1">
      <x:c r="A828" s="10" t="str">
        <x:v>SUBSET-20261015-drive-wb</x:v>
      </x:c>
      <x:c r="B828" s="10" t="str">
        <x:v>WFP-11</x:v>
      </x:c>
      <x:c r="C828" s="10" t="str">
        <x:v>delete_access_test</x:v>
      </x:c>
      <x:c r="D828" s="10" t="str">
        <x:v>WinFsp fork 默认子集</x:v>
      </x:c>
      <x:c r="E828" s="10" t="str">
        <x:v>drive</x:v>
      </x:c>
      <x:c r="F828" s="10" t="str">
        <x:v>后台</x:v>
      </x:c>
      <x:c r="G828" s="19" t="d">
        <x:v>2026-10-15T00:00:00.000Z</x:v>
      </x:c>
      <x:c r="H828" s="10" t="str">
        <x:v>已通过</x:v>
      </x:c>
      <x:c r="I828" s="21" t="n">
        <x:v>0.337</x:v>
      </x:c>
      <x:c r="J828" s="10" t="str">
        <x:v>JuiceFS 1.3.0+30190ca / WinFsp 2.1.25156；测试工具 S01–S04</x:v>
      </x:c>
      <x:c r="K828" s="10" t="str">
        <x:v>JuiceFS Windows CI 子集；attr-cache=0；云端 get-timeout=5m</x:v>
      </x:c>
      <x:c r="L828" s="10" t="str">
        <x:v>e920ead94a8e28f04e326664178b0c9f02d492b1 + productChanges / plansSha256 见 E01</x:v>
      </x:c>
      <x:c r="M828" s="10" t="str">
        <x:v>E01 / juicefs-upstream-run-PnYPG8</x:v>
      </x:c>
      <x:c r="N828" s="10" t="str">
        <x:v>--fuse-external --resilient --case-insensitive-cmp</x:v>
      </x:c>
    </x:row>
    <x:row r="829" ht="74" customHeight="1">
      <x:c r="A829" s="11" t="str">
        <x:v>SUBSET-20261015-drive-wb</x:v>
      </x:c>
      <x:c r="B829" s="11" t="str">
        <x:v>WFP-12</x:v>
      </x:c>
      <x:c r="C829" s="11" t="str">
        <x:v>delete_pending_test</x:v>
      </x:c>
      <x:c r="D829" s="11" t="str">
        <x:v>WinFsp fork 默认子集</x:v>
      </x:c>
      <x:c r="E829" s="11" t="str">
        <x:v>drive</x:v>
      </x:c>
      <x:c r="F829" s="11" t="str">
        <x:v>后台</x:v>
      </x:c>
      <x:c r="G829" s="20" t="d">
        <x:v>2026-10-15T00:00:00.000Z</x:v>
      </x:c>
      <x:c r="H829" s="11" t="str">
        <x:v>已通过</x:v>
      </x:c>
      <x:c r="I829" s="22" t="n">
        <x:v>0.325</x:v>
      </x:c>
      <x:c r="J829" s="11" t="str">
        <x:v>JuiceFS 1.3.0+30190ca / WinFsp 2.1.25156；测试工具 S01–S04</x:v>
      </x:c>
      <x:c r="K829" s="11" t="str">
        <x:v>JuiceFS Windows CI 子集；attr-cache=0；云端 get-timeout=5m</x:v>
      </x:c>
      <x:c r="L829" s="11" t="str">
        <x:v>e920ead94a8e28f04e326664178b0c9f02d492b1 + productChanges / plansSha256 见 E01</x:v>
      </x:c>
      <x:c r="M829" s="11" t="str">
        <x:v>E01 / juicefs-upstream-run-PnYPG8</x:v>
      </x:c>
      <x:c r="N829" s="11" t="str">
        <x:v>--fuse-external --resilient --case-insensitive-cmp</x:v>
      </x:c>
    </x:row>
    <x:row r="830" ht="74" customHeight="1">
      <x:c r="A830" s="10" t="str">
        <x:v>SUBSET-20261015-drive-wb</x:v>
      </x:c>
      <x:c r="B830" s="10" t="str">
        <x:v>WFP-13</x:v>
      </x:c>
      <x:c r="C830" s="10" t="str">
        <x:v>delete_mmap_test</x:v>
      </x:c>
      <x:c r="D830" s="10" t="str">
        <x:v>WinFsp fork 默认子集</x:v>
      </x:c>
      <x:c r="E830" s="10" t="str">
        <x:v>drive</x:v>
      </x:c>
      <x:c r="F830" s="10" t="str">
        <x:v>后台</x:v>
      </x:c>
      <x:c r="G830" s="19" t="d">
        <x:v>2026-10-15T00:00:00.000Z</x:v>
      </x:c>
      <x:c r="H830" s="10" t="str">
        <x:v>已通过</x:v>
      </x:c>
      <x:c r="I830" s="21" t="n">
        <x:v>0.317</x:v>
      </x:c>
      <x:c r="J830" s="10" t="str">
        <x:v>JuiceFS 1.3.0+30190ca / WinFsp 2.1.25156；测试工具 S01–S04</x:v>
      </x:c>
      <x:c r="K830" s="10" t="str">
        <x:v>JuiceFS Windows CI 子集；attr-cache=0；云端 get-timeout=5m</x:v>
      </x:c>
      <x:c r="L830" s="10" t="str">
        <x:v>e920ead94a8e28f04e326664178b0c9f02d492b1 + productChanges / plansSha256 见 E01</x:v>
      </x:c>
      <x:c r="M830" s="10" t="str">
        <x:v>E01 / juicefs-upstream-run-PnYPG8</x:v>
      </x:c>
      <x:c r="N830" s="10" t="str">
        <x:v>--fuse-external --resilient --case-insensitive-cmp</x:v>
      </x:c>
    </x:row>
    <x:row r="831" ht="74" customHeight="1">
      <x:c r="A831" s="11" t="str">
        <x:v>SUBSET-20261015-drive-wb</x:v>
      </x:c>
      <x:c r="B831" s="11" t="str">
        <x:v>WFP-14</x:v>
      </x:c>
      <x:c r="C831" s="11" t="str">
        <x:v>delete_standby_test</x:v>
      </x:c>
      <x:c r="D831" s="11" t="str">
        <x:v>WinFsp fork 默认子集</x:v>
      </x:c>
      <x:c r="E831" s="11" t="str">
        <x:v>drive</x:v>
      </x:c>
      <x:c r="F831" s="11" t="str">
        <x:v>后台</x:v>
      </x:c>
      <x:c r="G831" s="20" t="d">
        <x:v>2026-10-15T00:00:00.000Z</x:v>
      </x:c>
      <x:c r="H831" s="11" t="str">
        <x:v>已通过</x:v>
      </x:c>
      <x:c r="I831" s="22" t="n">
        <x:v>0.391</x:v>
      </x:c>
      <x:c r="J831" s="11" t="str">
        <x:v>JuiceFS 1.3.0+30190ca / WinFsp 2.1.25156；测试工具 S01–S04</x:v>
      </x:c>
      <x:c r="K831" s="11" t="str">
        <x:v>JuiceFS Windows CI 子集；attr-cache=0；云端 get-timeout=5m</x:v>
      </x:c>
      <x:c r="L831" s="11" t="str">
        <x:v>e920ead94a8e28f04e326664178b0c9f02d492b1 + productChanges / plansSha256 见 E01</x:v>
      </x:c>
      <x:c r="M831" s="11" t="str">
        <x:v>E01 / juicefs-upstream-run-PnYPG8</x:v>
      </x:c>
      <x:c r="N831" s="11" t="str">
        <x:v>--fuse-external --resilient --case-insensitive-cmp</x:v>
      </x:c>
    </x:row>
    <x:row r="832" ht="74" customHeight="1">
      <x:c r="A832" s="10" t="str">
        <x:v>SUBSET-20261015-drive-wb</x:v>
      </x:c>
      <x:c r="B832" s="10" t="str">
        <x:v>WFP-15</x:v>
      </x:c>
      <x:c r="C832" s="10" t="str">
        <x:v>delete_ex_test</x:v>
      </x:c>
      <x:c r="D832" s="10" t="str">
        <x:v>WinFsp fork 默认子集</x:v>
      </x:c>
      <x:c r="E832" s="10" t="str">
        <x:v>drive</x:v>
      </x:c>
      <x:c r="F832" s="10" t="str">
        <x:v>后台</x:v>
      </x:c>
      <x:c r="G832" s="19" t="d">
        <x:v>2026-10-15T00:00:00.000Z</x:v>
      </x:c>
      <x:c r="H832" s="10" t="str">
        <x:v>已通过</x:v>
      </x:c>
      <x:c r="I832" s="21" t="n">
        <x:v>0.329</x:v>
      </x:c>
      <x:c r="J832" s="10" t="str">
        <x:v>JuiceFS 1.3.0+30190ca / WinFsp 2.1.25156；测试工具 S01–S04</x:v>
      </x:c>
      <x:c r="K832" s="10" t="str">
        <x:v>JuiceFS Windows CI 子集；attr-cache=0；云端 get-timeout=5m</x:v>
      </x:c>
      <x:c r="L832" s="10" t="str">
        <x:v>e920ead94a8e28f04e326664178b0c9f02d492b1 + productChanges / plansSha256 见 E01</x:v>
      </x:c>
      <x:c r="M832" s="10" t="str">
        <x:v>E01 / juicefs-upstream-run-PnYPG8</x:v>
      </x:c>
      <x:c r="N832" s="10" t="str">
        <x:v>--fuse-external --resilient --case-insensitive-cmp</x:v>
      </x:c>
    </x:row>
    <x:row r="833" ht="74" customHeight="1">
      <x:c r="A833" s="11" t="str">
        <x:v>SUBSET-20261015-drive-wb</x:v>
      </x:c>
      <x:c r="B833" s="11" t="str">
        <x:v>WFP-16</x:v>
      </x:c>
      <x:c r="C833" s="11" t="str">
        <x:v>rename_test</x:v>
      </x:c>
      <x:c r="D833" s="11" t="str">
        <x:v>WinFsp fork 默认子集</x:v>
      </x:c>
      <x:c r="E833" s="11" t="str">
        <x:v>drive</x:v>
      </x:c>
      <x:c r="F833" s="11" t="str">
        <x:v>后台</x:v>
      </x:c>
      <x:c r="G833" s="20" t="d">
        <x:v>2026-10-15T00:00:00.000Z</x:v>
      </x:c>
      <x:c r="H833" s="11" t="str">
        <x:v>已通过</x:v>
      </x:c>
      <x:c r="I833" s="22" t="n">
        <x:v>0.514</x:v>
      </x:c>
      <x:c r="J833" s="11" t="str">
        <x:v>JuiceFS 1.3.0+30190ca / WinFsp 2.1.25156；测试工具 S01–S04</x:v>
      </x:c>
      <x:c r="K833" s="11" t="str">
        <x:v>JuiceFS Windows CI 子集；attr-cache=0；云端 get-timeout=5m</x:v>
      </x:c>
      <x:c r="L833" s="11" t="str">
        <x:v>e920ead94a8e28f04e326664178b0c9f02d492b1 + productChanges / plansSha256 见 E01</x:v>
      </x:c>
      <x:c r="M833" s="11" t="str">
        <x:v>E01 / juicefs-upstream-run-PnYPG8</x:v>
      </x:c>
      <x:c r="N833" s="11" t="str">
        <x:v>--fuse-external --resilient --case-insensitive-cmp</x:v>
      </x:c>
    </x:row>
    <x:row r="834" ht="74" customHeight="1">
      <x:c r="A834" s="10" t="str">
        <x:v>SUBSET-20261015-drive-wb</x:v>
      </x:c>
      <x:c r="B834" s="10" t="str">
        <x:v>WFP-17</x:v>
      </x:c>
      <x:c r="C834" s="10" t="str">
        <x:v>rename_backslash_test</x:v>
      </x:c>
      <x:c r="D834" s="10" t="str">
        <x:v>WinFsp fork 默认子集</x:v>
      </x:c>
      <x:c r="E834" s="10" t="str">
        <x:v>drive</x:v>
      </x:c>
      <x:c r="F834" s="10" t="str">
        <x:v>后台</x:v>
      </x:c>
      <x:c r="G834" s="19" t="d">
        <x:v>2026-10-15T00:00:00.000Z</x:v>
      </x:c>
      <x:c r="H834" s="10" t="str">
        <x:v>已通过</x:v>
      </x:c>
      <x:c r="I834" s="21" t="n">
        <x:v>0.337</x:v>
      </x:c>
      <x:c r="J834" s="10" t="str">
        <x:v>JuiceFS 1.3.0+30190ca / WinFsp 2.1.25156；测试工具 S01–S04</x:v>
      </x:c>
      <x:c r="K834" s="10" t="str">
        <x:v>JuiceFS Windows CI 子集；attr-cache=0；云端 get-timeout=5m</x:v>
      </x:c>
      <x:c r="L834" s="10" t="str">
        <x:v>e920ead94a8e28f04e326664178b0c9f02d492b1 + productChanges / plansSha256 见 E01</x:v>
      </x:c>
      <x:c r="M834" s="10" t="str">
        <x:v>E01 / juicefs-upstream-run-PnYPG8</x:v>
      </x:c>
      <x:c r="N834" s="10" t="str">
        <x:v>--fuse-external --resilient --case-insensitive-cmp</x:v>
      </x:c>
    </x:row>
    <x:row r="835" ht="74" customHeight="1">
      <x:c r="A835" s="11" t="str">
        <x:v>SUBSET-20261015-drive-wb</x:v>
      </x:c>
      <x:c r="B835" s="11" t="str">
        <x:v>WFP-18</x:v>
      </x:c>
      <x:c r="C835" s="11" t="str">
        <x:v>rename_open_test</x:v>
      </x:c>
      <x:c r="D835" s="11" t="str">
        <x:v>WinFsp fork 默认子集</x:v>
      </x:c>
      <x:c r="E835" s="11" t="str">
        <x:v>drive</x:v>
      </x:c>
      <x:c r="F835" s="11" t="str">
        <x:v>后台</x:v>
      </x:c>
      <x:c r="G835" s="20" t="d">
        <x:v>2026-10-15T00:00:00.000Z</x:v>
      </x:c>
      <x:c r="H835" s="11" t="str">
        <x:v>已通过</x:v>
      </x:c>
      <x:c r="I835" s="22" t="n">
        <x:v>0.339</x:v>
      </x:c>
      <x:c r="J835" s="11" t="str">
        <x:v>JuiceFS 1.3.0+30190ca / WinFsp 2.1.25156；测试工具 S01–S04</x:v>
      </x:c>
      <x:c r="K835" s="11" t="str">
        <x:v>JuiceFS Windows CI 子集；attr-cache=0；云端 get-timeout=5m</x:v>
      </x:c>
      <x:c r="L835" s="11" t="str">
        <x:v>e920ead94a8e28f04e326664178b0c9f02d492b1 + productChanges / plansSha256 见 E01</x:v>
      </x:c>
      <x:c r="M835" s="11" t="str">
        <x:v>E01 / juicefs-upstream-run-PnYPG8</x:v>
      </x:c>
      <x:c r="N835" s="11" t="str">
        <x:v>--fuse-external --resilient --case-insensitive-cmp</x:v>
      </x:c>
    </x:row>
    <x:row r="836" ht="74" customHeight="1">
      <x:c r="A836" s="10" t="str">
        <x:v>SUBSET-20261015-drive-wb</x:v>
      </x:c>
      <x:c r="B836" s="10" t="str">
        <x:v>WFP-19</x:v>
      </x:c>
      <x:c r="C836" s="10" t="str">
        <x:v>rename_caseins_test</x:v>
      </x:c>
      <x:c r="D836" s="10" t="str">
        <x:v>WinFsp fork 默认子集</x:v>
      </x:c>
      <x:c r="E836" s="10" t="str">
        <x:v>drive</x:v>
      </x:c>
      <x:c r="F836" s="10" t="str">
        <x:v>后台</x:v>
      </x:c>
      <x:c r="G836" s="19" t="d">
        <x:v>2026-10-15T00:00:00.000Z</x:v>
      </x:c>
      <x:c r="H836" s="10" t="str">
        <x:v>已通过</x:v>
      </x:c>
      <x:c r="I836" s="21" t="n">
        <x:v>0.507</x:v>
      </x:c>
      <x:c r="J836" s="10" t="str">
        <x:v>JuiceFS 1.3.0+30190ca / WinFsp 2.1.25156；测试工具 S01–S04</x:v>
      </x:c>
      <x:c r="K836" s="10" t="str">
        <x:v>JuiceFS Windows CI 子集；attr-cache=0；云端 get-timeout=5m</x:v>
      </x:c>
      <x:c r="L836" s="10" t="str">
        <x:v>e920ead94a8e28f04e326664178b0c9f02d492b1 + productChanges / plansSha256 见 E01</x:v>
      </x:c>
      <x:c r="M836" s="10" t="str">
        <x:v>E01 / juicefs-upstream-run-PnYPG8</x:v>
      </x:c>
      <x:c r="N836" s="10" t="str">
        <x:v>--fuse-external --resilient --case-insensitive-cmp</x:v>
      </x:c>
    </x:row>
    <x:row r="837" ht="74" customHeight="1">
      <x:c r="A837" s="11" t="str">
        <x:v>SUBSET-20261015-drive-wb</x:v>
      </x:c>
      <x:c r="B837" s="11" t="str">
        <x:v>WFP-20</x:v>
      </x:c>
      <x:c r="C837" s="11" t="str">
        <x:v>rename_flipflop_test</x:v>
      </x:c>
      <x:c r="D837" s="11" t="str">
        <x:v>WinFsp fork 默认子集</x:v>
      </x:c>
      <x:c r="E837" s="11" t="str">
        <x:v>drive</x:v>
      </x:c>
      <x:c r="F837" s="11" t="str">
        <x:v>后台</x:v>
      </x:c>
      <x:c r="G837" s="20" t="d">
        <x:v>2026-10-15T00:00:00.000Z</x:v>
      </x:c>
      <x:c r="H837" s="11" t="str">
        <x:v>已通过</x:v>
      </x:c>
      <x:c r="I837" s="22" t="n">
        <x:v>0.297</x:v>
      </x:c>
      <x:c r="J837" s="11" t="str">
        <x:v>JuiceFS 1.3.0+30190ca / WinFsp 2.1.25156；测试工具 S01–S04</x:v>
      </x:c>
      <x:c r="K837" s="11" t="str">
        <x:v>JuiceFS Windows CI 子集；attr-cache=0；云端 get-timeout=5m</x:v>
      </x:c>
      <x:c r="L837" s="11" t="str">
        <x:v>e920ead94a8e28f04e326664178b0c9f02d492b1 + productChanges / plansSha256 见 E01</x:v>
      </x:c>
      <x:c r="M837" s="11" t="str">
        <x:v>E01 / juicefs-upstream-run-PnYPG8</x:v>
      </x:c>
      <x:c r="N837" s="11" t="str">
        <x:v>--fuse-external --resilient --case-insensitive-cmp</x:v>
      </x:c>
    </x:row>
    <x:row r="838" ht="74" customHeight="1">
      <x:c r="A838" s="10" t="str">
        <x:v>SUBSET-20261015-drive-wb</x:v>
      </x:c>
      <x:c r="B838" s="10" t="str">
        <x:v>WFP-21</x:v>
      </x:c>
      <x:c r="C838" s="10" t="str">
        <x:v>rename_mmap_test</x:v>
      </x:c>
      <x:c r="D838" s="10" t="str">
        <x:v>WinFsp fork 默认子集</x:v>
      </x:c>
      <x:c r="E838" s="10" t="str">
        <x:v>drive</x:v>
      </x:c>
      <x:c r="F838" s="10" t="str">
        <x:v>后台</x:v>
      </x:c>
      <x:c r="G838" s="19" t="d">
        <x:v>2026-10-15T00:00:00.000Z</x:v>
      </x:c>
      <x:c r="H838" s="10" t="str">
        <x:v>已通过</x:v>
      </x:c>
      <x:c r="I838" s="21" t="n">
        <x:v>0.336</x:v>
      </x:c>
      <x:c r="J838" s="10" t="str">
        <x:v>JuiceFS 1.3.0+30190ca / WinFsp 2.1.25156；测试工具 S01–S04</x:v>
      </x:c>
      <x:c r="K838" s="10" t="str">
        <x:v>JuiceFS Windows CI 子集；attr-cache=0；云端 get-timeout=5m</x:v>
      </x:c>
      <x:c r="L838" s="10" t="str">
        <x:v>e920ead94a8e28f04e326664178b0c9f02d492b1 + productChanges / plansSha256 见 E01</x:v>
      </x:c>
      <x:c r="M838" s="10" t="str">
        <x:v>E01 / juicefs-upstream-run-PnYPG8</x:v>
      </x:c>
      <x:c r="N838" s="10" t="str">
        <x:v>--fuse-external --resilient --case-insensitive-cmp</x:v>
      </x:c>
    </x:row>
    <x:row r="839" ht="74" customHeight="1">
      <x:c r="A839" s="11" t="str">
        <x:v>SUBSET-20261015-drive-wb</x:v>
      </x:c>
      <x:c r="B839" s="11" t="str">
        <x:v>WFP-22</x:v>
      </x:c>
      <x:c r="C839" s="11" t="str">
        <x:v>rename_standby_test</x:v>
      </x:c>
      <x:c r="D839" s="11" t="str">
        <x:v>WinFsp fork 默认子集</x:v>
      </x:c>
      <x:c r="E839" s="11" t="str">
        <x:v>drive</x:v>
      </x:c>
      <x:c r="F839" s="11" t="str">
        <x:v>后台</x:v>
      </x:c>
      <x:c r="G839" s="20" t="d">
        <x:v>2026-10-15T00:00:00.000Z</x:v>
      </x:c>
      <x:c r="H839" s="11" t="str">
        <x:v>已通过</x:v>
      </x:c>
      <x:c r="I839" s="22" t="n">
        <x:v>0.419</x:v>
      </x:c>
      <x:c r="J839" s="11" t="str">
        <x:v>JuiceFS 1.3.0+30190ca / WinFsp 2.1.25156；测试工具 S01–S04</x:v>
      </x:c>
      <x:c r="K839" s="11" t="str">
        <x:v>JuiceFS Windows CI 子集；attr-cache=0；云端 get-timeout=5m</x:v>
      </x:c>
      <x:c r="L839" s="11" t="str">
        <x:v>e920ead94a8e28f04e326664178b0c9f02d492b1 + productChanges / plansSha256 见 E01</x:v>
      </x:c>
      <x:c r="M839" s="11" t="str">
        <x:v>E01 / juicefs-upstream-run-PnYPG8</x:v>
      </x:c>
      <x:c r="N839" s="11" t="str">
        <x:v>--fuse-external --resilient --case-insensitive-cmp</x:v>
      </x:c>
    </x:row>
    <x:row r="840" ht="74" customHeight="1">
      <x:c r="A840" s="10" t="str">
        <x:v>SUBSET-20261015-drive-wb</x:v>
      </x:c>
      <x:c r="B840" s="10" t="str">
        <x:v>WFP-23</x:v>
      </x:c>
      <x:c r="C840" s="10" t="str">
        <x:v>rename_ex_test</x:v>
      </x:c>
      <x:c r="D840" s="10" t="str">
        <x:v>WinFsp fork 默认子集</x:v>
      </x:c>
      <x:c r="E840" s="10" t="str">
        <x:v>drive</x:v>
      </x:c>
      <x:c r="F840" s="10" t="str">
        <x:v>后台</x:v>
      </x:c>
      <x:c r="G840" s="19" t="d">
        <x:v>2026-10-15T00:00:00.000Z</x:v>
      </x:c>
      <x:c r="H840" s="10" t="str">
        <x:v>已通过</x:v>
      </x:c>
      <x:c r="I840" s="21" t="n">
        <x:v>0.312</x:v>
      </x:c>
      <x:c r="J840" s="10" t="str">
        <x:v>JuiceFS 1.3.0+30190ca / WinFsp 2.1.25156；测试工具 S01–S04</x:v>
      </x:c>
      <x:c r="K840" s="10" t="str">
        <x:v>JuiceFS Windows CI 子集；attr-cache=0；云端 get-timeout=5m</x:v>
      </x:c>
      <x:c r="L840" s="10" t="str">
        <x:v>e920ead94a8e28f04e326664178b0c9f02d492b1 + productChanges / plansSha256 见 E01</x:v>
      </x:c>
      <x:c r="M840" s="10" t="str">
        <x:v>E01 / juicefs-upstream-run-PnYPG8</x:v>
      </x:c>
      <x:c r="N840" s="10" t="str">
        <x:v>--fuse-external --resilient --case-insensitive-cmp</x:v>
      </x:c>
    </x:row>
    <x:row r="841" ht="74" customHeight="1">
      <x:c r="A841" s="11" t="str">
        <x:v>SUBSET-20261015-drive-wb</x:v>
      </x:c>
      <x:c r="B841" s="11" t="str">
        <x:v>WFP-24</x:v>
      </x:c>
      <x:c r="C841" s="11" t="str">
        <x:v>getvolinfo_test</x:v>
      </x:c>
      <x:c r="D841" s="11" t="str">
        <x:v>WinFsp fork 默认子集</x:v>
      </x:c>
      <x:c r="E841" s="11" t="str">
        <x:v>drive</x:v>
      </x:c>
      <x:c r="F841" s="11" t="str">
        <x:v>后台</x:v>
      </x:c>
      <x:c r="G841" s="20" t="d">
        <x:v>2026-10-15T00:00:00.000Z</x:v>
      </x:c>
      <x:c r="H841" s="11" t="str">
        <x:v>已通过</x:v>
      </x:c>
      <x:c r="I841" s="22" t="n">
        <x:v>0.303</x:v>
      </x:c>
      <x:c r="J841" s="11" t="str">
        <x:v>JuiceFS 1.3.0+30190ca / WinFsp 2.1.25156；测试工具 S01–S04</x:v>
      </x:c>
      <x:c r="K841" s="11" t="str">
        <x:v>JuiceFS Windows CI 子集；attr-cache=0；云端 get-timeout=5m</x:v>
      </x:c>
      <x:c r="L841" s="11" t="str">
        <x:v>e920ead94a8e28f04e326664178b0c9f02d492b1 + productChanges / plansSha256 见 E01</x:v>
      </x:c>
      <x:c r="M841" s="11" t="str">
        <x:v>E01 / juicefs-upstream-run-PnYPG8</x:v>
      </x:c>
      <x:c r="N841" s="11" t="str">
        <x:v>--fuse-external --resilient --case-insensitive-cmp</x:v>
      </x:c>
    </x:row>
    <x:row r="842" ht="74" customHeight="1">
      <x:c r="A842" s="10" t="str">
        <x:v>SUBSET-20261015-drive-wb</x:v>
      </x:c>
      <x:c r="B842" s="10" t="str">
        <x:v>WFP-25</x:v>
      </x:c>
      <x:c r="C842" s="10" t="str">
        <x:v>setvolinfo_test</x:v>
      </x:c>
      <x:c r="D842" s="10" t="str">
        <x:v>WinFsp fork 默认子集</x:v>
      </x:c>
      <x:c r="E842" s="10" t="str">
        <x:v>drive</x:v>
      </x:c>
      <x:c r="F842" s="10" t="str">
        <x:v>后台</x:v>
      </x:c>
      <x:c r="G842" s="19" t="d">
        <x:v>2026-10-15T00:00:00.000Z</x:v>
      </x:c>
      <x:c r="H842" s="10" t="str">
        <x:v>已通过</x:v>
      </x:c>
      <x:c r="I842" s="21" t="n">
        <x:v>0.322</x:v>
      </x:c>
      <x:c r="J842" s="10" t="str">
        <x:v>JuiceFS 1.3.0+30190ca / WinFsp 2.1.25156；测试工具 S01–S04</x:v>
      </x:c>
      <x:c r="K842" s="10" t="str">
        <x:v>JuiceFS Windows CI 子集；attr-cache=0；云端 get-timeout=5m</x:v>
      </x:c>
      <x:c r="L842" s="10" t="str">
        <x:v>e920ead94a8e28f04e326664178b0c9f02d492b1 + productChanges / plansSha256 见 E01</x:v>
      </x:c>
      <x:c r="M842" s="10" t="str">
        <x:v>E01 / juicefs-upstream-run-PnYPG8</x:v>
      </x:c>
      <x:c r="N842" s="10" t="str">
        <x:v>--fuse-external --resilient --case-insensitive-cmp</x:v>
      </x:c>
    </x:row>
    <x:row r="843" ht="74" customHeight="1">
      <x:c r="A843" s="11" t="str">
        <x:v>SUBSET-20261015-drive-wb</x:v>
      </x:c>
      <x:c r="B843" s="11" t="str">
        <x:v>WFP-26</x:v>
      </x:c>
      <x:c r="C843" s="11" t="str">
        <x:v>getsecurity_test</x:v>
      </x:c>
      <x:c r="D843" s="11" t="str">
        <x:v>WinFsp fork 默认子集</x:v>
      </x:c>
      <x:c r="E843" s="11" t="str">
        <x:v>drive</x:v>
      </x:c>
      <x:c r="F843" s="11" t="str">
        <x:v>后台</x:v>
      </x:c>
      <x:c r="G843" s="20" t="d">
        <x:v>2026-10-15T00:00:00.000Z</x:v>
      </x:c>
      <x:c r="H843" s="11" t="str">
        <x:v>已通过</x:v>
      </x:c>
      <x:c r="I843" s="22" t="n">
        <x:v>0.319</x:v>
      </x:c>
      <x:c r="J843" s="11" t="str">
        <x:v>JuiceFS 1.3.0+30190ca / WinFsp 2.1.25156；测试工具 S01–S04</x:v>
      </x:c>
      <x:c r="K843" s="11" t="str">
        <x:v>JuiceFS Windows CI 子集；attr-cache=0；云端 get-timeout=5m</x:v>
      </x:c>
      <x:c r="L843" s="11" t="str">
        <x:v>e920ead94a8e28f04e326664178b0c9f02d492b1 + productChanges / plansSha256 见 E01</x:v>
      </x:c>
      <x:c r="M843" s="11" t="str">
        <x:v>E01 / juicefs-upstream-run-PnYPG8</x:v>
      </x:c>
      <x:c r="N843" s="11" t="str">
        <x:v>--fuse-external --resilient --case-insensitive-cmp</x:v>
      </x:c>
    </x:row>
    <x:row r="844" ht="74" customHeight="1">
      <x:c r="A844" s="10" t="str">
        <x:v>SUBSET-20261015-drive-wb</x:v>
      </x:c>
      <x:c r="B844" s="10" t="str">
        <x:v>WFP-27</x:v>
      </x:c>
      <x:c r="C844" s="10" t="str">
        <x:v>rdwr_noncached_test</x:v>
      </x:c>
      <x:c r="D844" s="10" t="str">
        <x:v>WinFsp fork 默认子集</x:v>
      </x:c>
      <x:c r="E844" s="10" t="str">
        <x:v>drive</x:v>
      </x:c>
      <x:c r="F844" s="10" t="str">
        <x:v>后台</x:v>
      </x:c>
      <x:c r="G844" s="19" t="d">
        <x:v>2026-10-15T00:00:00.000Z</x:v>
      </x:c>
      <x:c r="H844" s="10" t="str">
        <x:v>已通过</x:v>
      </x:c>
      <x:c r="I844" s="21" t="n">
        <x:v>0.525</x:v>
      </x:c>
      <x:c r="J844" s="10" t="str">
        <x:v>JuiceFS 1.3.0+30190ca / WinFsp 2.1.25156；测试工具 S01–S04</x:v>
      </x:c>
      <x:c r="K844" s="10" t="str">
        <x:v>JuiceFS Windows CI 子集；attr-cache=0；云端 get-timeout=5m</x:v>
      </x:c>
      <x:c r="L844" s="10" t="str">
        <x:v>e920ead94a8e28f04e326664178b0c9f02d492b1 + productChanges / plansSha256 见 E01</x:v>
      </x:c>
      <x:c r="M844" s="10" t="str">
        <x:v>E01 / juicefs-upstream-run-PnYPG8</x:v>
      </x:c>
      <x:c r="N844" s="10" t="str">
        <x:v>--fuse-external --resilient --case-insensitive-cmp</x:v>
      </x:c>
    </x:row>
    <x:row r="845" ht="74" customHeight="1">
      <x:c r="A845" s="11" t="str">
        <x:v>SUBSET-20261015-drive-wb</x:v>
      </x:c>
      <x:c r="B845" s="11" t="str">
        <x:v>WFP-28</x:v>
      </x:c>
      <x:c r="C845" s="11" t="str">
        <x:v>rdwr_noncached_overlapped_test</x:v>
      </x:c>
      <x:c r="D845" s="11" t="str">
        <x:v>WinFsp fork 默认子集</x:v>
      </x:c>
      <x:c r="E845" s="11" t="str">
        <x:v>drive</x:v>
      </x:c>
      <x:c r="F845" s="11" t="str">
        <x:v>后台</x:v>
      </x:c>
      <x:c r="G845" s="20" t="d">
        <x:v>2026-10-15T00:00:00.000Z</x:v>
      </x:c>
      <x:c r="H845" s="11" t="str">
        <x:v>已通过</x:v>
      </x:c>
      <x:c r="I845" s="22" t="n">
        <x:v>0.464</x:v>
      </x:c>
      <x:c r="J845" s="11" t="str">
        <x:v>JuiceFS 1.3.0+30190ca / WinFsp 2.1.25156；测试工具 S01–S04</x:v>
      </x:c>
      <x:c r="K845" s="11" t="str">
        <x:v>JuiceFS Windows CI 子集；attr-cache=0；云端 get-timeout=5m</x:v>
      </x:c>
      <x:c r="L845" s="11" t="str">
        <x:v>e920ead94a8e28f04e326664178b0c9f02d492b1 + productChanges / plansSha256 见 E01</x:v>
      </x:c>
      <x:c r="M845" s="11" t="str">
        <x:v>E01 / juicefs-upstream-run-PnYPG8</x:v>
      </x:c>
      <x:c r="N845" s="11" t="str">
        <x:v>--fuse-external --resilient --case-insensitive-cmp</x:v>
      </x:c>
    </x:row>
    <x:row r="846" ht="74" customHeight="1">
      <x:c r="A846" s="10" t="str">
        <x:v>SUBSET-20261015-drive-wb</x:v>
      </x:c>
      <x:c r="B846" s="10" t="str">
        <x:v>WFP-29</x:v>
      </x:c>
      <x:c r="C846" s="10" t="str">
        <x:v>rdwr_cached_test</x:v>
      </x:c>
      <x:c r="D846" s="10" t="str">
        <x:v>WinFsp fork 默认子集</x:v>
      </x:c>
      <x:c r="E846" s="10" t="str">
        <x:v>drive</x:v>
      </x:c>
      <x:c r="F846" s="10" t="str">
        <x:v>后台</x:v>
      </x:c>
      <x:c r="G846" s="19" t="d">
        <x:v>2026-10-15T00:00:00.000Z</x:v>
      </x:c>
      <x:c r="H846" s="10" t="str">
        <x:v>已通过</x:v>
      </x:c>
      <x:c r="I846" s="21" t="n">
        <x:v>0.312</x:v>
      </x:c>
      <x:c r="J846" s="10" t="str">
        <x:v>JuiceFS 1.3.0+30190ca / WinFsp 2.1.25156；测试工具 S01–S04</x:v>
      </x:c>
      <x:c r="K846" s="10" t="str">
        <x:v>JuiceFS Windows CI 子集；attr-cache=0；云端 get-timeout=5m</x:v>
      </x:c>
      <x:c r="L846" s="10" t="str">
        <x:v>e920ead94a8e28f04e326664178b0c9f02d492b1 + productChanges / plansSha256 见 E01</x:v>
      </x:c>
      <x:c r="M846" s="10" t="str">
        <x:v>E01 / juicefs-upstream-run-PnYPG8</x:v>
      </x:c>
      <x:c r="N846" s="10" t="str">
        <x:v>--fuse-external --resilient --case-insensitive-cmp</x:v>
      </x:c>
    </x:row>
    <x:row r="847" ht="74" customHeight="1">
      <x:c r="A847" s="11" t="str">
        <x:v>SUBSET-20261015-drive-wb</x:v>
      </x:c>
      <x:c r="B847" s="11" t="str">
        <x:v>WFP-30</x:v>
      </x:c>
      <x:c r="C847" s="11" t="str">
        <x:v>rdwr_cached_append_test</x:v>
      </x:c>
      <x:c r="D847" s="11" t="str">
        <x:v>WinFsp fork 默认子集</x:v>
      </x:c>
      <x:c r="E847" s="11" t="str">
        <x:v>drive</x:v>
      </x:c>
      <x:c r="F847" s="11" t="str">
        <x:v>后台</x:v>
      </x:c>
      <x:c r="G847" s="20" t="d">
        <x:v>2026-10-15T00:00:00.000Z</x:v>
      </x:c>
      <x:c r="H847" s="11" t="str">
        <x:v>已通过</x:v>
      </x:c>
      <x:c r="I847" s="22" t="n">
        <x:v>0.318</x:v>
      </x:c>
      <x:c r="J847" s="11" t="str">
        <x:v>JuiceFS 1.3.0+30190ca / WinFsp 2.1.25156；测试工具 S01–S04</x:v>
      </x:c>
      <x:c r="K847" s="11" t="str">
        <x:v>JuiceFS Windows CI 子集；attr-cache=0；云端 get-timeout=5m</x:v>
      </x:c>
      <x:c r="L847" s="11" t="str">
        <x:v>e920ead94a8e28f04e326664178b0c9f02d492b1 + productChanges / plansSha256 见 E01</x:v>
      </x:c>
      <x:c r="M847" s="11" t="str">
        <x:v>E01 / juicefs-upstream-run-PnYPG8</x:v>
      </x:c>
      <x:c r="N847" s="11" t="str">
        <x:v>--fuse-external --resilient --case-insensitive-cmp</x:v>
      </x:c>
    </x:row>
    <x:row r="848" ht="74" customHeight="1">
      <x:c r="A848" s="10" t="str">
        <x:v>SUBSET-20261015-drive-wb</x:v>
      </x:c>
      <x:c r="B848" s="10" t="str">
        <x:v>WFP-31</x:v>
      </x:c>
      <x:c r="C848" s="10" t="str">
        <x:v>rdwr_cached_overlapped_test</x:v>
      </x:c>
      <x:c r="D848" s="10" t="str">
        <x:v>WinFsp fork 默认子集</x:v>
      </x:c>
      <x:c r="E848" s="10" t="str">
        <x:v>drive</x:v>
      </x:c>
      <x:c r="F848" s="10" t="str">
        <x:v>后台</x:v>
      </x:c>
      <x:c r="G848" s="19" t="d">
        <x:v>2026-10-15T00:00:00.000Z</x:v>
      </x:c>
      <x:c r="H848" s="10" t="str">
        <x:v>已通过</x:v>
      </x:c>
      <x:c r="I848" s="21" t="n">
        <x:v>0.327</x:v>
      </x:c>
      <x:c r="J848" s="10" t="str">
        <x:v>JuiceFS 1.3.0+30190ca / WinFsp 2.1.25156；测试工具 S01–S04</x:v>
      </x:c>
      <x:c r="K848" s="10" t="str">
        <x:v>JuiceFS Windows CI 子集；attr-cache=0；云端 get-timeout=5m</x:v>
      </x:c>
      <x:c r="L848" s="10" t="str">
        <x:v>e920ead94a8e28f04e326664178b0c9f02d492b1 + productChanges / plansSha256 见 E01</x:v>
      </x:c>
      <x:c r="M848" s="10" t="str">
        <x:v>E01 / juicefs-upstream-run-PnYPG8</x:v>
      </x:c>
      <x:c r="N848" s="10" t="str">
        <x:v>--fuse-external --resilient --case-insensitive-cmp</x:v>
      </x:c>
    </x:row>
    <x:row r="849" ht="74" customHeight="1">
      <x:c r="A849" s="11" t="str">
        <x:v>SUBSET-20261015-drive-wb</x:v>
      </x:c>
      <x:c r="B849" s="11" t="str">
        <x:v>WFP-32</x:v>
      </x:c>
      <x:c r="C849" s="11" t="str">
        <x:v>rdwr_writethru_test</x:v>
      </x:c>
      <x:c r="D849" s="11" t="str">
        <x:v>WinFsp fork 默认子集</x:v>
      </x:c>
      <x:c r="E849" s="11" t="str">
        <x:v>drive</x:v>
      </x:c>
      <x:c r="F849" s="11" t="str">
        <x:v>后台</x:v>
      </x:c>
      <x:c r="G849" s="20" t="d">
        <x:v>2026-10-15T00:00:00.000Z</x:v>
      </x:c>
      <x:c r="H849" s="11" t="str">
        <x:v>已通过</x:v>
      </x:c>
      <x:c r="I849" s="22" t="n">
        <x:v>0.318</x:v>
      </x:c>
      <x:c r="J849" s="11" t="str">
        <x:v>JuiceFS 1.3.0+30190ca / WinFsp 2.1.25156；测试工具 S01–S04</x:v>
      </x:c>
      <x:c r="K849" s="11" t="str">
        <x:v>JuiceFS Windows CI 子集；attr-cache=0；云端 get-timeout=5m</x:v>
      </x:c>
      <x:c r="L849" s="11" t="str">
        <x:v>e920ead94a8e28f04e326664178b0c9f02d492b1 + productChanges / plansSha256 见 E01</x:v>
      </x:c>
      <x:c r="M849" s="11" t="str">
        <x:v>E01 / juicefs-upstream-run-PnYPG8</x:v>
      </x:c>
      <x:c r="N849" s="11" t="str">
        <x:v>--fuse-external --resilient --case-insensitive-cmp</x:v>
      </x:c>
    </x:row>
    <x:row r="850" ht="74" customHeight="1">
      <x:c r="A850" s="10" t="str">
        <x:v>SUBSET-20261015-drive-wb</x:v>
      </x:c>
      <x:c r="B850" s="10" t="str">
        <x:v>WFP-33</x:v>
      </x:c>
      <x:c r="C850" s="10" t="str">
        <x:v>rdwr_writethru_append_test</x:v>
      </x:c>
      <x:c r="D850" s="10" t="str">
        <x:v>WinFsp fork 默认子集</x:v>
      </x:c>
      <x:c r="E850" s="10" t="str">
        <x:v>drive</x:v>
      </x:c>
      <x:c r="F850" s="10" t="str">
        <x:v>后台</x:v>
      </x:c>
      <x:c r="G850" s="19" t="d">
        <x:v>2026-10-15T00:00:00.000Z</x:v>
      </x:c>
      <x:c r="H850" s="10" t="str">
        <x:v>已通过</x:v>
      </x:c>
      <x:c r="I850" s="21" t="n">
        <x:v>0.322</x:v>
      </x:c>
      <x:c r="J850" s="10" t="str">
        <x:v>JuiceFS 1.3.0+30190ca / WinFsp 2.1.25156；测试工具 S01–S04</x:v>
      </x:c>
      <x:c r="K850" s="10" t="str">
        <x:v>JuiceFS Windows CI 子集；attr-cache=0；云端 get-timeout=5m</x:v>
      </x:c>
      <x:c r="L850" s="10" t="str">
        <x:v>e920ead94a8e28f04e326664178b0c9f02d492b1 + productChanges / plansSha256 见 E01</x:v>
      </x:c>
      <x:c r="M850" s="10" t="str">
        <x:v>E01 / juicefs-upstream-run-PnYPG8</x:v>
      </x:c>
      <x:c r="N850" s="10" t="str">
        <x:v>--fuse-external --resilient --case-insensitive-cmp</x:v>
      </x:c>
    </x:row>
    <x:row r="851" ht="74" customHeight="1">
      <x:c r="A851" s="11" t="str">
        <x:v>SUBSET-20261015-drive-wb</x:v>
      </x:c>
      <x:c r="B851" s="11" t="str">
        <x:v>WFP-34</x:v>
      </x:c>
      <x:c r="C851" s="11" t="str">
        <x:v>rdwr_writethru_overlapped_test</x:v>
      </x:c>
      <x:c r="D851" s="11" t="str">
        <x:v>WinFsp fork 默认子集</x:v>
      </x:c>
      <x:c r="E851" s="11" t="str">
        <x:v>drive</x:v>
      </x:c>
      <x:c r="F851" s="11" t="str">
        <x:v>后台</x:v>
      </x:c>
      <x:c r="G851" s="20" t="d">
        <x:v>2026-10-15T00:00:00.000Z</x:v>
      </x:c>
      <x:c r="H851" s="11" t="str">
        <x:v>已通过</x:v>
      </x:c>
      <x:c r="I851" s="22" t="n">
        <x:v>0.337</x:v>
      </x:c>
      <x:c r="J851" s="11" t="str">
        <x:v>JuiceFS 1.3.0+30190ca / WinFsp 2.1.25156；测试工具 S01–S04</x:v>
      </x:c>
      <x:c r="K851" s="11" t="str">
        <x:v>JuiceFS Windows CI 子集；attr-cache=0；云端 get-timeout=5m</x:v>
      </x:c>
      <x:c r="L851" s="11" t="str">
        <x:v>e920ead94a8e28f04e326664178b0c9f02d492b1 + productChanges / plansSha256 见 E01</x:v>
      </x:c>
      <x:c r="M851" s="11" t="str">
        <x:v>E01 / juicefs-upstream-run-PnYPG8</x:v>
      </x:c>
      <x:c r="N851" s="11" t="str">
        <x:v>--fuse-external --resilient --case-insensitive-cmp</x:v>
      </x:c>
    </x:row>
    <x:row r="852" ht="74" customHeight="1">
      <x:c r="A852" s="10" t="str">
        <x:v>SUBSET-20261015-drive-wb</x:v>
      </x:c>
      <x:c r="B852" s="10" t="str">
        <x:v>WFP-35</x:v>
      </x:c>
      <x:c r="C852" s="10" t="str">
        <x:v>rdwr_mmap_test</x:v>
      </x:c>
      <x:c r="D852" s="10" t="str">
        <x:v>WinFsp fork 默认子集</x:v>
      </x:c>
      <x:c r="E852" s="10" t="str">
        <x:v>drive</x:v>
      </x:c>
      <x:c r="F852" s="10" t="str">
        <x:v>后台</x:v>
      </x:c>
      <x:c r="G852" s="19" t="d">
        <x:v>2026-10-15T00:00:00.000Z</x:v>
      </x:c>
      <x:c r="H852" s="10" t="str">
        <x:v>已通过</x:v>
      </x:c>
      <x:c r="I852" s="21" t="n">
        <x:v>0.412</x:v>
      </x:c>
      <x:c r="J852" s="10" t="str">
        <x:v>JuiceFS 1.3.0+30190ca / WinFsp 2.1.25156；测试工具 S01–S04</x:v>
      </x:c>
      <x:c r="K852" s="10" t="str">
        <x:v>JuiceFS Windows CI 子集；attr-cache=0；云端 get-timeout=5m</x:v>
      </x:c>
      <x:c r="L852" s="10" t="str">
        <x:v>e920ead94a8e28f04e326664178b0c9f02d492b1 + productChanges / plansSha256 见 E01</x:v>
      </x:c>
      <x:c r="M852" s="10" t="str">
        <x:v>E01 / juicefs-upstream-run-PnYPG8</x:v>
      </x:c>
      <x:c r="N852" s="10" t="str">
        <x:v>--fuse-external --resilient --case-insensitive-cmp</x:v>
      </x:c>
    </x:row>
    <x:row r="853" ht="74" customHeight="1">
      <x:c r="A853" s="11" t="str">
        <x:v>SUBSET-20261015-drive-wb</x:v>
      </x:c>
      <x:c r="B853" s="11" t="str">
        <x:v>WFP-36</x:v>
      </x:c>
      <x:c r="C853" s="11" t="str">
        <x:v>rdwr_mixed_test</x:v>
      </x:c>
      <x:c r="D853" s="11" t="str">
        <x:v>WinFsp fork 默认子集</x:v>
      </x:c>
      <x:c r="E853" s="11" t="str">
        <x:v>drive</x:v>
      </x:c>
      <x:c r="F853" s="11" t="str">
        <x:v>后台</x:v>
      </x:c>
      <x:c r="G853" s="20" t="d">
        <x:v>2026-10-15T00:00:00.000Z</x:v>
      </x:c>
      <x:c r="H853" s="11" t="str">
        <x:v>已通过</x:v>
      </x:c>
      <x:c r="I853" s="22" t="n">
        <x:v>0.334</x:v>
      </x:c>
      <x:c r="J853" s="11" t="str">
        <x:v>JuiceFS 1.3.0+30190ca / WinFsp 2.1.25156；测试工具 S01–S04</x:v>
      </x:c>
      <x:c r="K853" s="11" t="str">
        <x:v>JuiceFS Windows CI 子集；attr-cache=0；云端 get-timeout=5m</x:v>
      </x:c>
      <x:c r="L853" s="11" t="str">
        <x:v>e920ead94a8e28f04e326664178b0c9f02d492b1 + productChanges / plansSha256 见 E01</x:v>
      </x:c>
      <x:c r="M853" s="11" t="str">
        <x:v>E01 / juicefs-upstream-run-PnYPG8</x:v>
      </x:c>
      <x:c r="N853" s="11" t="str">
        <x:v>--fuse-external --resilient --case-insensitive-cmp</x:v>
      </x:c>
    </x:row>
    <x:row r="854" ht="74" customHeight="1">
      <x:c r="A854" s="10" t="str">
        <x:v>SUBSET-20261015-drive-wb</x:v>
      </x:c>
      <x:c r="B854" s="10" t="str">
        <x:v>WFP-37</x:v>
      </x:c>
      <x:c r="C854" s="10" t="str">
        <x:v>flush_test</x:v>
      </x:c>
      <x:c r="D854" s="10" t="str">
        <x:v>WinFsp fork 默认子集</x:v>
      </x:c>
      <x:c r="E854" s="10" t="str">
        <x:v>drive</x:v>
      </x:c>
      <x:c r="F854" s="10" t="str">
        <x:v>后台</x:v>
      </x:c>
      <x:c r="G854" s="19" t="d">
        <x:v>2026-10-15T00:00:00.000Z</x:v>
      </x:c>
      <x:c r="H854" s="10" t="str">
        <x:v>已通过</x:v>
      </x:c>
      <x:c r="I854" s="21" t="n">
        <x:v>0.404</x:v>
      </x:c>
      <x:c r="J854" s="10" t="str">
        <x:v>JuiceFS 1.3.0+30190ca / WinFsp 2.1.25156；测试工具 S01–S04</x:v>
      </x:c>
      <x:c r="K854" s="10" t="str">
        <x:v>JuiceFS Windows CI 子集；attr-cache=0；云端 get-timeout=5m</x:v>
      </x:c>
      <x:c r="L854" s="10" t="str">
        <x:v>e920ead94a8e28f04e326664178b0c9f02d492b1 + productChanges / plansSha256 见 E01</x:v>
      </x:c>
      <x:c r="M854" s="10" t="str">
        <x:v>E01 / juicefs-upstream-run-PnYPG8</x:v>
      </x:c>
      <x:c r="N854" s="10" t="str">
        <x:v>--fuse-external --resilient --case-insensitive-cmp</x:v>
      </x:c>
    </x:row>
    <x:row r="855" ht="74" customHeight="1">
      <x:c r="A855" s="11" t="str">
        <x:v>SUBSET-20261015-drive-wb</x:v>
      </x:c>
      <x:c r="B855" s="11" t="str">
        <x:v>WFP-38</x:v>
      </x:c>
      <x:c r="C855" s="11" t="str">
        <x:v>flush_volume_test</x:v>
      </x:c>
      <x:c r="D855" s="11" t="str">
        <x:v>WinFsp fork 默认子集</x:v>
      </x:c>
      <x:c r="E855" s="11" t="str">
        <x:v>drive</x:v>
      </x:c>
      <x:c r="F855" s="11" t="str">
        <x:v>后台</x:v>
      </x:c>
      <x:c r="G855" s="20" t="d">
        <x:v>2026-10-15T00:00:00.000Z</x:v>
      </x:c>
      <x:c r="H855" s="11" t="str">
        <x:v>已通过</x:v>
      </x:c>
      <x:c r="I855" s="22" t="n">
        <x:v>0.32</x:v>
      </x:c>
      <x:c r="J855" s="11" t="str">
        <x:v>JuiceFS 1.3.0+30190ca / WinFsp 2.1.25156；测试工具 S01–S04</x:v>
      </x:c>
      <x:c r="K855" s="11" t="str">
        <x:v>JuiceFS Windows CI 子集；attr-cache=0；云端 get-timeout=5m</x:v>
      </x:c>
      <x:c r="L855" s="11" t="str">
        <x:v>e920ead94a8e28f04e326664178b0c9f02d492b1 + productChanges / plansSha256 见 E01</x:v>
      </x:c>
      <x:c r="M855" s="11" t="str">
        <x:v>E01 / juicefs-upstream-run-PnYPG8</x:v>
      </x:c>
      <x:c r="N855" s="11" t="str">
        <x:v>--fuse-external --resilient --case-insensitive-cmp</x:v>
      </x:c>
    </x:row>
    <x:row r="856" ht="74" customHeight="1">
      <x:c r="A856" s="10" t="str">
        <x:v>SUBSET-20261015-drive-wb</x:v>
      </x:c>
      <x:c r="B856" s="10" t="str">
        <x:v>WFP-39</x:v>
      </x:c>
      <x:c r="C856" s="10" t="str">
        <x:v>lock_noncached_test</x:v>
      </x:c>
      <x:c r="D856" s="10" t="str">
        <x:v>WinFsp fork 默认子集</x:v>
      </x:c>
      <x:c r="E856" s="10" t="str">
        <x:v>drive</x:v>
      </x:c>
      <x:c r="F856" s="10" t="str">
        <x:v>后台</x:v>
      </x:c>
      <x:c r="G856" s="19" t="d">
        <x:v>2026-10-15T00:00:00.000Z</x:v>
      </x:c>
      <x:c r="H856" s="10" t="str">
        <x:v>已通过</x:v>
      </x:c>
      <x:c r="I856" s="21" t="n">
        <x:v>0.356</x:v>
      </x:c>
      <x:c r="J856" s="10" t="str">
        <x:v>JuiceFS 1.3.0+30190ca / WinFsp 2.1.25156；测试工具 S01–S04</x:v>
      </x:c>
      <x:c r="K856" s="10" t="str">
        <x:v>JuiceFS Windows CI 子集；attr-cache=0；云端 get-timeout=5m</x:v>
      </x:c>
      <x:c r="L856" s="10" t="str">
        <x:v>e920ead94a8e28f04e326664178b0c9f02d492b1 + productChanges / plansSha256 见 E01</x:v>
      </x:c>
      <x:c r="M856" s="10" t="str">
        <x:v>E01 / juicefs-upstream-run-PnYPG8</x:v>
      </x:c>
      <x:c r="N856" s="10" t="str">
        <x:v>--fuse-external --resilient --case-insensitive-cmp</x:v>
      </x:c>
    </x:row>
    <x:row r="857" ht="74" customHeight="1">
      <x:c r="A857" s="11" t="str">
        <x:v>SUBSET-20261015-drive-wb</x:v>
      </x:c>
      <x:c r="B857" s="11" t="str">
        <x:v>WFP-40</x:v>
      </x:c>
      <x:c r="C857" s="11" t="str">
        <x:v>lock_noncached_overlapped_test</x:v>
      </x:c>
      <x:c r="D857" s="11" t="str">
        <x:v>WinFsp fork 默认子集</x:v>
      </x:c>
      <x:c r="E857" s="11" t="str">
        <x:v>drive</x:v>
      </x:c>
      <x:c r="F857" s="11" t="str">
        <x:v>后台</x:v>
      </x:c>
      <x:c r="G857" s="20" t="d">
        <x:v>2026-10-15T00:00:00.000Z</x:v>
      </x:c>
      <x:c r="H857" s="11" t="str">
        <x:v>已通过</x:v>
      </x:c>
      <x:c r="I857" s="22" t="n">
        <x:v>0.322</x:v>
      </x:c>
      <x:c r="J857" s="11" t="str">
        <x:v>JuiceFS 1.3.0+30190ca / WinFsp 2.1.25156；测试工具 S01–S04</x:v>
      </x:c>
      <x:c r="K857" s="11" t="str">
        <x:v>JuiceFS Windows CI 子集；attr-cache=0；云端 get-timeout=5m</x:v>
      </x:c>
      <x:c r="L857" s="11" t="str">
        <x:v>e920ead94a8e28f04e326664178b0c9f02d492b1 + productChanges / plansSha256 见 E01</x:v>
      </x:c>
      <x:c r="M857" s="11" t="str">
        <x:v>E01 / juicefs-upstream-run-PnYPG8</x:v>
      </x:c>
      <x:c r="N857" s="11" t="str">
        <x:v>--fuse-external --resilient --case-insensitive-cmp</x:v>
      </x:c>
    </x:row>
    <x:row r="858" ht="74" customHeight="1">
      <x:c r="A858" s="10" t="str">
        <x:v>SUBSET-20261015-drive-wb</x:v>
      </x:c>
      <x:c r="B858" s="10" t="str">
        <x:v>WFP-41</x:v>
      </x:c>
      <x:c r="C858" s="10" t="str">
        <x:v>lock_cached_test</x:v>
      </x:c>
      <x:c r="D858" s="10" t="str">
        <x:v>WinFsp fork 默认子集</x:v>
      </x:c>
      <x:c r="E858" s="10" t="str">
        <x:v>drive</x:v>
      </x:c>
      <x:c r="F858" s="10" t="str">
        <x:v>后台</x:v>
      </x:c>
      <x:c r="G858" s="19" t="d">
        <x:v>2026-10-15T00:00:00.000Z</x:v>
      </x:c>
      <x:c r="H858" s="10" t="str">
        <x:v>已通过</x:v>
      </x:c>
      <x:c r="I858" s="21" t="n">
        <x:v>0.335</x:v>
      </x:c>
      <x:c r="J858" s="10" t="str">
        <x:v>JuiceFS 1.3.0+30190ca / WinFsp 2.1.25156；测试工具 S01–S04</x:v>
      </x:c>
      <x:c r="K858" s="10" t="str">
        <x:v>JuiceFS Windows CI 子集；attr-cache=0；云端 get-timeout=5m</x:v>
      </x:c>
      <x:c r="L858" s="10" t="str">
        <x:v>e920ead94a8e28f04e326664178b0c9f02d492b1 + productChanges / plansSha256 见 E01</x:v>
      </x:c>
      <x:c r="M858" s="10" t="str">
        <x:v>E01 / juicefs-upstream-run-PnYPG8</x:v>
      </x:c>
      <x:c r="N858" s="10" t="str">
        <x:v>--fuse-external --resilient --case-insensitive-cmp</x:v>
      </x:c>
    </x:row>
    <x:row r="859" ht="74" customHeight="1">
      <x:c r="A859" s="11" t="str">
        <x:v>SUBSET-20261015-drive-wb</x:v>
      </x:c>
      <x:c r="B859" s="11" t="str">
        <x:v>WFP-42</x:v>
      </x:c>
      <x:c r="C859" s="11" t="str">
        <x:v>lock_cached_overlapped_test</x:v>
      </x:c>
      <x:c r="D859" s="11" t="str">
        <x:v>WinFsp fork 默认子集</x:v>
      </x:c>
      <x:c r="E859" s="11" t="str">
        <x:v>drive</x:v>
      </x:c>
      <x:c r="F859" s="11" t="str">
        <x:v>后台</x:v>
      </x:c>
      <x:c r="G859" s="20" t="d">
        <x:v>2026-10-15T00:00:00.000Z</x:v>
      </x:c>
      <x:c r="H859" s="11" t="str">
        <x:v>已通过</x:v>
      </x:c>
      <x:c r="I859" s="22" t="n">
        <x:v>0.348</x:v>
      </x:c>
      <x:c r="J859" s="11" t="str">
        <x:v>JuiceFS 1.3.0+30190ca / WinFsp 2.1.25156；测试工具 S01–S04</x:v>
      </x:c>
      <x:c r="K859" s="11" t="str">
        <x:v>JuiceFS Windows CI 子集；attr-cache=0；云端 get-timeout=5m</x:v>
      </x:c>
      <x:c r="L859" s="11" t="str">
        <x:v>e920ead94a8e28f04e326664178b0c9f02d492b1 + productChanges / plansSha256 见 E01</x:v>
      </x:c>
      <x:c r="M859" s="11" t="str">
        <x:v>E01 / juicefs-upstream-run-PnYPG8</x:v>
      </x:c>
      <x:c r="N859" s="11" t="str">
        <x:v>--fuse-external --resilient --case-insensitive-cmp</x:v>
      </x:c>
    </x:row>
    <x:row r="860" ht="74" customHeight="1">
      <x:c r="A860" s="10" t="str">
        <x:v>SUBSET-20261015-drive-wb</x:v>
      </x:c>
      <x:c r="B860" s="10" t="str">
        <x:v>WFP-43</x:v>
      </x:c>
      <x:c r="C860" s="10" t="str">
        <x:v>querydir_test</x:v>
      </x:c>
      <x:c r="D860" s="10" t="str">
        <x:v>WinFsp fork 默认子集</x:v>
      </x:c>
      <x:c r="E860" s="10" t="str">
        <x:v>drive</x:v>
      </x:c>
      <x:c r="F860" s="10" t="str">
        <x:v>后台</x:v>
      </x:c>
      <x:c r="G860" s="19" t="d">
        <x:v>2026-10-15T00:00:00.000Z</x:v>
      </x:c>
      <x:c r="H860" s="10" t="str">
        <x:v>已通过</x:v>
      </x:c>
      <x:c r="I860" s="21" t="n">
        <x:v>5.26</x:v>
      </x:c>
      <x:c r="J860" s="10" t="str">
        <x:v>JuiceFS 1.3.0+30190ca / WinFsp 2.1.25156；测试工具 S01–S04</x:v>
      </x:c>
      <x:c r="K860" s="10" t="str">
        <x:v>JuiceFS Windows CI 子集；attr-cache=0；云端 get-timeout=5m</x:v>
      </x:c>
      <x:c r="L860" s="10" t="str">
        <x:v>e920ead94a8e28f04e326664178b0c9f02d492b1 + productChanges / plansSha256 见 E01</x:v>
      </x:c>
      <x:c r="M860" s="10" t="str">
        <x:v>E01 / juicefs-upstream-run-PnYPG8</x:v>
      </x:c>
      <x:c r="N860" s="10" t="str">
        <x:v>--fuse-external --resilient --case-insensitive-cmp</x:v>
      </x:c>
    </x:row>
    <x:row r="861" ht="74" customHeight="1">
      <x:c r="A861" s="11" t="str">
        <x:v>SUBSET-20261015-drive-wb</x:v>
      </x:c>
      <x:c r="B861" s="11" t="str">
        <x:v>WFP-44</x:v>
      </x:c>
      <x:c r="C861" s="11" t="str">
        <x:v>querydir_expire_cache_test</x:v>
      </x:c>
      <x:c r="D861" s="11" t="str">
        <x:v>WinFsp fork 默认子集</x:v>
      </x:c>
      <x:c r="E861" s="11" t="str">
        <x:v>drive</x:v>
      </x:c>
      <x:c r="F861" s="11" t="str">
        <x:v>后台</x:v>
      </x:c>
      <x:c r="G861" s="20" t="d">
        <x:v>2026-10-15T00:00:00.000Z</x:v>
      </x:c>
      <x:c r="H861" s="11" t="str">
        <x:v>已通过</x:v>
      </x:c>
      <x:c r="I861" s="22" t="n">
        <x:v>0.493</x:v>
      </x:c>
      <x:c r="J861" s="11" t="str">
        <x:v>JuiceFS 1.3.0+30190ca / WinFsp 2.1.25156；测试工具 S01–S04</x:v>
      </x:c>
      <x:c r="K861" s="11" t="str">
        <x:v>JuiceFS Windows CI 子集；attr-cache=0；云端 get-timeout=5m</x:v>
      </x:c>
      <x:c r="L861" s="11" t="str">
        <x:v>e920ead94a8e28f04e326664178b0c9f02d492b1 + productChanges / plansSha256 见 E01</x:v>
      </x:c>
      <x:c r="M861" s="11" t="str">
        <x:v>E01 / juicefs-upstream-run-PnYPG8</x:v>
      </x:c>
      <x:c r="N861" s="11" t="str">
        <x:v>--fuse-external --resilient --case-insensitive-cmp</x:v>
      </x:c>
    </x:row>
    <x:row r="862" ht="74" customHeight="1">
      <x:c r="A862" s="10" t="str">
        <x:v>SUBSET-20261015-drive-wb</x:v>
      </x:c>
      <x:c r="B862" s="10" t="str">
        <x:v>WFP-45</x:v>
      </x:c>
      <x:c r="C862" s="10" t="str">
        <x:v>querydir_buffer_overflow_test</x:v>
      </x:c>
      <x:c r="D862" s="10" t="str">
        <x:v>WinFsp fork 默认子集</x:v>
      </x:c>
      <x:c r="E862" s="10" t="str">
        <x:v>drive</x:v>
      </x:c>
      <x:c r="F862" s="10" t="str">
        <x:v>后台</x:v>
      </x:c>
      <x:c r="G862" s="19" t="d">
        <x:v>2026-10-15T00:00:00.000Z</x:v>
      </x:c>
      <x:c r="H862" s="10" t="str">
        <x:v>已通过</x:v>
      </x:c>
      <x:c r="I862" s="21" t="n">
        <x:v>0.458</x:v>
      </x:c>
      <x:c r="J862" s="10" t="str">
        <x:v>JuiceFS 1.3.0+30190ca / WinFsp 2.1.25156；测试工具 S01–S04</x:v>
      </x:c>
      <x:c r="K862" s="10" t="str">
        <x:v>JuiceFS Windows CI 子集；attr-cache=0；云端 get-timeout=5m</x:v>
      </x:c>
      <x:c r="L862" s="10" t="str">
        <x:v>e920ead94a8e28f04e326664178b0c9f02d492b1 + productChanges / plansSha256 见 E01</x:v>
      </x:c>
      <x:c r="M862" s="10" t="str">
        <x:v>E01 / juicefs-upstream-run-PnYPG8</x:v>
      </x:c>
      <x:c r="N862" s="10" t="str">
        <x:v>--fuse-external --resilient --case-insensitive-cmp</x:v>
      </x:c>
    </x:row>
    <x:row r="863" ht="74" customHeight="1">
      <x:c r="A863" s="11" t="str">
        <x:v>SUBSET-20261015-drive-wb</x:v>
      </x:c>
      <x:c r="B863" s="11" t="str">
        <x:v>WFP-46</x:v>
      </x:c>
      <x:c r="C863" s="11" t="str">
        <x:v>querydir_namelen_test</x:v>
      </x:c>
      <x:c r="D863" s="11" t="str">
        <x:v>WinFsp fork 默认子集</x:v>
      </x:c>
      <x:c r="E863" s="11" t="str">
        <x:v>drive</x:v>
      </x:c>
      <x:c r="F863" s="11" t="str">
        <x:v>后台</x:v>
      </x:c>
      <x:c r="G863" s="20" t="d">
        <x:v>2026-10-15T00:00:00.000Z</x:v>
      </x:c>
      <x:c r="H863" s="11" t="str">
        <x:v>已通过</x:v>
      </x:c>
      <x:c r="I863" s="22" t="n">
        <x:v>0.389</x:v>
      </x:c>
      <x:c r="J863" s="11" t="str">
        <x:v>JuiceFS 1.3.0+30190ca / WinFsp 2.1.25156；测试工具 S01–S04</x:v>
      </x:c>
      <x:c r="K863" s="11" t="str">
        <x:v>JuiceFS Windows CI 子集；attr-cache=0；云端 get-timeout=5m</x:v>
      </x:c>
      <x:c r="L863" s="11" t="str">
        <x:v>e920ead94a8e28f04e326664178b0c9f02d492b1 + productChanges / plansSha256 见 E01</x:v>
      </x:c>
      <x:c r="M863" s="11" t="str">
        <x:v>E01 / juicefs-upstream-run-PnYPG8</x:v>
      </x:c>
      <x:c r="N863" s="11" t="str">
        <x:v>--fuse-external --resilient --case-insensitive-cmp</x:v>
      </x:c>
    </x:row>
    <x:row r="864" ht="74" customHeight="1">
      <x:c r="A864" s="10" t="str">
        <x:v>SUBSET-20261015-drive-wb</x:v>
      </x:c>
      <x:c r="B864" s="10" t="str">
        <x:v>WFP-47</x:v>
      </x:c>
      <x:c r="C864" s="10" t="str">
        <x:v>dirnotify_test</x:v>
      </x:c>
      <x:c r="D864" s="10" t="str">
        <x:v>WinFsp fork 默认子集</x:v>
      </x:c>
      <x:c r="E864" s="10" t="str">
        <x:v>drive</x:v>
      </x:c>
      <x:c r="F864" s="10" t="str">
        <x:v>后台</x:v>
      </x:c>
      <x:c r="G864" s="19" t="d">
        <x:v>2026-10-15T00:00:00.000Z</x:v>
      </x:c>
      <x:c r="H864" s="10" t="str">
        <x:v>已通过</x:v>
      </x:c>
      <x:c r="I864" s="21" t="n">
        <x:v>1.403</x:v>
      </x:c>
      <x:c r="J864" s="10" t="str">
        <x:v>JuiceFS 1.3.0+30190ca / WinFsp 2.1.25156；测试工具 S01–S04</x:v>
      </x:c>
      <x:c r="K864" s="10" t="str">
        <x:v>JuiceFS Windows CI 子集；attr-cache=0；云端 get-timeout=5m</x:v>
      </x:c>
      <x:c r="L864" s="10" t="str">
        <x:v>e920ead94a8e28f04e326664178b0c9f02d492b1 + productChanges / plansSha256 见 E01</x:v>
      </x:c>
      <x:c r="M864" s="10" t="str">
        <x:v>E01 / juicefs-upstream-run-PnYPG8</x:v>
      </x:c>
      <x:c r="N864" s="10" t="str">
        <x:v>--fuse-external --resilient --case-insensitive-cmp</x:v>
      </x:c>
    </x:row>
    <x:row r="865" ht="74" customHeight="1">
      <x:c r="A865" s="11" t="str">
        <x:v>SUBSET-20261015-drive-wb</x:v>
      </x:c>
      <x:c r="B865" s="11" t="str">
        <x:v>WFP-48</x:v>
      </x:c>
      <x:c r="C865" s="11" t="str">
        <x:v>exec_test</x:v>
      </x:c>
      <x:c r="D865" s="11" t="str">
        <x:v>WinFsp fork 默认子集</x:v>
      </x:c>
      <x:c r="E865" s="11" t="str">
        <x:v>drive</x:v>
      </x:c>
      <x:c r="F865" s="11" t="str">
        <x:v>后台</x:v>
      </x:c>
      <x:c r="G865" s="20" t="d">
        <x:v>2026-10-15T00:00:00.000Z</x:v>
      </x:c>
      <x:c r="H865" s="11" t="str">
        <x:v>已通过</x:v>
      </x:c>
      <x:c r="I865" s="22" t="n">
        <x:v>0.669</x:v>
      </x:c>
      <x:c r="J865" s="11" t="str">
        <x:v>JuiceFS 1.3.0+30190ca / WinFsp 2.1.25156；测试工具 S01–S04</x:v>
      </x:c>
      <x:c r="K865" s="11" t="str">
        <x:v>JuiceFS Windows CI 子集；attr-cache=0；云端 get-timeout=5m</x:v>
      </x:c>
      <x:c r="L865" s="11" t="str">
        <x:v>e920ead94a8e28f04e326664178b0c9f02d492b1 + productChanges / plansSha256 见 E01</x:v>
      </x:c>
      <x:c r="M865" s="11" t="str">
        <x:v>E01 / juicefs-upstream-run-PnYPG8</x:v>
      </x:c>
      <x:c r="N865" s="11" t="str">
        <x:v>--fuse-external --resilient --case-insensitive-cmp</x:v>
      </x:c>
    </x:row>
    <x:row r="866" ht="74" customHeight="1">
      <x:c r="A866" s="10" t="str">
        <x:v>SUBSET-20261015-drive-wb</x:v>
      </x:c>
      <x:c r="B866" s="10" t="str">
        <x:v>WFP-49</x:v>
      </x:c>
      <x:c r="C866" s="10" t="str">
        <x:v>exec_delete_test</x:v>
      </x:c>
      <x:c r="D866" s="10" t="str">
        <x:v>WinFsp fork 默认子集</x:v>
      </x:c>
      <x:c r="E866" s="10" t="str">
        <x:v>drive</x:v>
      </x:c>
      <x:c r="F866" s="10" t="str">
        <x:v>后台</x:v>
      </x:c>
      <x:c r="G866" s="19" t="d">
        <x:v>2026-10-15T00:00:00.000Z</x:v>
      </x:c>
      <x:c r="H866" s="10" t="str">
        <x:v>已通过</x:v>
      </x:c>
      <x:c r="I866" s="21" t="n">
        <x:v>1.584</x:v>
      </x:c>
      <x:c r="J866" s="10" t="str">
        <x:v>JuiceFS 1.3.0+30190ca / WinFsp 2.1.25156；测试工具 S01–S04</x:v>
      </x:c>
      <x:c r="K866" s="10" t="str">
        <x:v>JuiceFS Windows CI 子集；attr-cache=0；云端 get-timeout=5m</x:v>
      </x:c>
      <x:c r="L866" s="10" t="str">
        <x:v>e920ead94a8e28f04e326664178b0c9f02d492b1 + productChanges / plansSha256 见 E01</x:v>
      </x:c>
      <x:c r="M866" s="10" t="str">
        <x:v>E01 / juicefs-upstream-run-PnYPG8</x:v>
      </x:c>
      <x:c r="N866" s="10" t="str">
        <x:v>--fuse-external --resilient --case-insensitive-cmp</x:v>
      </x:c>
    </x:row>
    <x:row r="867" ht="74" customHeight="1">
      <x:c r="A867" s="11" t="str">
        <x:v>SUBSET-20261015-drive-wb</x:v>
      </x:c>
      <x:c r="B867" s="11" t="str">
        <x:v>WFP-50</x:v>
      </x:c>
      <x:c r="C867" s="11" t="str">
        <x:v>exec_rename_test</x:v>
      </x:c>
      <x:c r="D867" s="11" t="str">
        <x:v>WinFsp fork 默认子集</x:v>
      </x:c>
      <x:c r="E867" s="11" t="str">
        <x:v>drive</x:v>
      </x:c>
      <x:c r="F867" s="11" t="str">
        <x:v>后台</x:v>
      </x:c>
      <x:c r="G867" s="20" t="d">
        <x:v>2026-10-15T00:00:00.000Z</x:v>
      </x:c>
      <x:c r="H867" s="11" t="str">
        <x:v>已通过</x:v>
      </x:c>
      <x:c r="I867" s="22" t="n">
        <x:v>1.721</x:v>
      </x:c>
      <x:c r="J867" s="11" t="str">
        <x:v>JuiceFS 1.3.0+30190ca / WinFsp 2.1.25156；测试工具 S01–S04</x:v>
      </x:c>
      <x:c r="K867" s="11" t="str">
        <x:v>JuiceFS Windows CI 子集；attr-cache=0；云端 get-timeout=5m</x:v>
      </x:c>
      <x:c r="L867" s="11" t="str">
        <x:v>e920ead94a8e28f04e326664178b0c9f02d492b1 + productChanges / plansSha256 见 E01</x:v>
      </x:c>
      <x:c r="M867" s="11" t="str">
        <x:v>E01 / juicefs-upstream-run-PnYPG8</x:v>
      </x:c>
      <x:c r="N867" s="11" t="str">
        <x:v>--fuse-external --resilient --case-insensitive-cmp</x:v>
      </x:c>
    </x:row>
    <x:row r="868" ht="74" customHeight="1">
      <x:c r="A868" s="10" t="str">
        <x:v>SUBSET-20261015-drive-wb</x:v>
      </x:c>
      <x:c r="B868" s="10" t="str">
        <x:v>WFP-51</x:v>
      </x:c>
      <x:c r="C868" s="10" t="str">
        <x:v>exec_rename_dir_test</x:v>
      </x:c>
      <x:c r="D868" s="10" t="str">
        <x:v>WinFsp fork 默认子集</x:v>
      </x:c>
      <x:c r="E868" s="10" t="str">
        <x:v>drive</x:v>
      </x:c>
      <x:c r="F868" s="10" t="str">
        <x:v>后台</x:v>
      </x:c>
      <x:c r="G868" s="19" t="d">
        <x:v>2026-10-15T00:00:00.000Z</x:v>
      </x:c>
      <x:c r="H868" s="10" t="str">
        <x:v>已通过</x:v>
      </x:c>
      <x:c r="I868" s="21" t="n">
        <x:v>2.57</x:v>
      </x:c>
      <x:c r="J868" s="10" t="str">
        <x:v>JuiceFS 1.3.0+30190ca / WinFsp 2.1.25156；测试工具 S01–S04</x:v>
      </x:c>
      <x:c r="K868" s="10" t="str">
        <x:v>JuiceFS Windows CI 子集；attr-cache=0；云端 get-timeout=5m</x:v>
      </x:c>
      <x:c r="L868" s="10" t="str">
        <x:v>e920ead94a8e28f04e326664178b0c9f02d492b1 + productChanges / plansSha256 见 E01</x:v>
      </x:c>
      <x:c r="M868" s="10" t="str">
        <x:v>E01 / juicefs-upstream-run-PnYPG8</x:v>
      </x:c>
      <x:c r="N868" s="10" t="str">
        <x:v>--fuse-external --resilient --case-insensitive-cmp</x:v>
      </x:c>
    </x:row>
    <x:row r="869" ht="74" customHeight="1">
      <x:c r="A869" s="11" t="str">
        <x:v>SUBSET-20261015-drive-wb</x:v>
      </x:c>
      <x:c r="B869" s="11" t="str">
        <x:v>WFP-52</x:v>
      </x:c>
      <x:c r="C869" s="11" t="str">
        <x:v>reparse_nfs_test</x:v>
      </x:c>
      <x:c r="D869" s="11" t="str">
        <x:v>WinFsp fork 默认子集</x:v>
      </x:c>
      <x:c r="E869" s="11" t="str">
        <x:v>drive</x:v>
      </x:c>
      <x:c r="F869" s="11" t="str">
        <x:v>后台</x:v>
      </x:c>
      <x:c r="G869" s="20" t="d">
        <x:v>2026-10-15T00:00:00.000Z</x:v>
      </x:c>
      <x:c r="H869" s="11" t="str">
        <x:v>已通过</x:v>
      </x:c>
      <x:c r="I869" s="22" t="n">
        <x:v>0.297</x:v>
      </x:c>
      <x:c r="J869" s="11" t="str">
        <x:v>JuiceFS 1.3.0+30190ca / WinFsp 2.1.25156；测试工具 S01–S04</x:v>
      </x:c>
      <x:c r="K869" s="11" t="str">
        <x:v>JuiceFS Windows CI 子集；attr-cache=0；云端 get-timeout=5m</x:v>
      </x:c>
      <x:c r="L869" s="11" t="str">
        <x:v>e920ead94a8e28f04e326664178b0c9f02d492b1 + productChanges / plansSha256 见 E01</x:v>
      </x:c>
      <x:c r="M869" s="11" t="str">
        <x:v>E01 / juicefs-upstream-run-PnYPG8</x:v>
      </x:c>
      <x:c r="N869" s="11" t="str">
        <x:v>--fuse-external --resilient --case-insensitive-cmp</x:v>
      </x:c>
    </x:row>
    <x:row r="870" ht="74" customHeight="1">
      <x:c r="A870" s="10" t="str">
        <x:v>SUBSET-20261015-drive-wb</x:v>
      </x:c>
      <x:c r="B870" s="10" t="str">
        <x:v>WFP-53</x:v>
      </x:c>
      <x:c r="C870" s="10" t="str">
        <x:v>reparse_symlink_test</x:v>
      </x:c>
      <x:c r="D870" s="10" t="str">
        <x:v>WinFsp fork 默认子集</x:v>
      </x:c>
      <x:c r="E870" s="10" t="str">
        <x:v>drive</x:v>
      </x:c>
      <x:c r="F870" s="10" t="str">
        <x:v>后台</x:v>
      </x:c>
      <x:c r="G870" s="19" t="d">
        <x:v>2026-10-15T00:00:00.000Z</x:v>
      </x:c>
      <x:c r="H870" s="10" t="str">
        <x:v>已通过</x:v>
      </x:c>
      <x:c r="I870" s="21" t="n">
        <x:v>0.302</x:v>
      </x:c>
      <x:c r="J870" s="10" t="str">
        <x:v>JuiceFS 1.3.0+30190ca / WinFsp 2.1.25156；测试工具 S01–S04</x:v>
      </x:c>
      <x:c r="K870" s="10" t="str">
        <x:v>JuiceFS Windows CI 子集；attr-cache=0；云端 get-timeout=5m</x:v>
      </x:c>
      <x:c r="L870" s="10" t="str">
        <x:v>e920ead94a8e28f04e326664178b0c9f02d492b1 + productChanges / plansSha256 见 E01</x:v>
      </x:c>
      <x:c r="M870" s="10" t="str">
        <x:v>E01 / juicefs-upstream-run-PnYPG8</x:v>
      </x:c>
      <x:c r="N870" s="10" t="str">
        <x:v>--fuse-external --resilient --case-insensitive-cmp</x:v>
      </x:c>
    </x:row>
    <x:row r="871" ht="74" customHeight="1">
      <x:c r="A871" s="11" t="str">
        <x:v>SUBSET-20261015-drive-wb</x:v>
      </x:c>
      <x:c r="B871" s="11" t="str">
        <x:v>WFP-54</x:v>
      </x:c>
      <x:c r="C871" s="11" t="str">
        <x:v>reparse_symlink_relative_test</x:v>
      </x:c>
      <x:c r="D871" s="11" t="str">
        <x:v>WinFsp fork 默认子集</x:v>
      </x:c>
      <x:c r="E871" s="11" t="str">
        <x:v>drive</x:v>
      </x:c>
      <x:c r="F871" s="11" t="str">
        <x:v>后台</x:v>
      </x:c>
      <x:c r="G871" s="20" t="d">
        <x:v>2026-10-15T00:00:00.000Z</x:v>
      </x:c>
      <x:c r="H871" s="11" t="str">
        <x:v>已通过</x:v>
      </x:c>
      <x:c r="I871" s="22" t="n">
        <x:v>0.311</x:v>
      </x:c>
      <x:c r="J871" s="11" t="str">
        <x:v>JuiceFS 1.3.0+30190ca / WinFsp 2.1.25156；测试工具 S01–S04</x:v>
      </x:c>
      <x:c r="K871" s="11" t="str">
        <x:v>JuiceFS Windows CI 子集；attr-cache=0；云端 get-timeout=5m</x:v>
      </x:c>
      <x:c r="L871" s="11" t="str">
        <x:v>e920ead94a8e28f04e326664178b0c9f02d492b1 + productChanges / plansSha256 见 E01</x:v>
      </x:c>
      <x:c r="M871" s="11" t="str">
        <x:v>E01 / juicefs-upstream-run-PnYPG8</x:v>
      </x:c>
      <x:c r="N871" s="11" t="str">
        <x:v>--fuse-external --resilient --case-insensitive-cmp</x:v>
      </x:c>
    </x:row>
    <x:row r="872" ht="74" customHeight="1">
      <x:c r="A872" s="10" t="str">
        <x:v>SUBSET-20261015-drive-wb</x:v>
      </x:c>
      <x:c r="B872" s="10" t="str">
        <x:v>WFT-00…WFT-10</x:v>
      </x:c>
      <x:c r="C872" s="10" t="str">
        <x:v>11 个脚本的整套结果</x:v>
      </x:c>
      <x:c r="D872" s="10" t="str">
        <x:v>winfstest fork</x:v>
      </x:c>
      <x:c r="E872" s="10" t="str">
        <x:v>drive</x:v>
      </x:c>
      <x:c r="F872" s="10" t="str">
        <x:v>后台</x:v>
      </x:c>
      <x:c r="G872" s="19" t="d">
        <x:v>2026-10-15T00:00:00.000Z</x:v>
      </x:c>
      <x:c r="H872" s="10" t="str">
        <x:v>已通过</x:v>
      </x:c>
      <x:c r="I872" s="21"/>
      <x:c r="J872" s="10" t="str">
        <x:v>JuiceFS 1.3.0+30190ca / WinFsp 2.1.25156；测试工具 S01–S04</x:v>
      </x:c>
      <x:c r="K872" s="10" t="str">
        <x:v>JuiceFS Windows CI 子集；attr-cache=0；云端 get-timeout=5m</x:v>
      </x:c>
      <x:c r="L872" s="10" t="str">
        <x:v>e920ead94a8e28f04e326664178b0c9f02d492b1 + productChanges / plansSha256 见 E01</x:v>
      </x:c>
      <x:c r="M872" s="10" t="str">
        <x:v>E01 / juicefs-upstream-run-PnYPG8</x:v>
      </x:c>
      <x:c r="N872" s="10" t="str">
        <x:v>152/152 断言；报告粒度为整套，不虚构每个脚本的耗时</x:v>
      </x:c>
    </x:row>
    <x:row r="873" ht="74" customHeight="1">
      <x:c r="A873" s="11" t="str">
        <x:v>SUBSET-20261015-drive-wb</x:v>
      </x:c>
      <x:c r="B873" s="11" t="str">
        <x:v>JFS-FSX-01</x:v>
      </x:c>
      <x:c r="C873" s="11" t="str">
        <x:v>FSX 正常完成运行</x:v>
      </x:c>
      <x:c r="D873" s="11" t="str">
        <x:v>FSX fork</x:v>
      </x:c>
      <x:c r="E873" s="11" t="str">
        <x:v>drive</x:v>
      </x:c>
      <x:c r="F873" s="11" t="str">
        <x:v>后台</x:v>
      </x:c>
      <x:c r="G873" s="20" t="d">
        <x:v>2026-10-15T00:00:00.000Z</x:v>
      </x:c>
      <x:c r="H873" s="11" t="str">
        <x:v>已通过</x:v>
      </x:c>
      <x:c r="I873" s="22"/>
      <x:c r="J873" s="11" t="str">
        <x:v>JuiceFS 1.3.0+30190ca / WinFsp 2.1.25156；测试工具 S01–S04</x:v>
      </x:c>
      <x:c r="K873" s="11" t="str">
        <x:v>JuiceFS Windows CI 子集；attr-cache=0；云端 get-timeout=5m</x:v>
      </x:c>
      <x:c r="L873" s="11" t="str">
        <x:v>e920ead94a8e28f04e326664178b0c9f02d492b1 + productChanges / plansSha256 见 E01</x:v>
      </x:c>
      <x:c r="M873" s="11" t="str">
        <x:v>E01 / juicefs-upstream-run-PnYPG8</x:v>
      </x:c>
      <x:c r="N873" s="11" t="str">
        <x:v>-N 200 -S 20261014 -p 100 -F 100000 fsxtest；实际 221 操作</x:v>
      </x:c>
    </x:row>
    <x:row r="874" ht="74" customHeight="1">
      <x:c r="A874" s="10" t="str">
        <x:v>SUBSET-20261015-drive-wb</x:v>
      </x:c>
      <x:c r="B874" s="10" t="str">
        <x:v>CLOUD-006</x:v>
      </x:c>
      <x:c r="C874" s="10" t="str">
        <x:v>排空后冷读校验</x:v>
      </x:c>
      <x:c r="D874" s="10" t="str">
        <x:v>项目验证</x:v>
      </x:c>
      <x:c r="E874" s="10" t="str">
        <x:v>drive</x:v>
      </x:c>
      <x:c r="F874" s="10" t="str">
        <x:v>后台</x:v>
      </x:c>
      <x:c r="G874" s="19" t="d">
        <x:v>2026-10-15T00:00:00.000Z</x:v>
      </x:c>
      <x:c r="H874" s="10" t="str">
        <x:v>已通过</x:v>
      </x:c>
      <x:c r="I874" s="21"/>
      <x:c r="J874" s="10" t="str">
        <x:v>JuiceFS 1.3.0+30190ca / WinFsp 2.1.25156；测试工具 S01–S04</x:v>
      </x:c>
      <x:c r="K874" s="10" t="str">
        <x:v>JuiceFS Windows CI 子集；attr-cache=0；云端 get-timeout=5m</x:v>
      </x:c>
      <x:c r="L874" s="10" t="str">
        <x:v>e920ead94a8e28f04e326664178b0c9f02d492b1 + productChanges / plansSha256 见 E01</x:v>
      </x:c>
      <x:c r="M874" s="10" t="str">
        <x:v>E01 / juicefs-upstream-run-PnYPG8</x:v>
      </x:c>
      <x:c r="N874" s="10" t="str">
        <x:v>原始记录见 E01；不代表故障恢复或 repair 测试</x:v>
      </x:c>
    </x:row>
    <x:row r="875" ht="74" customHeight="1">
      <x:c r="A875" s="11" t="str">
        <x:v>SUBSET-20261015-drive-wb</x:v>
      </x:c>
      <x:c r="B875" s="11" t="str">
        <x:v>CLOUD-007</x:v>
      </x:c>
      <x:c r="C875" s="11" t="str">
        <x:v>只读 fsck</x:v>
      </x:c>
      <x:c r="D875" s="11" t="str">
        <x:v>项目验证</x:v>
      </x:c>
      <x:c r="E875" s="11" t="str">
        <x:v>drive</x:v>
      </x:c>
      <x:c r="F875" s="11" t="str">
        <x:v>后台</x:v>
      </x:c>
      <x:c r="G875" s="20" t="d">
        <x:v>2026-10-15T00:00:00.000Z</x:v>
      </x:c>
      <x:c r="H875" s="11" t="str">
        <x:v>已通过</x:v>
      </x:c>
      <x:c r="I875" s="22"/>
      <x:c r="J875" s="11" t="str">
        <x:v>JuiceFS 1.3.0+30190ca / WinFsp 2.1.25156；测试工具 S01–S04</x:v>
      </x:c>
      <x:c r="K875" s="11" t="str">
        <x:v>JuiceFS Windows CI 子集；attr-cache=0；云端 get-timeout=5m</x:v>
      </x:c>
      <x:c r="L875" s="11" t="str">
        <x:v>e920ead94a8e28f04e326664178b0c9f02d492b1 + productChanges / plansSha256 见 E01</x:v>
      </x:c>
      <x:c r="M875" s="11" t="str">
        <x:v>E01 / juicefs-upstream-run-PnYPG8</x:v>
      </x:c>
      <x:c r="N875" s="11" t="str">
        <x:v>原始记录见 E01；不代表故障恢复或 repair 测试</x:v>
      </x:c>
    </x:row>
    <x:row r="876" ht="74" customHeight="1">
      <x:c r="A876" s="10" t="str">
        <x:v>SUBSET-20261015-onedrive-sync</x:v>
      </x:c>
      <x:c r="B876" s="10" t="str">
        <x:v>JFS-PY-01</x:v>
      </x:c>
      <x:c r="C876" s="10" t="str">
        <x:v>test_basic_operations</x:v>
      </x:c>
      <x:c r="D876" s="10" t="str">
        <x:v>Python</x:v>
      </x:c>
      <x:c r="E876" s="10" t="str">
        <x:v>onedrive</x:v>
      </x:c>
      <x:c r="F876" s="10" t="str">
        <x:v>同步</x:v>
      </x:c>
      <x:c r="G876" s="19" t="d">
        <x:v>2026-10-15T00:00:00.000Z</x:v>
      </x:c>
      <x:c r="H876" s="10" t="str">
        <x:v>已通过</x:v>
      </x:c>
      <x:c r="I876" s="21"/>
      <x:c r="J876" s="10" t="str">
        <x:v>JuiceFS 1.3.0+30190ca / WinFsp 2.1.25156；测试工具 S01–S04</x:v>
      </x:c>
      <x:c r="K876" s="10" t="str">
        <x:v>JuiceFS Windows CI 子集；attr-cache=0；云端 get-timeout=5m</x:v>
      </x:c>
      <x:c r="L876" s="10" t="str">
        <x:v>e920ead94a8e28f04e326664178b0c9f02d492b1 + productChanges / plansSha256 见 E01</x:v>
      </x:c>
      <x:c r="M876" s="10" t="str">
        <x:v>E01 / juicefs-upstream-run-lyewiQ</x:v>
      </x:c>
      <x:c r="N876" s="10" t="str">
        <x:v>上游原断言</x:v>
      </x:c>
    </x:row>
    <x:row r="877" ht="74" customHeight="1">
      <x:c r="A877" s="11" t="str">
        <x:v>SUBSET-20261015-onedrive-sync</x:v>
      </x:c>
      <x:c r="B877" s="11" t="str">
        <x:v>JFS-PY-02</x:v>
      </x:c>
      <x:c r="C877" s="11" t="str">
        <x:v>test_concurrent_operations</x:v>
      </x:c>
      <x:c r="D877" s="11" t="str">
        <x:v>Python</x:v>
      </x:c>
      <x:c r="E877" s="11" t="str">
        <x:v>onedrive</x:v>
      </x:c>
      <x:c r="F877" s="11" t="str">
        <x:v>同步</x:v>
      </x:c>
      <x:c r="G877" s="20" t="d">
        <x:v>2026-10-15T00:00:00.000Z</x:v>
      </x:c>
      <x:c r="H877" s="11" t="str">
        <x:v>已通过</x:v>
      </x:c>
      <x:c r="I877" s="22"/>
      <x:c r="J877" s="11" t="str">
        <x:v>JuiceFS 1.3.0+30190ca / WinFsp 2.1.25156；测试工具 S01–S04</x:v>
      </x:c>
      <x:c r="K877" s="11" t="str">
        <x:v>JuiceFS Windows CI 子集；attr-cache=0；云端 get-timeout=5m</x:v>
      </x:c>
      <x:c r="L877" s="11" t="str">
        <x:v>e920ead94a8e28f04e326664178b0c9f02d492b1 + productChanges / plansSha256 见 E01</x:v>
      </x:c>
      <x:c r="M877" s="11" t="str">
        <x:v>E01 / juicefs-upstream-run-lyewiQ</x:v>
      </x:c>
      <x:c r="N877" s="11" t="str">
        <x:v>上游原断言</x:v>
      </x:c>
    </x:row>
    <x:row r="878" ht="74" customHeight="1">
      <x:c r="A878" s="10" t="str">
        <x:v>SUBSET-20261015-onedrive-sync</x:v>
      </x:c>
      <x:c r="B878" s="10" t="str">
        <x:v>JFS-PY-03</x:v>
      </x:c>
      <x:c r="C878" s="10" t="str">
        <x:v>test_directory_operations</x:v>
      </x:c>
      <x:c r="D878" s="10" t="str">
        <x:v>Python</x:v>
      </x:c>
      <x:c r="E878" s="10" t="str">
        <x:v>onedrive</x:v>
      </x:c>
      <x:c r="F878" s="10" t="str">
        <x:v>同步</x:v>
      </x:c>
      <x:c r="G878" s="19" t="d">
        <x:v>2026-10-15T00:00:00.000Z</x:v>
      </x:c>
      <x:c r="H878" s="10" t="str">
        <x:v>已通过</x:v>
      </x:c>
      <x:c r="I878" s="21"/>
      <x:c r="J878" s="10" t="str">
        <x:v>JuiceFS 1.3.0+30190ca / WinFsp 2.1.25156；测试工具 S01–S04</x:v>
      </x:c>
      <x:c r="K878" s="10" t="str">
        <x:v>JuiceFS Windows CI 子集；attr-cache=0；云端 get-timeout=5m</x:v>
      </x:c>
      <x:c r="L878" s="10" t="str">
        <x:v>e920ead94a8e28f04e326664178b0c9f02d492b1 + productChanges / plansSha256 见 E01</x:v>
      </x:c>
      <x:c r="M878" s="10" t="str">
        <x:v>E01 / juicefs-upstream-run-lyewiQ</x:v>
      </x:c>
      <x:c r="N878" s="10" t="str">
        <x:v>上游原断言</x:v>
      </x:c>
    </x:row>
    <x:row r="879" ht="74" customHeight="1">
      <x:c r="A879" s="11" t="str">
        <x:v>SUBSET-20261015-onedrive-sync</x:v>
      </x:c>
      <x:c r="B879" s="11" t="str">
        <x:v>JFS-PY-04</x:v>
      </x:c>
      <x:c r="C879" s="11" t="str">
        <x:v>test_file_attributes</x:v>
      </x:c>
      <x:c r="D879" s="11" t="str">
        <x:v>Python</x:v>
      </x:c>
      <x:c r="E879" s="11" t="str">
        <x:v>onedrive</x:v>
      </x:c>
      <x:c r="F879" s="11" t="str">
        <x:v>同步</x:v>
      </x:c>
      <x:c r="G879" s="20" t="d">
        <x:v>2026-10-15T00:00:00.000Z</x:v>
      </x:c>
      <x:c r="H879" s="11" t="str">
        <x:v>已通过</x:v>
      </x:c>
      <x:c r="I879" s="22"/>
      <x:c r="J879" s="11" t="str">
        <x:v>JuiceFS 1.3.0+30190ca / WinFsp 2.1.25156；测试工具 S01–S04</x:v>
      </x:c>
      <x:c r="K879" s="11" t="str">
        <x:v>JuiceFS Windows CI 子集；attr-cache=0；云端 get-timeout=5m</x:v>
      </x:c>
      <x:c r="L879" s="11" t="str">
        <x:v>e920ead94a8e28f04e326664178b0c9f02d492b1 + productChanges / plansSha256 见 E01</x:v>
      </x:c>
      <x:c r="M879" s="11" t="str">
        <x:v>E01 / juicefs-upstream-run-lyewiQ</x:v>
      </x:c>
      <x:c r="N879" s="11" t="str">
        <x:v>上游原断言</x:v>
      </x:c>
    </x:row>
    <x:row r="880" ht="74" customHeight="1">
      <x:c r="A880" s="10" t="str">
        <x:v>SUBSET-20261015-onedrive-sync</x:v>
      </x:c>
      <x:c r="B880" s="10" t="str">
        <x:v>JFS-PY-05</x:v>
      </x:c>
      <x:c r="C880" s="10" t="str">
        <x:v>test_large_files</x:v>
      </x:c>
      <x:c r="D880" s="10" t="str">
        <x:v>Python</x:v>
      </x:c>
      <x:c r="E880" s="10" t="str">
        <x:v>onedrive</x:v>
      </x:c>
      <x:c r="F880" s="10" t="str">
        <x:v>同步</x:v>
      </x:c>
      <x:c r="G880" s="19" t="d">
        <x:v>2026-10-15T00:00:00.000Z</x:v>
      </x:c>
      <x:c r="H880" s="10" t="str">
        <x:v>已通过</x:v>
      </x:c>
      <x:c r="I880" s="21"/>
      <x:c r="J880" s="10" t="str">
        <x:v>JuiceFS 1.3.0+30190ca / WinFsp 2.1.25156；测试工具 S01–S04</x:v>
      </x:c>
      <x:c r="K880" s="10" t="str">
        <x:v>JuiceFS Windows CI 子集；attr-cache=0；云端 get-timeout=5m</x:v>
      </x:c>
      <x:c r="L880" s="10" t="str">
        <x:v>e920ead94a8e28f04e326664178b0c9f02d492b1 + productChanges / plansSha256 见 E01</x:v>
      </x:c>
      <x:c r="M880" s="10" t="str">
        <x:v>E01 / juicefs-upstream-run-lyewiQ</x:v>
      </x:c>
      <x:c r="N880" s="10" t="str">
        <x:v>上游原断言</x:v>
      </x:c>
    </x:row>
    <x:row r="881" ht="74" customHeight="1">
      <x:c r="A881" s="11" t="str">
        <x:v>SUBSET-20261015-onedrive-sync</x:v>
      </x:c>
      <x:c r="B881" s="11" t="str">
        <x:v>JFS-PY-06</x:v>
      </x:c>
      <x:c r="C881" s="11" t="str">
        <x:v>test_long_paths</x:v>
      </x:c>
      <x:c r="D881" s="11" t="str">
        <x:v>Python</x:v>
      </x:c>
      <x:c r="E881" s="11" t="str">
        <x:v>onedrive</x:v>
      </x:c>
      <x:c r="F881" s="11" t="str">
        <x:v>同步</x:v>
      </x:c>
      <x:c r="G881" s="20" t="d">
        <x:v>2026-10-15T00:00:00.000Z</x:v>
      </x:c>
      <x:c r="H881" s="11" t="str">
        <x:v>已通过</x:v>
      </x:c>
      <x:c r="I881" s="22"/>
      <x:c r="J881" s="11" t="str">
        <x:v>JuiceFS 1.3.0+30190ca / WinFsp 2.1.25156；测试工具 S01–S04</x:v>
      </x:c>
      <x:c r="K881" s="11" t="str">
        <x:v>JuiceFS Windows CI 子集；attr-cache=0；云端 get-timeout=5m</x:v>
      </x:c>
      <x:c r="L881" s="11" t="str">
        <x:v>e920ead94a8e28f04e326664178b0c9f02d492b1 + productChanges / plansSha256 见 E01</x:v>
      </x:c>
      <x:c r="M881" s="11" t="str">
        <x:v>E01 / juicefs-upstream-run-lyewiQ</x:v>
      </x:c>
      <x:c r="N881" s="11" t="str">
        <x:v>上游原断言</x:v>
      </x:c>
    </x:row>
    <x:row r="882" ht="74" customHeight="1">
      <x:c r="A882" s="10" t="str">
        <x:v>SUBSET-20261015-onedrive-sync</x:v>
      </x:c>
      <x:c r="B882" s="10" t="str">
        <x:v>JFS-PY-07</x:v>
      </x:c>
      <x:c r="C882" s="10" t="str">
        <x:v>test_rename_case_change</x:v>
      </x:c>
      <x:c r="D882" s="10" t="str">
        <x:v>Python</x:v>
      </x:c>
      <x:c r="E882" s="10" t="str">
        <x:v>onedrive</x:v>
      </x:c>
      <x:c r="F882" s="10" t="str">
        <x:v>同步</x:v>
      </x:c>
      <x:c r="G882" s="19" t="d">
        <x:v>2026-10-15T00:00:00.000Z</x:v>
      </x:c>
      <x:c r="H882" s="10" t="str">
        <x:v>已通过</x:v>
      </x:c>
      <x:c r="I882" s="21"/>
      <x:c r="J882" s="10" t="str">
        <x:v>JuiceFS 1.3.0+30190ca / WinFsp 2.1.25156；测试工具 S01–S04</x:v>
      </x:c>
      <x:c r="K882" s="10" t="str">
        <x:v>JuiceFS Windows CI 子集；attr-cache=0；云端 get-timeout=5m</x:v>
      </x:c>
      <x:c r="L882" s="10" t="str">
        <x:v>e920ead94a8e28f04e326664178b0c9f02d492b1 + productChanges / plansSha256 见 E01</x:v>
      </x:c>
      <x:c r="M882" s="10" t="str">
        <x:v>E01 / juicefs-upstream-run-lyewiQ</x:v>
      </x:c>
      <x:c r="N882" s="10" t="str">
        <x:v>上游原断言</x:v>
      </x:c>
    </x:row>
    <x:row r="883" ht="74" customHeight="1">
      <x:c r="A883" s="11" t="str">
        <x:v>SUBSET-20261015-onedrive-sync</x:v>
      </x:c>
      <x:c r="B883" s="11" t="str">
        <x:v>JFS-PY-08</x:v>
      </x:c>
      <x:c r="C883" s="11" t="str">
        <x:v>test_special_characters</x:v>
      </x:c>
      <x:c r="D883" s="11" t="str">
        <x:v>Python</x:v>
      </x:c>
      <x:c r="E883" s="11" t="str">
        <x:v>onedrive</x:v>
      </x:c>
      <x:c r="F883" s="11" t="str">
        <x:v>同步</x:v>
      </x:c>
      <x:c r="G883" s="20" t="d">
        <x:v>2026-10-15T00:00:00.000Z</x:v>
      </x:c>
      <x:c r="H883" s="11" t="str">
        <x:v>已通过</x:v>
      </x:c>
      <x:c r="I883" s="22"/>
      <x:c r="J883" s="11" t="str">
        <x:v>JuiceFS 1.3.0+30190ca / WinFsp 2.1.25156；测试工具 S01–S04</x:v>
      </x:c>
      <x:c r="K883" s="11" t="str">
        <x:v>JuiceFS Windows CI 子集；attr-cache=0；云端 get-timeout=5m</x:v>
      </x:c>
      <x:c r="L883" s="11" t="str">
        <x:v>e920ead94a8e28f04e326664178b0c9f02d492b1 + productChanges / plansSha256 见 E01</x:v>
      </x:c>
      <x:c r="M883" s="11" t="str">
        <x:v>E01 / juicefs-upstream-run-lyewiQ</x:v>
      </x:c>
      <x:c r="N883" s="11" t="str">
        <x:v>上游原断言</x:v>
      </x:c>
    </x:row>
    <x:row r="884" ht="74" customHeight="1">
      <x:c r="A884" s="10" t="str">
        <x:v>SUBSET-20261015-onedrive-sync</x:v>
      </x:c>
      <x:c r="B884" s="10" t="str">
        <x:v>JFS-PY-09</x:v>
      </x:c>
      <x:c r="C884" s="10" t="str">
        <x:v>test_symlinks</x:v>
      </x:c>
      <x:c r="D884" s="10" t="str">
        <x:v>Python</x:v>
      </x:c>
      <x:c r="E884" s="10" t="str">
        <x:v>onedrive</x:v>
      </x:c>
      <x:c r="F884" s="10" t="str">
        <x:v>同步</x:v>
      </x:c>
      <x:c r="G884" s="19" t="d">
        <x:v>2026-10-15T00:00:00.000Z</x:v>
      </x:c>
      <x:c r="H884" s="10" t="str">
        <x:v>已跳过</x:v>
      </x:c>
      <x:c r="I884" s="21"/>
      <x:c r="J884" s="10" t="str">
        <x:v>JuiceFS 1.3.0+30190ca / WinFsp 2.1.25156；测试工具 S01–S04</x:v>
      </x:c>
      <x:c r="K884" s="10" t="str">
        <x:v>JuiceFS Windows CI 子集；attr-cache=0；云端 get-timeout=5m</x:v>
      </x:c>
      <x:c r="L884" s="10" t="str">
        <x:v>e920ead94a8e28f04e326664178b0c9f02d492b1 + productChanges / plansSha256 见 E01</x:v>
      </x:c>
      <x:c r="M884" s="10" t="str">
        <x:v>E01 / juicefs-upstream-run-lyewiQ</x:v>
      </x:c>
      <x:c r="N884" s="10" t="str">
        <x:v>Windows Do not support</x:v>
      </x:c>
    </x:row>
    <x:row r="885" ht="74" customHeight="1">
      <x:c r="A885" s="11" t="str">
        <x:v>SUBSET-20261015-onedrive-sync</x:v>
      </x:c>
      <x:c r="B885" s="11" t="str">
        <x:v>WFP-01</x:v>
      </x:c>
      <x:c r="C885" s="11" t="str">
        <x:v>create_test</x:v>
      </x:c>
      <x:c r="D885" s="11" t="str">
        <x:v>WinFsp fork 默认子集</x:v>
      </x:c>
      <x:c r="E885" s="11" t="str">
        <x:v>onedrive</x:v>
      </x:c>
      <x:c r="F885" s="11" t="str">
        <x:v>同步</x:v>
      </x:c>
      <x:c r="G885" s="20" t="d">
        <x:v>2026-10-15T00:00:00.000Z</x:v>
      </x:c>
      <x:c r="H885" s="11" t="str">
        <x:v>已通过</x:v>
      </x:c>
      <x:c r="I885" s="22" t="n">
        <x:v>0.355</x:v>
      </x:c>
      <x:c r="J885" s="11" t="str">
        <x:v>JuiceFS 1.3.0+30190ca / WinFsp 2.1.25156；测试工具 S01–S04</x:v>
      </x:c>
      <x:c r="K885" s="11" t="str">
        <x:v>JuiceFS Windows CI 子集；attr-cache=0；云端 get-timeout=5m</x:v>
      </x:c>
      <x:c r="L885" s="11" t="str">
        <x:v>e920ead94a8e28f04e326664178b0c9f02d492b1 + productChanges / plansSha256 见 E01</x:v>
      </x:c>
      <x:c r="M885" s="11" t="str">
        <x:v>E01 / juicefs-upstream-run-lyewiQ</x:v>
      </x:c>
      <x:c r="N885" s="11" t="str">
        <x:v>--fuse-external --resilient --case-insensitive-cmp</x:v>
      </x:c>
    </x:row>
    <x:row r="886" ht="74" customHeight="1">
      <x:c r="A886" s="10" t="str">
        <x:v>SUBSET-20261015-onedrive-sync</x:v>
      </x:c>
      <x:c r="B886" s="10" t="str">
        <x:v>WFP-02</x:v>
      </x:c>
      <x:c r="C886" s="10" t="str">
        <x:v>create_fileattr_test</x:v>
      </x:c>
      <x:c r="D886" s="10" t="str">
        <x:v>WinFsp fork 默认子集</x:v>
      </x:c>
      <x:c r="E886" s="10" t="str">
        <x:v>onedrive</x:v>
      </x:c>
      <x:c r="F886" s="10" t="str">
        <x:v>同步</x:v>
      </x:c>
      <x:c r="G886" s="19" t="d">
        <x:v>2026-10-15T00:00:00.000Z</x:v>
      </x:c>
      <x:c r="H886" s="10" t="str">
        <x:v>已通过</x:v>
      </x:c>
      <x:c r="I886" s="21" t="n">
        <x:v>0.327</x:v>
      </x:c>
      <x:c r="J886" s="10" t="str">
        <x:v>JuiceFS 1.3.0+30190ca / WinFsp 2.1.25156；测试工具 S01–S04</x:v>
      </x:c>
      <x:c r="K886" s="10" t="str">
        <x:v>JuiceFS Windows CI 子集；attr-cache=0；云端 get-timeout=5m</x:v>
      </x:c>
      <x:c r="L886" s="10" t="str">
        <x:v>e920ead94a8e28f04e326664178b0c9f02d492b1 + productChanges / plansSha256 见 E01</x:v>
      </x:c>
      <x:c r="M886" s="10" t="str">
        <x:v>E01 / juicefs-upstream-run-lyewiQ</x:v>
      </x:c>
      <x:c r="N886" s="10" t="str">
        <x:v>--fuse-external --resilient --case-insensitive-cmp</x:v>
      </x:c>
    </x:row>
    <x:row r="887" ht="74" customHeight="1">
      <x:c r="A887" s="11" t="str">
        <x:v>SUBSET-20261015-onedrive-sync</x:v>
      </x:c>
      <x:c r="B887" s="11" t="str">
        <x:v>WFP-03</x:v>
      </x:c>
      <x:c r="C887" s="11" t="str">
        <x:v>create_readonlydir_test</x:v>
      </x:c>
      <x:c r="D887" s="11" t="str">
        <x:v>WinFsp fork 默认子集</x:v>
      </x:c>
      <x:c r="E887" s="11" t="str">
        <x:v>onedrive</x:v>
      </x:c>
      <x:c r="F887" s="11" t="str">
        <x:v>同步</x:v>
      </x:c>
      <x:c r="G887" s="20" t="d">
        <x:v>2026-10-15T00:00:00.000Z</x:v>
      </x:c>
      <x:c r="H887" s="11" t="str">
        <x:v>已通过</x:v>
      </x:c>
      <x:c r="I887" s="22" t="n">
        <x:v>0.313</x:v>
      </x:c>
      <x:c r="J887" s="11" t="str">
        <x:v>JuiceFS 1.3.0+30190ca / WinFsp 2.1.25156；测试工具 S01–S04</x:v>
      </x:c>
      <x:c r="K887" s="11" t="str">
        <x:v>JuiceFS Windows CI 子集；attr-cache=0；云端 get-timeout=5m</x:v>
      </x:c>
      <x:c r="L887" s="11" t="str">
        <x:v>e920ead94a8e28f04e326664178b0c9f02d492b1 + productChanges / plansSha256 见 E01</x:v>
      </x:c>
      <x:c r="M887" s="11" t="str">
        <x:v>E01 / juicefs-upstream-run-lyewiQ</x:v>
      </x:c>
      <x:c r="N887" s="11" t="str">
        <x:v>--fuse-external --resilient --case-insensitive-cmp</x:v>
      </x:c>
    </x:row>
    <x:row r="888" ht="74" customHeight="1">
      <x:c r="A888" s="10" t="str">
        <x:v>SUBSET-20261015-onedrive-sync</x:v>
      </x:c>
      <x:c r="B888" s="10" t="str">
        <x:v>WFP-04</x:v>
      </x:c>
      <x:c r="C888" s="10" t="str">
        <x:v>create_related_test</x:v>
      </x:c>
      <x:c r="D888" s="10" t="str">
        <x:v>WinFsp fork 默认子集</x:v>
      </x:c>
      <x:c r="E888" s="10" t="str">
        <x:v>onedrive</x:v>
      </x:c>
      <x:c r="F888" s="10" t="str">
        <x:v>同步</x:v>
      </x:c>
      <x:c r="G888" s="19" t="d">
        <x:v>2026-10-15T00:00:00.000Z</x:v>
      </x:c>
      <x:c r="H888" s="10" t="str">
        <x:v>已通过</x:v>
      </x:c>
      <x:c r="I888" s="21" t="n">
        <x:v>0.337</x:v>
      </x:c>
      <x:c r="J888" s="10" t="str">
        <x:v>JuiceFS 1.3.0+30190ca / WinFsp 2.1.25156；测试工具 S01–S04</x:v>
      </x:c>
      <x:c r="K888" s="10" t="str">
        <x:v>JuiceFS Windows CI 子集；attr-cache=0；云端 get-timeout=5m</x:v>
      </x:c>
      <x:c r="L888" s="10" t="str">
        <x:v>e920ead94a8e28f04e326664178b0c9f02d492b1 + productChanges / plansSha256 见 E01</x:v>
      </x:c>
      <x:c r="M888" s="10" t="str">
        <x:v>E01 / juicefs-upstream-run-lyewiQ</x:v>
      </x:c>
      <x:c r="N888" s="10" t="str">
        <x:v>--fuse-external --resilient --case-insensitive-cmp</x:v>
      </x:c>
    </x:row>
    <x:row r="889" ht="74" customHeight="1">
      <x:c r="A889" s="11" t="str">
        <x:v>SUBSET-20261015-onedrive-sync</x:v>
      </x:c>
      <x:c r="B889" s="11" t="str">
        <x:v>WFP-05</x:v>
      </x:c>
      <x:c r="C889" s="11" t="str">
        <x:v>create_sd_test</x:v>
      </x:c>
      <x:c r="D889" s="11" t="str">
        <x:v>WinFsp fork 默认子集</x:v>
      </x:c>
      <x:c r="E889" s="11" t="str">
        <x:v>onedrive</x:v>
      </x:c>
      <x:c r="F889" s="11" t="str">
        <x:v>同步</x:v>
      </x:c>
      <x:c r="G889" s="20" t="d">
        <x:v>2026-10-15T00:00:00.000Z</x:v>
      </x:c>
      <x:c r="H889" s="11" t="str">
        <x:v>已通过</x:v>
      </x:c>
      <x:c r="I889" s="22" t="n">
        <x:v>0.32</x:v>
      </x:c>
      <x:c r="J889" s="11" t="str">
        <x:v>JuiceFS 1.3.0+30190ca / WinFsp 2.1.25156；测试工具 S01–S04</x:v>
      </x:c>
      <x:c r="K889" s="11" t="str">
        <x:v>JuiceFS Windows CI 子集；attr-cache=0；云端 get-timeout=5m</x:v>
      </x:c>
      <x:c r="L889" s="11" t="str">
        <x:v>e920ead94a8e28f04e326664178b0c9f02d492b1 + productChanges / plansSha256 见 E01</x:v>
      </x:c>
      <x:c r="M889" s="11" t="str">
        <x:v>E01 / juicefs-upstream-run-lyewiQ</x:v>
      </x:c>
      <x:c r="N889" s="11" t="str">
        <x:v>--fuse-external --resilient --case-insensitive-cmp</x:v>
      </x:c>
    </x:row>
    <x:row r="890" ht="74" customHeight="1">
      <x:c r="A890" s="10" t="str">
        <x:v>SUBSET-20261015-onedrive-sync</x:v>
      </x:c>
      <x:c r="B890" s="10" t="str">
        <x:v>WFP-06</x:v>
      </x:c>
      <x:c r="C890" s="10" t="str">
        <x:v>create_share_test</x:v>
      </x:c>
      <x:c r="D890" s="10" t="str">
        <x:v>WinFsp fork 默认子集</x:v>
      </x:c>
      <x:c r="E890" s="10" t="str">
        <x:v>onedrive</x:v>
      </x:c>
      <x:c r="F890" s="10" t="str">
        <x:v>同步</x:v>
      </x:c>
      <x:c r="G890" s="19" t="d">
        <x:v>2026-10-15T00:00:00.000Z</x:v>
      </x:c>
      <x:c r="H890" s="10" t="str">
        <x:v>已通过</x:v>
      </x:c>
      <x:c r="I890" s="21" t="n">
        <x:v>0.298</x:v>
      </x:c>
      <x:c r="J890" s="10" t="str">
        <x:v>JuiceFS 1.3.0+30190ca / WinFsp 2.1.25156；测试工具 S01–S04</x:v>
      </x:c>
      <x:c r="K890" s="10" t="str">
        <x:v>JuiceFS Windows CI 子集；attr-cache=0；云端 get-timeout=5m</x:v>
      </x:c>
      <x:c r="L890" s="10" t="str">
        <x:v>e920ead94a8e28f04e326664178b0c9f02d492b1 + productChanges / plansSha256 见 E01</x:v>
      </x:c>
      <x:c r="M890" s="10" t="str">
        <x:v>E01 / juicefs-upstream-run-lyewiQ</x:v>
      </x:c>
      <x:c r="N890" s="10" t="str">
        <x:v>--fuse-external --resilient --case-insensitive-cmp</x:v>
      </x:c>
    </x:row>
    <x:row r="891" ht="74" customHeight="1">
      <x:c r="A891" s="11" t="str">
        <x:v>SUBSET-20261015-onedrive-sync</x:v>
      </x:c>
      <x:c r="B891" s="11" t="str">
        <x:v>WFP-07</x:v>
      </x:c>
      <x:c r="C891" s="11" t="str">
        <x:v>create_curdir_test</x:v>
      </x:c>
      <x:c r="D891" s="11" t="str">
        <x:v>WinFsp fork 默认子集</x:v>
      </x:c>
      <x:c r="E891" s="11" t="str">
        <x:v>onedrive</x:v>
      </x:c>
      <x:c r="F891" s="11" t="str">
        <x:v>同步</x:v>
      </x:c>
      <x:c r="G891" s="20" t="d">
        <x:v>2026-10-15T00:00:00.000Z</x:v>
      </x:c>
      <x:c r="H891" s="11" t="str">
        <x:v>已通过</x:v>
      </x:c>
      <x:c r="I891" s="22" t="n">
        <x:v>0.319</x:v>
      </x:c>
      <x:c r="J891" s="11" t="str">
        <x:v>JuiceFS 1.3.0+30190ca / WinFsp 2.1.25156；测试工具 S01–S04</x:v>
      </x:c>
      <x:c r="K891" s="11" t="str">
        <x:v>JuiceFS Windows CI 子集；attr-cache=0；云端 get-timeout=5m</x:v>
      </x:c>
      <x:c r="L891" s="11" t="str">
        <x:v>e920ead94a8e28f04e326664178b0c9f02d492b1 + productChanges / plansSha256 见 E01</x:v>
      </x:c>
      <x:c r="M891" s="11" t="str">
        <x:v>E01 / juicefs-upstream-run-lyewiQ</x:v>
      </x:c>
      <x:c r="N891" s="11" t="str">
        <x:v>--fuse-external --resilient --case-insensitive-cmp</x:v>
      </x:c>
    </x:row>
    <x:row r="892" ht="74" customHeight="1">
      <x:c r="A892" s="10" t="str">
        <x:v>SUBSET-20261015-onedrive-sync</x:v>
      </x:c>
      <x:c r="B892" s="10" t="str">
        <x:v>WFP-08</x:v>
      </x:c>
      <x:c r="C892" s="10" t="str">
        <x:v>getfileinfo_test</x:v>
      </x:c>
      <x:c r="D892" s="10" t="str">
        <x:v>WinFsp fork 默认子集</x:v>
      </x:c>
      <x:c r="E892" s="10" t="str">
        <x:v>onedrive</x:v>
      </x:c>
      <x:c r="F892" s="10" t="str">
        <x:v>同步</x:v>
      </x:c>
      <x:c r="G892" s="19" t="d">
        <x:v>2026-10-15T00:00:00.000Z</x:v>
      </x:c>
      <x:c r="H892" s="10" t="str">
        <x:v>已通过</x:v>
      </x:c>
      <x:c r="I892" s="21" t="n">
        <x:v>0.33</x:v>
      </x:c>
      <x:c r="J892" s="10" t="str">
        <x:v>JuiceFS 1.3.0+30190ca / WinFsp 2.1.25156；测试工具 S01–S04</x:v>
      </x:c>
      <x:c r="K892" s="10" t="str">
        <x:v>JuiceFS Windows CI 子集；attr-cache=0；云端 get-timeout=5m</x:v>
      </x:c>
      <x:c r="L892" s="10" t="str">
        <x:v>e920ead94a8e28f04e326664178b0c9f02d492b1 + productChanges / plansSha256 见 E01</x:v>
      </x:c>
      <x:c r="M892" s="10" t="str">
        <x:v>E01 / juicefs-upstream-run-lyewiQ</x:v>
      </x:c>
      <x:c r="N892" s="10" t="str">
        <x:v>--fuse-external --resilient --case-insensitive-cmp</x:v>
      </x:c>
    </x:row>
    <x:row r="893" ht="74" customHeight="1">
      <x:c r="A893" s="11" t="str">
        <x:v>SUBSET-20261015-onedrive-sync</x:v>
      </x:c>
      <x:c r="B893" s="11" t="str">
        <x:v>WFP-09</x:v>
      </x:c>
      <x:c r="C893" s="11" t="str">
        <x:v>setfileinfo_test</x:v>
      </x:c>
      <x:c r="D893" s="11" t="str">
        <x:v>WinFsp fork 默认子集</x:v>
      </x:c>
      <x:c r="E893" s="11" t="str">
        <x:v>onedrive</x:v>
      </x:c>
      <x:c r="F893" s="11" t="str">
        <x:v>同步</x:v>
      </x:c>
      <x:c r="G893" s="20" t="d">
        <x:v>2026-10-15T00:00:00.000Z</x:v>
      </x:c>
      <x:c r="H893" s="11" t="str">
        <x:v>已通过</x:v>
      </x:c>
      <x:c r="I893" s="22" t="n">
        <x:v>0.32</x:v>
      </x:c>
      <x:c r="J893" s="11" t="str">
        <x:v>JuiceFS 1.3.0+30190ca / WinFsp 2.1.25156；测试工具 S01–S04</x:v>
      </x:c>
      <x:c r="K893" s="11" t="str">
        <x:v>JuiceFS Windows CI 子集；attr-cache=0；云端 get-timeout=5m</x:v>
      </x:c>
      <x:c r="L893" s="11" t="str">
        <x:v>e920ead94a8e28f04e326664178b0c9f02d492b1 + productChanges / plansSha256 见 E01</x:v>
      </x:c>
      <x:c r="M893" s="11" t="str">
        <x:v>E01 / juicefs-upstream-run-lyewiQ</x:v>
      </x:c>
      <x:c r="N893" s="11" t="str">
        <x:v>--fuse-external --resilient --case-insensitive-cmp</x:v>
      </x:c>
    </x:row>
    <x:row r="894" ht="74" customHeight="1">
      <x:c r="A894" s="10" t="str">
        <x:v>SUBSET-20261015-onedrive-sync</x:v>
      </x:c>
      <x:c r="B894" s="10" t="str">
        <x:v>WFP-10</x:v>
      </x:c>
      <x:c r="C894" s="10" t="str">
        <x:v>delete_test</x:v>
      </x:c>
      <x:c r="D894" s="10" t="str">
        <x:v>WinFsp fork 默认子集</x:v>
      </x:c>
      <x:c r="E894" s="10" t="str">
        <x:v>onedrive</x:v>
      </x:c>
      <x:c r="F894" s="10" t="str">
        <x:v>同步</x:v>
      </x:c>
      <x:c r="G894" s="19" t="d">
        <x:v>2026-10-15T00:00:00.000Z</x:v>
      </x:c>
      <x:c r="H894" s="10" t="str">
        <x:v>已通过</x:v>
      </x:c>
      <x:c r="I894" s="21" t="n">
        <x:v>0.319</x:v>
      </x:c>
      <x:c r="J894" s="10" t="str">
        <x:v>JuiceFS 1.3.0+30190ca / WinFsp 2.1.25156；测试工具 S01–S04</x:v>
      </x:c>
      <x:c r="K894" s="10" t="str">
        <x:v>JuiceFS Windows CI 子集；attr-cache=0；云端 get-timeout=5m</x:v>
      </x:c>
      <x:c r="L894" s="10" t="str">
        <x:v>e920ead94a8e28f04e326664178b0c9f02d492b1 + productChanges / plansSha256 见 E01</x:v>
      </x:c>
      <x:c r="M894" s="10" t="str">
        <x:v>E01 / juicefs-upstream-run-lyewiQ</x:v>
      </x:c>
      <x:c r="N894" s="10" t="str">
        <x:v>--fuse-external --resilient --case-insensitive-cmp</x:v>
      </x:c>
    </x:row>
    <x:row r="895" ht="74" customHeight="1">
      <x:c r="A895" s="11" t="str">
        <x:v>SUBSET-20261015-onedrive-sync</x:v>
      </x:c>
      <x:c r="B895" s="11" t="str">
        <x:v>WFP-11</x:v>
      </x:c>
      <x:c r="C895" s="11" t="str">
        <x:v>delete_access_test</x:v>
      </x:c>
      <x:c r="D895" s="11" t="str">
        <x:v>WinFsp fork 默认子集</x:v>
      </x:c>
      <x:c r="E895" s="11" t="str">
        <x:v>onedrive</x:v>
      </x:c>
      <x:c r="F895" s="11" t="str">
        <x:v>同步</x:v>
      </x:c>
      <x:c r="G895" s="20" t="d">
        <x:v>2026-10-15T00:00:00.000Z</x:v>
      </x:c>
      <x:c r="H895" s="11" t="str">
        <x:v>已通过</x:v>
      </x:c>
      <x:c r="I895" s="22" t="n">
        <x:v>0.333</x:v>
      </x:c>
      <x:c r="J895" s="11" t="str">
        <x:v>JuiceFS 1.3.0+30190ca / WinFsp 2.1.25156；测试工具 S01–S04</x:v>
      </x:c>
      <x:c r="K895" s="11" t="str">
        <x:v>JuiceFS Windows CI 子集；attr-cache=0；云端 get-timeout=5m</x:v>
      </x:c>
      <x:c r="L895" s="11" t="str">
        <x:v>e920ead94a8e28f04e326664178b0c9f02d492b1 + productChanges / plansSha256 见 E01</x:v>
      </x:c>
      <x:c r="M895" s="11" t="str">
        <x:v>E01 / juicefs-upstream-run-lyewiQ</x:v>
      </x:c>
      <x:c r="N895" s="11" t="str">
        <x:v>--fuse-external --resilient --case-insensitive-cmp</x:v>
      </x:c>
    </x:row>
    <x:row r="896" ht="74" customHeight="1">
      <x:c r="A896" s="10" t="str">
        <x:v>SUBSET-20261015-onedrive-sync</x:v>
      </x:c>
      <x:c r="B896" s="10" t="str">
        <x:v>WFP-12</x:v>
      </x:c>
      <x:c r="C896" s="10" t="str">
        <x:v>delete_pending_test</x:v>
      </x:c>
      <x:c r="D896" s="10" t="str">
        <x:v>WinFsp fork 默认子集</x:v>
      </x:c>
      <x:c r="E896" s="10" t="str">
        <x:v>onedrive</x:v>
      </x:c>
      <x:c r="F896" s="10" t="str">
        <x:v>同步</x:v>
      </x:c>
      <x:c r="G896" s="19" t="d">
        <x:v>2026-10-15T00:00:00.000Z</x:v>
      </x:c>
      <x:c r="H896" s="10" t="str">
        <x:v>已通过</x:v>
      </x:c>
      <x:c r="I896" s="21" t="n">
        <x:v>0.337</x:v>
      </x:c>
      <x:c r="J896" s="10" t="str">
        <x:v>JuiceFS 1.3.0+30190ca / WinFsp 2.1.25156；测试工具 S01–S04</x:v>
      </x:c>
      <x:c r="K896" s="10" t="str">
        <x:v>JuiceFS Windows CI 子集；attr-cache=0；云端 get-timeout=5m</x:v>
      </x:c>
      <x:c r="L896" s="10" t="str">
        <x:v>e920ead94a8e28f04e326664178b0c9f02d492b1 + productChanges / plansSha256 见 E01</x:v>
      </x:c>
      <x:c r="M896" s="10" t="str">
        <x:v>E01 / juicefs-upstream-run-lyewiQ</x:v>
      </x:c>
      <x:c r="N896" s="10" t="str">
        <x:v>--fuse-external --resilient --case-insensitive-cmp</x:v>
      </x:c>
    </x:row>
    <x:row r="897" ht="74" customHeight="1">
      <x:c r="A897" s="11" t="str">
        <x:v>SUBSET-20261015-onedrive-sync</x:v>
      </x:c>
      <x:c r="B897" s="11" t="str">
        <x:v>WFP-13</x:v>
      </x:c>
      <x:c r="C897" s="11" t="str">
        <x:v>delete_mmap_test</x:v>
      </x:c>
      <x:c r="D897" s="11" t="str">
        <x:v>WinFsp fork 默认子集</x:v>
      </x:c>
      <x:c r="E897" s="11" t="str">
        <x:v>onedrive</x:v>
      </x:c>
      <x:c r="F897" s="11" t="str">
        <x:v>同步</x:v>
      </x:c>
      <x:c r="G897" s="20" t="d">
        <x:v>2026-10-15T00:00:00.000Z</x:v>
      </x:c>
      <x:c r="H897" s="11" t="str">
        <x:v>已通过</x:v>
      </x:c>
      <x:c r="I897" s="22" t="n">
        <x:v>0.315</x:v>
      </x:c>
      <x:c r="J897" s="11" t="str">
        <x:v>JuiceFS 1.3.0+30190ca / WinFsp 2.1.25156；测试工具 S01–S04</x:v>
      </x:c>
      <x:c r="K897" s="11" t="str">
        <x:v>JuiceFS Windows CI 子集；attr-cache=0；云端 get-timeout=5m</x:v>
      </x:c>
      <x:c r="L897" s="11" t="str">
        <x:v>e920ead94a8e28f04e326664178b0c9f02d492b1 + productChanges / plansSha256 见 E01</x:v>
      </x:c>
      <x:c r="M897" s="11" t="str">
        <x:v>E01 / juicefs-upstream-run-lyewiQ</x:v>
      </x:c>
      <x:c r="N897" s="11" t="str">
        <x:v>--fuse-external --resilient --case-insensitive-cmp</x:v>
      </x:c>
    </x:row>
    <x:row r="898" ht="74" customHeight="1">
      <x:c r="A898" s="10" t="str">
        <x:v>SUBSET-20261015-onedrive-sync</x:v>
      </x:c>
      <x:c r="B898" s="10" t="str">
        <x:v>WFP-14</x:v>
      </x:c>
      <x:c r="C898" s="10" t="str">
        <x:v>delete_standby_test</x:v>
      </x:c>
      <x:c r="D898" s="10" t="str">
        <x:v>WinFsp fork 默认子集</x:v>
      </x:c>
      <x:c r="E898" s="10" t="str">
        <x:v>onedrive</x:v>
      </x:c>
      <x:c r="F898" s="10" t="str">
        <x:v>同步</x:v>
      </x:c>
      <x:c r="G898" s="19" t="d">
        <x:v>2026-10-15T00:00:00.000Z</x:v>
      </x:c>
      <x:c r="H898" s="10" t="str">
        <x:v>已通过</x:v>
      </x:c>
      <x:c r="I898" s="21" t="n">
        <x:v>0.491</x:v>
      </x:c>
      <x:c r="J898" s="10" t="str">
        <x:v>JuiceFS 1.3.0+30190ca / WinFsp 2.1.25156；测试工具 S01–S04</x:v>
      </x:c>
      <x:c r="K898" s="10" t="str">
        <x:v>JuiceFS Windows CI 子集；attr-cache=0；云端 get-timeout=5m</x:v>
      </x:c>
      <x:c r="L898" s="10" t="str">
        <x:v>e920ead94a8e28f04e326664178b0c9f02d492b1 + productChanges / plansSha256 见 E01</x:v>
      </x:c>
      <x:c r="M898" s="10" t="str">
        <x:v>E01 / juicefs-upstream-run-lyewiQ</x:v>
      </x:c>
      <x:c r="N898" s="10" t="str">
        <x:v>--fuse-external --resilient --case-insensitive-cmp</x:v>
      </x:c>
    </x:row>
    <x:row r="899" ht="74" customHeight="1">
      <x:c r="A899" s="11" t="str">
        <x:v>SUBSET-20261015-onedrive-sync</x:v>
      </x:c>
      <x:c r="B899" s="11" t="str">
        <x:v>WFP-15</x:v>
      </x:c>
      <x:c r="C899" s="11" t="str">
        <x:v>delete_ex_test</x:v>
      </x:c>
      <x:c r="D899" s="11" t="str">
        <x:v>WinFsp fork 默认子集</x:v>
      </x:c>
      <x:c r="E899" s="11" t="str">
        <x:v>onedrive</x:v>
      </x:c>
      <x:c r="F899" s="11" t="str">
        <x:v>同步</x:v>
      </x:c>
      <x:c r="G899" s="20" t="d">
        <x:v>2026-10-15T00:00:00.000Z</x:v>
      </x:c>
      <x:c r="H899" s="11" t="str">
        <x:v>已通过</x:v>
      </x:c>
      <x:c r="I899" s="22" t="n">
        <x:v>0.309</x:v>
      </x:c>
      <x:c r="J899" s="11" t="str">
        <x:v>JuiceFS 1.3.0+30190ca / WinFsp 2.1.25156；测试工具 S01–S04</x:v>
      </x:c>
      <x:c r="K899" s="11" t="str">
        <x:v>JuiceFS Windows CI 子集；attr-cache=0；云端 get-timeout=5m</x:v>
      </x:c>
      <x:c r="L899" s="11" t="str">
        <x:v>e920ead94a8e28f04e326664178b0c9f02d492b1 + productChanges / plansSha256 见 E01</x:v>
      </x:c>
      <x:c r="M899" s="11" t="str">
        <x:v>E01 / juicefs-upstream-run-lyewiQ</x:v>
      </x:c>
      <x:c r="N899" s="11" t="str">
        <x:v>--fuse-external --resilient --case-insensitive-cmp</x:v>
      </x:c>
    </x:row>
    <x:row r="900" ht="74" customHeight="1">
      <x:c r="A900" s="10" t="str">
        <x:v>SUBSET-20261015-onedrive-sync</x:v>
      </x:c>
      <x:c r="B900" s="10" t="str">
        <x:v>WFP-16</x:v>
      </x:c>
      <x:c r="C900" s="10" t="str">
        <x:v>rename_test</x:v>
      </x:c>
      <x:c r="D900" s="10" t="str">
        <x:v>WinFsp fork 默认子集</x:v>
      </x:c>
      <x:c r="E900" s="10" t="str">
        <x:v>onedrive</x:v>
      </x:c>
      <x:c r="F900" s="10" t="str">
        <x:v>同步</x:v>
      </x:c>
      <x:c r="G900" s="19" t="d">
        <x:v>2026-10-15T00:00:00.000Z</x:v>
      </x:c>
      <x:c r="H900" s="10" t="str">
        <x:v>已通过</x:v>
      </x:c>
      <x:c r="I900" s="21" t="n">
        <x:v>0.346</x:v>
      </x:c>
      <x:c r="J900" s="10" t="str">
        <x:v>JuiceFS 1.3.0+30190ca / WinFsp 2.1.25156；测试工具 S01–S04</x:v>
      </x:c>
      <x:c r="K900" s="10" t="str">
        <x:v>JuiceFS Windows CI 子集；attr-cache=0；云端 get-timeout=5m</x:v>
      </x:c>
      <x:c r="L900" s="10" t="str">
        <x:v>e920ead94a8e28f04e326664178b0c9f02d492b1 + productChanges / plansSha256 见 E01</x:v>
      </x:c>
      <x:c r="M900" s="10" t="str">
        <x:v>E01 / juicefs-upstream-run-lyewiQ</x:v>
      </x:c>
      <x:c r="N900" s="10" t="str">
        <x:v>--fuse-external --resilient --case-insensitive-cmp</x:v>
      </x:c>
    </x:row>
    <x:row r="901" ht="74" customHeight="1">
      <x:c r="A901" s="11" t="str">
        <x:v>SUBSET-20261015-onedrive-sync</x:v>
      </x:c>
      <x:c r="B901" s="11" t="str">
        <x:v>WFP-17</x:v>
      </x:c>
      <x:c r="C901" s="11" t="str">
        <x:v>rename_backslash_test</x:v>
      </x:c>
      <x:c r="D901" s="11" t="str">
        <x:v>WinFsp fork 默认子集</x:v>
      </x:c>
      <x:c r="E901" s="11" t="str">
        <x:v>onedrive</x:v>
      </x:c>
      <x:c r="F901" s="11" t="str">
        <x:v>同步</x:v>
      </x:c>
      <x:c r="G901" s="20" t="d">
        <x:v>2026-10-15T00:00:00.000Z</x:v>
      </x:c>
      <x:c r="H901" s="11" t="str">
        <x:v>已通过</x:v>
      </x:c>
      <x:c r="I901" s="22" t="n">
        <x:v>0.343</x:v>
      </x:c>
      <x:c r="J901" s="11" t="str">
        <x:v>JuiceFS 1.3.0+30190ca / WinFsp 2.1.25156；测试工具 S01–S04</x:v>
      </x:c>
      <x:c r="K901" s="11" t="str">
        <x:v>JuiceFS Windows CI 子集；attr-cache=0；云端 get-timeout=5m</x:v>
      </x:c>
      <x:c r="L901" s="11" t="str">
        <x:v>e920ead94a8e28f04e326664178b0c9f02d492b1 + productChanges / plansSha256 见 E01</x:v>
      </x:c>
      <x:c r="M901" s="11" t="str">
        <x:v>E01 / juicefs-upstream-run-lyewiQ</x:v>
      </x:c>
      <x:c r="N901" s="11" t="str">
        <x:v>--fuse-external --resilient --case-insensitive-cmp</x:v>
      </x:c>
    </x:row>
    <x:row r="902" ht="74" customHeight="1">
      <x:c r="A902" s="10" t="str">
        <x:v>SUBSET-20261015-onedrive-sync</x:v>
      </x:c>
      <x:c r="B902" s="10" t="str">
        <x:v>WFP-18</x:v>
      </x:c>
      <x:c r="C902" s="10" t="str">
        <x:v>rename_open_test</x:v>
      </x:c>
      <x:c r="D902" s="10" t="str">
        <x:v>WinFsp fork 默认子集</x:v>
      </x:c>
      <x:c r="E902" s="10" t="str">
        <x:v>onedrive</x:v>
      </x:c>
      <x:c r="F902" s="10" t="str">
        <x:v>同步</x:v>
      </x:c>
      <x:c r="G902" s="19" t="d">
        <x:v>2026-10-15T00:00:00.000Z</x:v>
      </x:c>
      <x:c r="H902" s="10" t="str">
        <x:v>已通过</x:v>
      </x:c>
      <x:c r="I902" s="21" t="n">
        <x:v>0.381</x:v>
      </x:c>
      <x:c r="J902" s="10" t="str">
        <x:v>JuiceFS 1.3.0+30190ca / WinFsp 2.1.25156；测试工具 S01–S04</x:v>
      </x:c>
      <x:c r="K902" s="10" t="str">
        <x:v>JuiceFS Windows CI 子集；attr-cache=0；云端 get-timeout=5m</x:v>
      </x:c>
      <x:c r="L902" s="10" t="str">
        <x:v>e920ead94a8e28f04e326664178b0c9f02d492b1 + productChanges / plansSha256 见 E01</x:v>
      </x:c>
      <x:c r="M902" s="10" t="str">
        <x:v>E01 / juicefs-upstream-run-lyewiQ</x:v>
      </x:c>
      <x:c r="N902" s="10" t="str">
        <x:v>--fuse-external --resilient --case-insensitive-cmp</x:v>
      </x:c>
    </x:row>
    <x:row r="903" ht="74" customHeight="1">
      <x:c r="A903" s="11" t="str">
        <x:v>SUBSET-20261015-onedrive-sync</x:v>
      </x:c>
      <x:c r="B903" s="11" t="str">
        <x:v>WFP-19</x:v>
      </x:c>
      <x:c r="C903" s="11" t="str">
        <x:v>rename_caseins_test</x:v>
      </x:c>
      <x:c r="D903" s="11" t="str">
        <x:v>WinFsp fork 默认子集</x:v>
      </x:c>
      <x:c r="E903" s="11" t="str">
        <x:v>onedrive</x:v>
      </x:c>
      <x:c r="F903" s="11" t="str">
        <x:v>同步</x:v>
      </x:c>
      <x:c r="G903" s="20" t="d">
        <x:v>2026-10-15T00:00:00.000Z</x:v>
      </x:c>
      <x:c r="H903" s="11" t="str">
        <x:v>已通过</x:v>
      </x:c>
      <x:c r="I903" s="22" t="n">
        <x:v>0.45</x:v>
      </x:c>
      <x:c r="J903" s="11" t="str">
        <x:v>JuiceFS 1.3.0+30190ca / WinFsp 2.1.25156；测试工具 S01–S04</x:v>
      </x:c>
      <x:c r="K903" s="11" t="str">
        <x:v>JuiceFS Windows CI 子集；attr-cache=0；云端 get-timeout=5m</x:v>
      </x:c>
      <x:c r="L903" s="11" t="str">
        <x:v>e920ead94a8e28f04e326664178b0c9f02d492b1 + productChanges / plansSha256 见 E01</x:v>
      </x:c>
      <x:c r="M903" s="11" t="str">
        <x:v>E01 / juicefs-upstream-run-lyewiQ</x:v>
      </x:c>
      <x:c r="N903" s="11" t="str">
        <x:v>--fuse-external --resilient --case-insensitive-cmp</x:v>
      </x:c>
    </x:row>
    <x:row r="904" ht="74" customHeight="1">
      <x:c r="A904" s="10" t="str">
        <x:v>SUBSET-20261015-onedrive-sync</x:v>
      </x:c>
      <x:c r="B904" s="10" t="str">
        <x:v>WFP-20</x:v>
      </x:c>
      <x:c r="C904" s="10" t="str">
        <x:v>rename_flipflop_test</x:v>
      </x:c>
      <x:c r="D904" s="10" t="str">
        <x:v>WinFsp fork 默认子集</x:v>
      </x:c>
      <x:c r="E904" s="10" t="str">
        <x:v>onedrive</x:v>
      </x:c>
      <x:c r="F904" s="10" t="str">
        <x:v>同步</x:v>
      </x:c>
      <x:c r="G904" s="19" t="d">
        <x:v>2026-10-15T00:00:00.000Z</x:v>
      </x:c>
      <x:c r="H904" s="10" t="str">
        <x:v>已通过</x:v>
      </x:c>
      <x:c r="I904" s="21" t="n">
        <x:v>0.364</x:v>
      </x:c>
      <x:c r="J904" s="10" t="str">
        <x:v>JuiceFS 1.3.0+30190ca / WinFsp 2.1.25156；测试工具 S01–S04</x:v>
      </x:c>
      <x:c r="K904" s="10" t="str">
        <x:v>JuiceFS Windows CI 子集；attr-cache=0；云端 get-timeout=5m</x:v>
      </x:c>
      <x:c r="L904" s="10" t="str">
        <x:v>e920ead94a8e28f04e326664178b0c9f02d492b1 + productChanges / plansSha256 见 E01</x:v>
      </x:c>
      <x:c r="M904" s="10" t="str">
        <x:v>E01 / juicefs-upstream-run-lyewiQ</x:v>
      </x:c>
      <x:c r="N904" s="10" t="str">
        <x:v>--fuse-external --resilient --case-insensitive-cmp</x:v>
      </x:c>
    </x:row>
    <x:row r="905" ht="74" customHeight="1">
      <x:c r="A905" s="11" t="str">
        <x:v>SUBSET-20261015-onedrive-sync</x:v>
      </x:c>
      <x:c r="B905" s="11" t="str">
        <x:v>WFP-21</x:v>
      </x:c>
      <x:c r="C905" s="11" t="str">
        <x:v>rename_mmap_test</x:v>
      </x:c>
      <x:c r="D905" s="11" t="str">
        <x:v>WinFsp fork 默认子集</x:v>
      </x:c>
      <x:c r="E905" s="11" t="str">
        <x:v>onedrive</x:v>
      </x:c>
      <x:c r="F905" s="11" t="str">
        <x:v>同步</x:v>
      </x:c>
      <x:c r="G905" s="20" t="d">
        <x:v>2026-10-15T00:00:00.000Z</x:v>
      </x:c>
      <x:c r="H905" s="11" t="str">
        <x:v>已通过</x:v>
      </x:c>
      <x:c r="I905" s="22" t="n">
        <x:v>0.343</x:v>
      </x:c>
      <x:c r="J905" s="11" t="str">
        <x:v>JuiceFS 1.3.0+30190ca / WinFsp 2.1.25156；测试工具 S01–S04</x:v>
      </x:c>
      <x:c r="K905" s="11" t="str">
        <x:v>JuiceFS Windows CI 子集；attr-cache=0；云端 get-timeout=5m</x:v>
      </x:c>
      <x:c r="L905" s="11" t="str">
        <x:v>e920ead94a8e28f04e326664178b0c9f02d492b1 + productChanges / plansSha256 见 E01</x:v>
      </x:c>
      <x:c r="M905" s="11" t="str">
        <x:v>E01 / juicefs-upstream-run-lyewiQ</x:v>
      </x:c>
      <x:c r="N905" s="11" t="str">
        <x:v>--fuse-external --resilient --case-insensitive-cmp</x:v>
      </x:c>
    </x:row>
    <x:row r="906" ht="74" customHeight="1">
      <x:c r="A906" s="10" t="str">
        <x:v>SUBSET-20261015-onedrive-sync</x:v>
      </x:c>
      <x:c r="B906" s="10" t="str">
        <x:v>WFP-22</x:v>
      </x:c>
      <x:c r="C906" s="10" t="str">
        <x:v>rename_standby_test</x:v>
      </x:c>
      <x:c r="D906" s="10" t="str">
        <x:v>WinFsp fork 默认子集</x:v>
      </x:c>
      <x:c r="E906" s="10" t="str">
        <x:v>onedrive</x:v>
      </x:c>
      <x:c r="F906" s="10" t="str">
        <x:v>同步</x:v>
      </x:c>
      <x:c r="G906" s="19" t="d">
        <x:v>2026-10-15T00:00:00.000Z</x:v>
      </x:c>
      <x:c r="H906" s="10" t="str">
        <x:v>已通过</x:v>
      </x:c>
      <x:c r="I906" s="21" t="n">
        <x:v>19.803</x:v>
      </x:c>
      <x:c r="J906" s="10" t="str">
        <x:v>JuiceFS 1.3.0+30190ca / WinFsp 2.1.25156；测试工具 S01–S04</x:v>
      </x:c>
      <x:c r="K906" s="10" t="str">
        <x:v>JuiceFS Windows CI 子集；attr-cache=0；云端 get-timeout=5m</x:v>
      </x:c>
      <x:c r="L906" s="10" t="str">
        <x:v>e920ead94a8e28f04e326664178b0c9f02d492b1 + productChanges / plansSha256 见 E01</x:v>
      </x:c>
      <x:c r="M906" s="10" t="str">
        <x:v>E01 / juicefs-upstream-run-lyewiQ</x:v>
      </x:c>
      <x:c r="N906" s="10" t="str">
        <x:v>--fuse-external --resilient --case-insensitive-cmp</x:v>
      </x:c>
    </x:row>
    <x:row r="907" ht="74" customHeight="1">
      <x:c r="A907" s="11" t="str">
        <x:v>SUBSET-20261015-onedrive-sync</x:v>
      </x:c>
      <x:c r="B907" s="11" t="str">
        <x:v>WFP-23</x:v>
      </x:c>
      <x:c r="C907" s="11" t="str">
        <x:v>rename_ex_test</x:v>
      </x:c>
      <x:c r="D907" s="11" t="str">
        <x:v>WinFsp fork 默认子集</x:v>
      </x:c>
      <x:c r="E907" s="11" t="str">
        <x:v>onedrive</x:v>
      </x:c>
      <x:c r="F907" s="11" t="str">
        <x:v>同步</x:v>
      </x:c>
      <x:c r="G907" s="20" t="d">
        <x:v>2026-10-15T00:00:00.000Z</x:v>
      </x:c>
      <x:c r="H907" s="11" t="str">
        <x:v>已通过</x:v>
      </x:c>
      <x:c r="I907" s="22" t="n">
        <x:v>0.303</x:v>
      </x:c>
      <x:c r="J907" s="11" t="str">
        <x:v>JuiceFS 1.3.0+30190ca / WinFsp 2.1.25156；测试工具 S01–S04</x:v>
      </x:c>
      <x:c r="K907" s="11" t="str">
        <x:v>JuiceFS Windows CI 子集；attr-cache=0；云端 get-timeout=5m</x:v>
      </x:c>
      <x:c r="L907" s="11" t="str">
        <x:v>e920ead94a8e28f04e326664178b0c9f02d492b1 + productChanges / plansSha256 见 E01</x:v>
      </x:c>
      <x:c r="M907" s="11" t="str">
        <x:v>E01 / juicefs-upstream-run-lyewiQ</x:v>
      </x:c>
      <x:c r="N907" s="11" t="str">
        <x:v>--fuse-external --resilient --case-insensitive-cmp</x:v>
      </x:c>
    </x:row>
    <x:row r="908" ht="74" customHeight="1">
      <x:c r="A908" s="10" t="str">
        <x:v>SUBSET-20261015-onedrive-sync</x:v>
      </x:c>
      <x:c r="B908" s="10" t="str">
        <x:v>WFP-24</x:v>
      </x:c>
      <x:c r="C908" s="10" t="str">
        <x:v>getvolinfo_test</x:v>
      </x:c>
      <x:c r="D908" s="10" t="str">
        <x:v>WinFsp fork 默认子集</x:v>
      </x:c>
      <x:c r="E908" s="10" t="str">
        <x:v>onedrive</x:v>
      </x:c>
      <x:c r="F908" s="10" t="str">
        <x:v>同步</x:v>
      </x:c>
      <x:c r="G908" s="19" t="d">
        <x:v>2026-10-15T00:00:00.000Z</x:v>
      </x:c>
      <x:c r="H908" s="10" t="str">
        <x:v>已通过</x:v>
      </x:c>
      <x:c r="I908" s="21" t="n">
        <x:v>0.303</x:v>
      </x:c>
      <x:c r="J908" s="10" t="str">
        <x:v>JuiceFS 1.3.0+30190ca / WinFsp 2.1.25156；测试工具 S01–S04</x:v>
      </x:c>
      <x:c r="K908" s="10" t="str">
        <x:v>JuiceFS Windows CI 子集；attr-cache=0；云端 get-timeout=5m</x:v>
      </x:c>
      <x:c r="L908" s="10" t="str">
        <x:v>e920ead94a8e28f04e326664178b0c9f02d492b1 + productChanges / plansSha256 见 E01</x:v>
      </x:c>
      <x:c r="M908" s="10" t="str">
        <x:v>E01 / juicefs-upstream-run-lyewiQ</x:v>
      </x:c>
      <x:c r="N908" s="10" t="str">
        <x:v>--fuse-external --resilient --case-insensitive-cmp</x:v>
      </x:c>
    </x:row>
    <x:row r="909" ht="74" customHeight="1">
      <x:c r="A909" s="11" t="str">
        <x:v>SUBSET-20261015-onedrive-sync</x:v>
      </x:c>
      <x:c r="B909" s="11" t="str">
        <x:v>WFP-25</x:v>
      </x:c>
      <x:c r="C909" s="11" t="str">
        <x:v>setvolinfo_test</x:v>
      </x:c>
      <x:c r="D909" s="11" t="str">
        <x:v>WinFsp fork 默认子集</x:v>
      </x:c>
      <x:c r="E909" s="11" t="str">
        <x:v>onedrive</x:v>
      </x:c>
      <x:c r="F909" s="11" t="str">
        <x:v>同步</x:v>
      </x:c>
      <x:c r="G909" s="20" t="d">
        <x:v>2026-10-15T00:00:00.000Z</x:v>
      </x:c>
      <x:c r="H909" s="11" t="str">
        <x:v>已通过</x:v>
      </x:c>
      <x:c r="I909" s="22" t="n">
        <x:v>0.362</x:v>
      </x:c>
      <x:c r="J909" s="11" t="str">
        <x:v>JuiceFS 1.3.0+30190ca / WinFsp 2.1.25156；测试工具 S01–S04</x:v>
      </x:c>
      <x:c r="K909" s="11" t="str">
        <x:v>JuiceFS Windows CI 子集；attr-cache=0；云端 get-timeout=5m</x:v>
      </x:c>
      <x:c r="L909" s="11" t="str">
        <x:v>e920ead94a8e28f04e326664178b0c9f02d492b1 + productChanges / plansSha256 见 E01</x:v>
      </x:c>
      <x:c r="M909" s="11" t="str">
        <x:v>E01 / juicefs-upstream-run-lyewiQ</x:v>
      </x:c>
      <x:c r="N909" s="11" t="str">
        <x:v>--fuse-external --resilient --case-insensitive-cmp</x:v>
      </x:c>
    </x:row>
    <x:row r="910" ht="74" customHeight="1">
      <x:c r="A910" s="10" t="str">
        <x:v>SUBSET-20261015-onedrive-sync</x:v>
      </x:c>
      <x:c r="B910" s="10" t="str">
        <x:v>WFP-26</x:v>
      </x:c>
      <x:c r="C910" s="10" t="str">
        <x:v>getsecurity_test</x:v>
      </x:c>
      <x:c r="D910" s="10" t="str">
        <x:v>WinFsp fork 默认子集</x:v>
      </x:c>
      <x:c r="E910" s="10" t="str">
        <x:v>onedrive</x:v>
      </x:c>
      <x:c r="F910" s="10" t="str">
        <x:v>同步</x:v>
      </x:c>
      <x:c r="G910" s="19" t="d">
        <x:v>2026-10-15T00:00:00.000Z</x:v>
      </x:c>
      <x:c r="H910" s="10" t="str">
        <x:v>已通过</x:v>
      </x:c>
      <x:c r="I910" s="21" t="n">
        <x:v>0.304</x:v>
      </x:c>
      <x:c r="J910" s="10" t="str">
        <x:v>JuiceFS 1.3.0+30190ca / WinFsp 2.1.25156；测试工具 S01–S04</x:v>
      </x:c>
      <x:c r="K910" s="10" t="str">
        <x:v>JuiceFS Windows CI 子集；attr-cache=0；云端 get-timeout=5m</x:v>
      </x:c>
      <x:c r="L910" s="10" t="str">
        <x:v>e920ead94a8e28f04e326664178b0c9f02d492b1 + productChanges / plansSha256 见 E01</x:v>
      </x:c>
      <x:c r="M910" s="10" t="str">
        <x:v>E01 / juicefs-upstream-run-lyewiQ</x:v>
      </x:c>
      <x:c r="N910" s="10" t="str">
        <x:v>--fuse-external --resilient --case-insensitive-cmp</x:v>
      </x:c>
    </x:row>
    <x:row r="911" ht="74" customHeight="1">
      <x:c r="A911" s="11" t="str">
        <x:v>SUBSET-20261015-onedrive-sync</x:v>
      </x:c>
      <x:c r="B911" s="11" t="str">
        <x:v>WFP-27</x:v>
      </x:c>
      <x:c r="C911" s="11" t="str">
        <x:v>rdwr_noncached_test</x:v>
      </x:c>
      <x:c r="D911" s="11" t="str">
        <x:v>WinFsp fork 默认子集</x:v>
      </x:c>
      <x:c r="E911" s="11" t="str">
        <x:v>onedrive</x:v>
      </x:c>
      <x:c r="F911" s="11" t="str">
        <x:v>同步</x:v>
      </x:c>
      <x:c r="G911" s="20" t="d">
        <x:v>2026-10-15T00:00:00.000Z</x:v>
      </x:c>
      <x:c r="H911" s="11" t="str">
        <x:v>已通过</x:v>
      </x:c>
      <x:c r="I911" s="22" t="n">
        <x:v>17.281</x:v>
      </x:c>
      <x:c r="J911" s="11" t="str">
        <x:v>JuiceFS 1.3.0+30190ca / WinFsp 2.1.25156；测试工具 S01–S04</x:v>
      </x:c>
      <x:c r="K911" s="11" t="str">
        <x:v>JuiceFS Windows CI 子集；attr-cache=0；云端 get-timeout=5m</x:v>
      </x:c>
      <x:c r="L911" s="11" t="str">
        <x:v>e920ead94a8e28f04e326664178b0c9f02d492b1 + productChanges / plansSha256 见 E01</x:v>
      </x:c>
      <x:c r="M911" s="11" t="str">
        <x:v>E01 / juicefs-upstream-run-lyewiQ</x:v>
      </x:c>
      <x:c r="N911" s="11" t="str">
        <x:v>--fuse-external --resilient --case-insensitive-cmp</x:v>
      </x:c>
    </x:row>
    <x:row r="912" ht="74" customHeight="1">
      <x:c r="A912" s="10" t="str">
        <x:v>SUBSET-20261015-onedrive-sync</x:v>
      </x:c>
      <x:c r="B912" s="10" t="str">
        <x:v>WFP-28</x:v>
      </x:c>
      <x:c r="C912" s="10" t="str">
        <x:v>rdwr_noncached_overlapped_test</x:v>
      </x:c>
      <x:c r="D912" s="10" t="str">
        <x:v>WinFsp fork 默认子集</x:v>
      </x:c>
      <x:c r="E912" s="10" t="str">
        <x:v>onedrive</x:v>
      </x:c>
      <x:c r="F912" s="10" t="str">
        <x:v>同步</x:v>
      </x:c>
      <x:c r="G912" s="19" t="d">
        <x:v>2026-10-15T00:00:00.000Z</x:v>
      </x:c>
      <x:c r="H912" s="10" t="str">
        <x:v>已通过</x:v>
      </x:c>
      <x:c r="I912" s="21" t="n">
        <x:v>29.192</x:v>
      </x:c>
      <x:c r="J912" s="10" t="str">
        <x:v>JuiceFS 1.3.0+30190ca / WinFsp 2.1.25156；测试工具 S01–S04</x:v>
      </x:c>
      <x:c r="K912" s="10" t="str">
        <x:v>JuiceFS Windows CI 子集；attr-cache=0；云端 get-timeout=5m</x:v>
      </x:c>
      <x:c r="L912" s="10" t="str">
        <x:v>e920ead94a8e28f04e326664178b0c9f02d492b1 + productChanges / plansSha256 见 E01</x:v>
      </x:c>
      <x:c r="M912" s="10" t="str">
        <x:v>E01 / juicefs-upstream-run-lyewiQ</x:v>
      </x:c>
      <x:c r="N912" s="10" t="str">
        <x:v>--fuse-external --resilient --case-insensitive-cmp</x:v>
      </x:c>
    </x:row>
    <x:row r="913" ht="74" customHeight="1">
      <x:c r="A913" s="11" t="str">
        <x:v>SUBSET-20261015-onedrive-sync</x:v>
      </x:c>
      <x:c r="B913" s="11" t="str">
        <x:v>WFP-29</x:v>
      </x:c>
      <x:c r="C913" s="11" t="str">
        <x:v>rdwr_cached_test</x:v>
      </x:c>
      <x:c r="D913" s="11" t="str">
        <x:v>WinFsp fork 默认子集</x:v>
      </x:c>
      <x:c r="E913" s="11" t="str">
        <x:v>onedrive</x:v>
      </x:c>
      <x:c r="F913" s="11" t="str">
        <x:v>同步</x:v>
      </x:c>
      <x:c r="G913" s="20" t="d">
        <x:v>2026-10-15T00:00:00.000Z</x:v>
      </x:c>
      <x:c r="H913" s="11" t="str">
        <x:v>已通过</x:v>
      </x:c>
      <x:c r="I913" s="22" t="n">
        <x:v>16.682</x:v>
      </x:c>
      <x:c r="J913" s="11" t="str">
        <x:v>JuiceFS 1.3.0+30190ca / WinFsp 2.1.25156；测试工具 S01–S04</x:v>
      </x:c>
      <x:c r="K913" s="11" t="str">
        <x:v>JuiceFS Windows CI 子集；attr-cache=0；云端 get-timeout=5m</x:v>
      </x:c>
      <x:c r="L913" s="11" t="str">
        <x:v>e920ead94a8e28f04e326664178b0c9f02d492b1 + productChanges / plansSha256 见 E01</x:v>
      </x:c>
      <x:c r="M913" s="11" t="str">
        <x:v>E01 / juicefs-upstream-run-lyewiQ</x:v>
      </x:c>
      <x:c r="N913" s="11" t="str">
        <x:v>--fuse-external --resilient --case-insensitive-cmp</x:v>
      </x:c>
    </x:row>
    <x:row r="914" ht="74" customHeight="1">
      <x:c r="A914" s="10" t="str">
        <x:v>SUBSET-20261015-onedrive-sync</x:v>
      </x:c>
      <x:c r="B914" s="10" t="str">
        <x:v>WFP-30</x:v>
      </x:c>
      <x:c r="C914" s="10" t="str">
        <x:v>rdwr_cached_append_test</x:v>
      </x:c>
      <x:c r="D914" s="10" t="str">
        <x:v>WinFsp fork 默认子集</x:v>
      </x:c>
      <x:c r="E914" s="10" t="str">
        <x:v>onedrive</x:v>
      </x:c>
      <x:c r="F914" s="10" t="str">
        <x:v>同步</x:v>
      </x:c>
      <x:c r="G914" s="19" t="d">
        <x:v>2026-10-15T00:00:00.000Z</x:v>
      </x:c>
      <x:c r="H914" s="10" t="str">
        <x:v>已通过</x:v>
      </x:c>
      <x:c r="I914" s="21" t="n">
        <x:v>6.582</x:v>
      </x:c>
      <x:c r="J914" s="10" t="str">
        <x:v>JuiceFS 1.3.0+30190ca / WinFsp 2.1.25156；测试工具 S01–S04</x:v>
      </x:c>
      <x:c r="K914" s="10" t="str">
        <x:v>JuiceFS Windows CI 子集；attr-cache=0；云端 get-timeout=5m</x:v>
      </x:c>
      <x:c r="L914" s="10" t="str">
        <x:v>e920ead94a8e28f04e326664178b0c9f02d492b1 + productChanges / plansSha256 见 E01</x:v>
      </x:c>
      <x:c r="M914" s="10" t="str">
        <x:v>E01 / juicefs-upstream-run-lyewiQ</x:v>
      </x:c>
      <x:c r="N914" s="10" t="str">
        <x:v>--fuse-external --resilient --case-insensitive-cmp</x:v>
      </x:c>
    </x:row>
    <x:row r="915" ht="74" customHeight="1">
      <x:c r="A915" s="11" t="str">
        <x:v>SUBSET-20261015-onedrive-sync</x:v>
      </x:c>
      <x:c r="B915" s="11" t="str">
        <x:v>WFP-31</x:v>
      </x:c>
      <x:c r="C915" s="11" t="str">
        <x:v>rdwr_cached_overlapped_test</x:v>
      </x:c>
      <x:c r="D915" s="11" t="str">
        <x:v>WinFsp fork 默认子集</x:v>
      </x:c>
      <x:c r="E915" s="11" t="str">
        <x:v>onedrive</x:v>
      </x:c>
      <x:c r="F915" s="11" t="str">
        <x:v>同步</x:v>
      </x:c>
      <x:c r="G915" s="20" t="d">
        <x:v>2026-10-15T00:00:00.000Z</x:v>
      </x:c>
      <x:c r="H915" s="11" t="str">
        <x:v>已通过</x:v>
      </x:c>
      <x:c r="I915" s="22" t="n">
        <x:v>15.127</x:v>
      </x:c>
      <x:c r="J915" s="11" t="str">
        <x:v>JuiceFS 1.3.0+30190ca / WinFsp 2.1.25156；测试工具 S01–S04</x:v>
      </x:c>
      <x:c r="K915" s="11" t="str">
        <x:v>JuiceFS Windows CI 子集；attr-cache=0；云端 get-timeout=5m</x:v>
      </x:c>
      <x:c r="L915" s="11" t="str">
        <x:v>e920ead94a8e28f04e326664178b0c9f02d492b1 + productChanges / plansSha256 见 E01</x:v>
      </x:c>
      <x:c r="M915" s="11" t="str">
        <x:v>E01 / juicefs-upstream-run-lyewiQ</x:v>
      </x:c>
      <x:c r="N915" s="11" t="str">
        <x:v>--fuse-external --resilient --case-insensitive-cmp</x:v>
      </x:c>
    </x:row>
    <x:row r="916" ht="74" customHeight="1">
      <x:c r="A916" s="10" t="str">
        <x:v>SUBSET-20261015-onedrive-sync</x:v>
      </x:c>
      <x:c r="B916" s="10" t="str">
        <x:v>WFP-32</x:v>
      </x:c>
      <x:c r="C916" s="10" t="str">
        <x:v>rdwr_writethru_test</x:v>
      </x:c>
      <x:c r="D916" s="10" t="str">
        <x:v>WinFsp fork 默认子集</x:v>
      </x:c>
      <x:c r="E916" s="10" t="str">
        <x:v>onedrive</x:v>
      </x:c>
      <x:c r="F916" s="10" t="str">
        <x:v>同步</x:v>
      </x:c>
      <x:c r="G916" s="19" t="d">
        <x:v>2026-10-15T00:00:00.000Z</x:v>
      </x:c>
      <x:c r="H916" s="10" t="str">
        <x:v>已通过</x:v>
      </x:c>
      <x:c r="I916" s="21" t="n">
        <x:v>29.494</x:v>
      </x:c>
      <x:c r="J916" s="10" t="str">
        <x:v>JuiceFS 1.3.0+30190ca / WinFsp 2.1.25156；测试工具 S01–S04</x:v>
      </x:c>
      <x:c r="K916" s="10" t="str">
        <x:v>JuiceFS Windows CI 子集；attr-cache=0；云端 get-timeout=5m</x:v>
      </x:c>
      <x:c r="L916" s="10" t="str">
        <x:v>e920ead94a8e28f04e326664178b0c9f02d492b1 + productChanges / plansSha256 见 E01</x:v>
      </x:c>
      <x:c r="M916" s="10" t="str">
        <x:v>E01 / juicefs-upstream-run-lyewiQ</x:v>
      </x:c>
      <x:c r="N916" s="10" t="str">
        <x:v>--fuse-external --resilient --case-insensitive-cmp</x:v>
      </x:c>
    </x:row>
    <x:row r="917" ht="74" customHeight="1">
      <x:c r="A917" s="11" t="str">
        <x:v>SUBSET-20261015-onedrive-sync</x:v>
      </x:c>
      <x:c r="B917" s="11" t="str">
        <x:v>WFP-33</x:v>
      </x:c>
      <x:c r="C917" s="11" t="str">
        <x:v>rdwr_writethru_append_test</x:v>
      </x:c>
      <x:c r="D917" s="11" t="str">
        <x:v>WinFsp fork 默认子集</x:v>
      </x:c>
      <x:c r="E917" s="11" t="str">
        <x:v>onedrive</x:v>
      </x:c>
      <x:c r="F917" s="11" t="str">
        <x:v>同步</x:v>
      </x:c>
      <x:c r="G917" s="20" t="d">
        <x:v>2026-10-15T00:00:00.000Z</x:v>
      </x:c>
      <x:c r="H917" s="11" t="str">
        <x:v>已通过</x:v>
      </x:c>
      <x:c r="I917" s="22" t="n">
        <x:v>5.374</x:v>
      </x:c>
      <x:c r="J917" s="11" t="str">
        <x:v>JuiceFS 1.3.0+30190ca / WinFsp 2.1.25156；测试工具 S01–S04</x:v>
      </x:c>
      <x:c r="K917" s="11" t="str">
        <x:v>JuiceFS Windows CI 子集；attr-cache=0；云端 get-timeout=5m</x:v>
      </x:c>
      <x:c r="L917" s="11" t="str">
        <x:v>e920ead94a8e28f04e326664178b0c9f02d492b1 + productChanges / plansSha256 见 E01</x:v>
      </x:c>
      <x:c r="M917" s="11" t="str">
        <x:v>E01 / juicefs-upstream-run-lyewiQ</x:v>
      </x:c>
      <x:c r="N917" s="11" t="str">
        <x:v>--fuse-external --resilient --case-insensitive-cmp</x:v>
      </x:c>
    </x:row>
    <x:row r="918" ht="74" customHeight="1">
      <x:c r="A918" s="10" t="str">
        <x:v>SUBSET-20261015-onedrive-sync</x:v>
      </x:c>
      <x:c r="B918" s="10" t="str">
        <x:v>WFP-34</x:v>
      </x:c>
      <x:c r="C918" s="10" t="str">
        <x:v>rdwr_writethru_overlapped_test</x:v>
      </x:c>
      <x:c r="D918" s="10" t="str">
        <x:v>WinFsp fork 默认子集</x:v>
      </x:c>
      <x:c r="E918" s="10" t="str">
        <x:v>onedrive</x:v>
      </x:c>
      <x:c r="F918" s="10" t="str">
        <x:v>同步</x:v>
      </x:c>
      <x:c r="G918" s="19" t="d">
        <x:v>2026-10-15T00:00:00.000Z</x:v>
      </x:c>
      <x:c r="H918" s="10" t="str">
        <x:v>已通过</x:v>
      </x:c>
      <x:c r="I918" s="21" t="n">
        <x:v>17.677</x:v>
      </x:c>
      <x:c r="J918" s="10" t="str">
        <x:v>JuiceFS 1.3.0+30190ca / WinFsp 2.1.25156；测试工具 S01–S04</x:v>
      </x:c>
      <x:c r="K918" s="10" t="str">
        <x:v>JuiceFS Windows CI 子集；attr-cache=0；云端 get-timeout=5m</x:v>
      </x:c>
      <x:c r="L918" s="10" t="str">
        <x:v>e920ead94a8e28f04e326664178b0c9f02d492b1 + productChanges / plansSha256 见 E01</x:v>
      </x:c>
      <x:c r="M918" s="10" t="str">
        <x:v>E01 / juicefs-upstream-run-lyewiQ</x:v>
      </x:c>
      <x:c r="N918" s="10" t="str">
        <x:v>--fuse-external --resilient --case-insensitive-cmp</x:v>
      </x:c>
    </x:row>
    <x:row r="919" ht="74" customHeight="1">
      <x:c r="A919" s="11" t="str">
        <x:v>SUBSET-20261015-onedrive-sync</x:v>
      </x:c>
      <x:c r="B919" s="11" t="str">
        <x:v>WFP-35</x:v>
      </x:c>
      <x:c r="C919" s="11" t="str">
        <x:v>rdwr_mmap_test</x:v>
      </x:c>
      <x:c r="D919" s="11" t="str">
        <x:v>WinFsp fork 默认子集</x:v>
      </x:c>
      <x:c r="E919" s="11" t="str">
        <x:v>onedrive</x:v>
      </x:c>
      <x:c r="F919" s="11" t="str">
        <x:v>同步</x:v>
      </x:c>
      <x:c r="G919" s="20" t="d">
        <x:v>2026-10-15T00:00:00.000Z</x:v>
      </x:c>
      <x:c r="H919" s="11" t="str">
        <x:v>已通过</x:v>
      </x:c>
      <x:c r="I919" s="22" t="n">
        <x:v>42.74</x:v>
      </x:c>
      <x:c r="J919" s="11" t="str">
        <x:v>JuiceFS 1.3.0+30190ca / WinFsp 2.1.25156；测试工具 S01–S04</x:v>
      </x:c>
      <x:c r="K919" s="11" t="str">
        <x:v>JuiceFS Windows CI 子集；attr-cache=0；云端 get-timeout=5m</x:v>
      </x:c>
      <x:c r="L919" s="11" t="str">
        <x:v>e920ead94a8e28f04e326664178b0c9f02d492b1 + productChanges / plansSha256 见 E01</x:v>
      </x:c>
      <x:c r="M919" s="11" t="str">
        <x:v>E01 / juicefs-upstream-run-lyewiQ</x:v>
      </x:c>
      <x:c r="N919" s="11" t="str">
        <x:v>--fuse-external --resilient --case-insensitive-cmp</x:v>
      </x:c>
    </x:row>
    <x:row r="920" ht="74" customHeight="1">
      <x:c r="A920" s="10" t="str">
        <x:v>SUBSET-20261015-onedrive-sync</x:v>
      </x:c>
      <x:c r="B920" s="10" t="str">
        <x:v>WFP-36</x:v>
      </x:c>
      <x:c r="C920" s="10" t="str">
        <x:v>rdwr_mixed_test</x:v>
      </x:c>
      <x:c r="D920" s="10" t="str">
        <x:v>WinFsp fork 默认子集</x:v>
      </x:c>
      <x:c r="E920" s="10" t="str">
        <x:v>onedrive</x:v>
      </x:c>
      <x:c r="F920" s="10" t="str">
        <x:v>同步</x:v>
      </x:c>
      <x:c r="G920" s="19" t="d">
        <x:v>2026-10-15T00:00:00.000Z</x:v>
      </x:c>
      <x:c r="H920" s="10" t="str">
        <x:v>已通过</x:v>
      </x:c>
      <x:c r="I920" s="21" t="n">
        <x:v>13.132</x:v>
      </x:c>
      <x:c r="J920" s="10" t="str">
        <x:v>JuiceFS 1.3.0+30190ca / WinFsp 2.1.25156；测试工具 S01–S04</x:v>
      </x:c>
      <x:c r="K920" s="10" t="str">
        <x:v>JuiceFS Windows CI 子集；attr-cache=0；云端 get-timeout=5m</x:v>
      </x:c>
      <x:c r="L920" s="10" t="str">
        <x:v>e920ead94a8e28f04e326664178b0c9f02d492b1 + productChanges / plansSha256 见 E01</x:v>
      </x:c>
      <x:c r="M920" s="10" t="str">
        <x:v>E01 / juicefs-upstream-run-lyewiQ</x:v>
      </x:c>
      <x:c r="N920" s="10" t="str">
        <x:v>--fuse-external --resilient --case-insensitive-cmp</x:v>
      </x:c>
    </x:row>
    <x:row r="921" ht="74" customHeight="1">
      <x:c r="A921" s="11" t="str">
        <x:v>SUBSET-20261015-onedrive-sync</x:v>
      </x:c>
      <x:c r="B921" s="11" t="str">
        <x:v>WFP-37</x:v>
      </x:c>
      <x:c r="C921" s="11" t="str">
        <x:v>flush_test</x:v>
      </x:c>
      <x:c r="D921" s="11" t="str">
        <x:v>WinFsp fork 默认子集</x:v>
      </x:c>
      <x:c r="E921" s="11" t="str">
        <x:v>onedrive</x:v>
      </x:c>
      <x:c r="F921" s="11" t="str">
        <x:v>同步</x:v>
      </x:c>
      <x:c r="G921" s="20" t="d">
        <x:v>2026-10-15T00:00:00.000Z</x:v>
      </x:c>
      <x:c r="H921" s="11" t="str">
        <x:v>已通过</x:v>
      </x:c>
      <x:c r="I921" s="22" t="n">
        <x:v>54.251</x:v>
      </x:c>
      <x:c r="J921" s="11" t="str">
        <x:v>JuiceFS 1.3.0+30190ca / WinFsp 2.1.25156；测试工具 S01–S04</x:v>
      </x:c>
      <x:c r="K921" s="11" t="str">
        <x:v>JuiceFS Windows CI 子集；attr-cache=0；云端 get-timeout=5m</x:v>
      </x:c>
      <x:c r="L921" s="11" t="str">
        <x:v>e920ead94a8e28f04e326664178b0c9f02d492b1 + productChanges / plansSha256 见 E01</x:v>
      </x:c>
      <x:c r="M921" s="11" t="str">
        <x:v>E01 / juicefs-upstream-run-lyewiQ</x:v>
      </x:c>
      <x:c r="N921" s="11" t="str">
        <x:v>--fuse-external --resilient --case-insensitive-cmp</x:v>
      </x:c>
    </x:row>
    <x:row r="922" ht="74" customHeight="1">
      <x:c r="A922" s="10" t="str">
        <x:v>SUBSET-20261015-onedrive-sync</x:v>
      </x:c>
      <x:c r="B922" s="10" t="str">
        <x:v>WFP-38</x:v>
      </x:c>
      <x:c r="C922" s="10" t="str">
        <x:v>flush_volume_test</x:v>
      </x:c>
      <x:c r="D922" s="10" t="str">
        <x:v>WinFsp fork 默认子集</x:v>
      </x:c>
      <x:c r="E922" s="10" t="str">
        <x:v>onedrive</x:v>
      </x:c>
      <x:c r="F922" s="10" t="str">
        <x:v>同步</x:v>
      </x:c>
      <x:c r="G922" s="19" t="d">
        <x:v>2026-10-15T00:00:00.000Z</x:v>
      </x:c>
      <x:c r="H922" s="10" t="str">
        <x:v>已通过</x:v>
      </x:c>
      <x:c r="I922" s="21" t="n">
        <x:v>0.421</x:v>
      </x:c>
      <x:c r="J922" s="10" t="str">
        <x:v>JuiceFS 1.3.0+30190ca / WinFsp 2.1.25156；测试工具 S01–S04</x:v>
      </x:c>
      <x:c r="K922" s="10" t="str">
        <x:v>JuiceFS Windows CI 子集；attr-cache=0；云端 get-timeout=5m</x:v>
      </x:c>
      <x:c r="L922" s="10" t="str">
        <x:v>e920ead94a8e28f04e326664178b0c9f02d492b1 + productChanges / plansSha256 见 E01</x:v>
      </x:c>
      <x:c r="M922" s="10" t="str">
        <x:v>E01 / juicefs-upstream-run-lyewiQ</x:v>
      </x:c>
      <x:c r="N922" s="10" t="str">
        <x:v>--fuse-external --resilient --case-insensitive-cmp</x:v>
      </x:c>
    </x:row>
    <x:row r="923" ht="74" customHeight="1">
      <x:c r="A923" s="11" t="str">
        <x:v>SUBSET-20261015-onedrive-sync</x:v>
      </x:c>
      <x:c r="B923" s="11" t="str">
        <x:v>WFP-39</x:v>
      </x:c>
      <x:c r="C923" s="11" t="str">
        <x:v>lock_noncached_test</x:v>
      </x:c>
      <x:c r="D923" s="11" t="str">
        <x:v>WinFsp fork 默认子集</x:v>
      </x:c>
      <x:c r="E923" s="11" t="str">
        <x:v>onedrive</x:v>
      </x:c>
      <x:c r="F923" s="11" t="str">
        <x:v>同步</x:v>
      </x:c>
      <x:c r="G923" s="20" t="d">
        <x:v>2026-10-15T00:00:00.000Z</x:v>
      </x:c>
      <x:c r="H923" s="11" t="str">
        <x:v>已通过</x:v>
      </x:c>
      <x:c r="I923" s="22" t="n">
        <x:v>16.119</x:v>
      </x:c>
      <x:c r="J923" s="11" t="str">
        <x:v>JuiceFS 1.3.0+30190ca / WinFsp 2.1.25156；测试工具 S01–S04</x:v>
      </x:c>
      <x:c r="K923" s="11" t="str">
        <x:v>JuiceFS Windows CI 子集；attr-cache=0；云端 get-timeout=5m</x:v>
      </x:c>
      <x:c r="L923" s="11" t="str">
        <x:v>e920ead94a8e28f04e326664178b0c9f02d492b1 + productChanges / plansSha256 见 E01</x:v>
      </x:c>
      <x:c r="M923" s="11" t="str">
        <x:v>E01 / juicefs-upstream-run-lyewiQ</x:v>
      </x:c>
      <x:c r="N923" s="11" t="str">
        <x:v>--fuse-external --resilient --case-insensitive-cmp</x:v>
      </x:c>
    </x:row>
    <x:row r="924" ht="74" customHeight="1">
      <x:c r="A924" s="10" t="str">
        <x:v>SUBSET-20261015-onedrive-sync</x:v>
      </x:c>
      <x:c r="B924" s="10" t="str">
        <x:v>WFP-40</x:v>
      </x:c>
      <x:c r="C924" s="10" t="str">
        <x:v>lock_noncached_overlapped_test</x:v>
      </x:c>
      <x:c r="D924" s="10" t="str">
        <x:v>WinFsp fork 默认子集</x:v>
      </x:c>
      <x:c r="E924" s="10" t="str">
        <x:v>onedrive</x:v>
      </x:c>
      <x:c r="F924" s="10" t="str">
        <x:v>同步</x:v>
      </x:c>
      <x:c r="G924" s="19" t="d">
        <x:v>2026-10-15T00:00:00.000Z</x:v>
      </x:c>
      <x:c r="H924" s="10" t="str">
        <x:v>已通过</x:v>
      </x:c>
      <x:c r="I924" s="21" t="n">
        <x:v>27.308</x:v>
      </x:c>
      <x:c r="J924" s="10" t="str">
        <x:v>JuiceFS 1.3.0+30190ca / WinFsp 2.1.25156；测试工具 S01–S04</x:v>
      </x:c>
      <x:c r="K924" s="10" t="str">
        <x:v>JuiceFS Windows CI 子集；attr-cache=0；云端 get-timeout=5m</x:v>
      </x:c>
      <x:c r="L924" s="10" t="str">
        <x:v>e920ead94a8e28f04e326664178b0c9f02d492b1 + productChanges / plansSha256 见 E01</x:v>
      </x:c>
      <x:c r="M924" s="10" t="str">
        <x:v>E01 / juicefs-upstream-run-lyewiQ</x:v>
      </x:c>
      <x:c r="N924" s="10" t="str">
        <x:v>--fuse-external --resilient --case-insensitive-cmp</x:v>
      </x:c>
    </x:row>
    <x:row r="925" ht="74" customHeight="1">
      <x:c r="A925" s="11" t="str">
        <x:v>SUBSET-20261015-onedrive-sync</x:v>
      </x:c>
      <x:c r="B925" s="11" t="str">
        <x:v>WFP-41</x:v>
      </x:c>
      <x:c r="C925" s="11" t="str">
        <x:v>lock_cached_test</x:v>
      </x:c>
      <x:c r="D925" s="11" t="str">
        <x:v>WinFsp fork 默认子集</x:v>
      </x:c>
      <x:c r="E925" s="11" t="str">
        <x:v>onedrive</x:v>
      </x:c>
      <x:c r="F925" s="11" t="str">
        <x:v>同步</x:v>
      </x:c>
      <x:c r="G925" s="20" t="d">
        <x:v>2026-10-15T00:00:00.000Z</x:v>
      </x:c>
      <x:c r="H925" s="11" t="str">
        <x:v>已通过</x:v>
      </x:c>
      <x:c r="I925" s="22" t="n">
        <x:v>36.907</x:v>
      </x:c>
      <x:c r="J925" s="11" t="str">
        <x:v>JuiceFS 1.3.0+30190ca / WinFsp 2.1.25156；测试工具 S01–S04</x:v>
      </x:c>
      <x:c r="K925" s="11" t="str">
        <x:v>JuiceFS Windows CI 子集；attr-cache=0；云端 get-timeout=5m</x:v>
      </x:c>
      <x:c r="L925" s="11" t="str">
        <x:v>e920ead94a8e28f04e326664178b0c9f02d492b1 + productChanges / plansSha256 见 E01</x:v>
      </x:c>
      <x:c r="M925" s="11" t="str">
        <x:v>E01 / juicefs-upstream-run-lyewiQ</x:v>
      </x:c>
      <x:c r="N925" s="11" t="str">
        <x:v>--fuse-external --resilient --case-insensitive-cmp</x:v>
      </x:c>
    </x:row>
    <x:row r="926" ht="74" customHeight="1">
      <x:c r="A926" s="10" t="str">
        <x:v>SUBSET-20261015-onedrive-sync</x:v>
      </x:c>
      <x:c r="B926" s="10" t="str">
        <x:v>WFP-42</x:v>
      </x:c>
      <x:c r="C926" s="10" t="str">
        <x:v>lock_cached_overlapped_test</x:v>
      </x:c>
      <x:c r="D926" s="10" t="str">
        <x:v>WinFsp fork 默认子集</x:v>
      </x:c>
      <x:c r="E926" s="10" t="str">
        <x:v>onedrive</x:v>
      </x:c>
      <x:c r="F926" s="10" t="str">
        <x:v>同步</x:v>
      </x:c>
      <x:c r="G926" s="19" t="d">
        <x:v>2026-10-15T00:00:00.000Z</x:v>
      </x:c>
      <x:c r="H926" s="10" t="str">
        <x:v>已通过</x:v>
      </x:c>
      <x:c r="I926" s="21" t="n">
        <x:v>30.365</x:v>
      </x:c>
      <x:c r="J926" s="10" t="str">
        <x:v>JuiceFS 1.3.0+30190ca / WinFsp 2.1.25156；测试工具 S01–S04</x:v>
      </x:c>
      <x:c r="K926" s="10" t="str">
        <x:v>JuiceFS Windows CI 子集；attr-cache=0；云端 get-timeout=5m</x:v>
      </x:c>
      <x:c r="L926" s="10" t="str">
        <x:v>e920ead94a8e28f04e326664178b0c9f02d492b1 + productChanges / plansSha256 见 E01</x:v>
      </x:c>
      <x:c r="M926" s="10" t="str">
        <x:v>E01 / juicefs-upstream-run-lyewiQ</x:v>
      </x:c>
      <x:c r="N926" s="10" t="str">
        <x:v>--fuse-external --resilient --case-insensitive-cmp</x:v>
      </x:c>
    </x:row>
    <x:row r="927" ht="74" customHeight="1">
      <x:c r="A927" s="11" t="str">
        <x:v>SUBSET-20261015-onedrive-sync</x:v>
      </x:c>
      <x:c r="B927" s="11" t="str">
        <x:v>WFP-43</x:v>
      </x:c>
      <x:c r="C927" s="11" t="str">
        <x:v>querydir_test</x:v>
      </x:c>
      <x:c r="D927" s="11" t="str">
        <x:v>WinFsp fork 默认子集</x:v>
      </x:c>
      <x:c r="E927" s="11" t="str">
        <x:v>onedrive</x:v>
      </x:c>
      <x:c r="F927" s="11" t="str">
        <x:v>同步</x:v>
      </x:c>
      <x:c r="G927" s="20" t="d">
        <x:v>2026-10-15T00:00:00.000Z</x:v>
      </x:c>
      <x:c r="H927" s="11" t="str">
        <x:v>已通过</x:v>
      </x:c>
      <x:c r="I927" s="22" t="n">
        <x:v>4.172</x:v>
      </x:c>
      <x:c r="J927" s="11" t="str">
        <x:v>JuiceFS 1.3.0+30190ca / WinFsp 2.1.25156；测试工具 S01–S04</x:v>
      </x:c>
      <x:c r="K927" s="11" t="str">
        <x:v>JuiceFS Windows CI 子集；attr-cache=0；云端 get-timeout=5m</x:v>
      </x:c>
      <x:c r="L927" s="11" t="str">
        <x:v>e920ead94a8e28f04e326664178b0c9f02d492b1 + productChanges / plansSha256 见 E01</x:v>
      </x:c>
      <x:c r="M927" s="11" t="str">
        <x:v>E01 / juicefs-upstream-run-lyewiQ</x:v>
      </x:c>
      <x:c r="N927" s="11" t="str">
        <x:v>--fuse-external --resilient --case-insensitive-cmp</x:v>
      </x:c>
    </x:row>
    <x:row r="928" ht="74" customHeight="1">
      <x:c r="A928" s="10" t="str">
        <x:v>SUBSET-20261015-onedrive-sync</x:v>
      </x:c>
      <x:c r="B928" s="10" t="str">
        <x:v>WFP-44</x:v>
      </x:c>
      <x:c r="C928" s="10" t="str">
        <x:v>querydir_expire_cache_test</x:v>
      </x:c>
      <x:c r="D928" s="10" t="str">
        <x:v>WinFsp fork 默认子集</x:v>
      </x:c>
      <x:c r="E928" s="10" t="str">
        <x:v>onedrive</x:v>
      </x:c>
      <x:c r="F928" s="10" t="str">
        <x:v>同步</x:v>
      </x:c>
      <x:c r="G928" s="19" t="d">
        <x:v>2026-10-15T00:00:00.000Z</x:v>
      </x:c>
      <x:c r="H928" s="10" t="str">
        <x:v>已通过</x:v>
      </x:c>
      <x:c r="I928" s="21" t="n">
        <x:v>0.297</x:v>
      </x:c>
      <x:c r="J928" s="10" t="str">
        <x:v>JuiceFS 1.3.0+30190ca / WinFsp 2.1.25156；测试工具 S01–S04</x:v>
      </x:c>
      <x:c r="K928" s="10" t="str">
        <x:v>JuiceFS Windows CI 子集；attr-cache=0；云端 get-timeout=5m</x:v>
      </x:c>
      <x:c r="L928" s="10" t="str">
        <x:v>e920ead94a8e28f04e326664178b0c9f02d492b1 + productChanges / plansSha256 见 E01</x:v>
      </x:c>
      <x:c r="M928" s="10" t="str">
        <x:v>E01 / juicefs-upstream-run-lyewiQ</x:v>
      </x:c>
      <x:c r="N928" s="10" t="str">
        <x:v>--fuse-external --resilient --case-insensitive-cmp</x:v>
      </x:c>
    </x:row>
    <x:row r="929" ht="74" customHeight="1">
      <x:c r="A929" s="11" t="str">
        <x:v>SUBSET-20261015-onedrive-sync</x:v>
      </x:c>
      <x:c r="B929" s="11" t="str">
        <x:v>WFP-45</x:v>
      </x:c>
      <x:c r="C929" s="11" t="str">
        <x:v>querydir_buffer_overflow_test</x:v>
      </x:c>
      <x:c r="D929" s="11" t="str">
        <x:v>WinFsp fork 默认子集</x:v>
      </x:c>
      <x:c r="E929" s="11" t="str">
        <x:v>onedrive</x:v>
      </x:c>
      <x:c r="F929" s="11" t="str">
        <x:v>同步</x:v>
      </x:c>
      <x:c r="G929" s="20" t="d">
        <x:v>2026-10-15T00:00:00.000Z</x:v>
      </x:c>
      <x:c r="H929" s="11" t="str">
        <x:v>已通过</x:v>
      </x:c>
      <x:c r="I929" s="22" t="n">
        <x:v>0.321</x:v>
      </x:c>
      <x:c r="J929" s="11" t="str">
        <x:v>JuiceFS 1.3.0+30190ca / WinFsp 2.1.25156；测试工具 S01–S04</x:v>
      </x:c>
      <x:c r="K929" s="11" t="str">
        <x:v>JuiceFS Windows CI 子集；attr-cache=0；云端 get-timeout=5m</x:v>
      </x:c>
      <x:c r="L929" s="11" t="str">
        <x:v>e920ead94a8e28f04e326664178b0c9f02d492b1 + productChanges / plansSha256 见 E01</x:v>
      </x:c>
      <x:c r="M929" s="11" t="str">
        <x:v>E01 / juicefs-upstream-run-lyewiQ</x:v>
      </x:c>
      <x:c r="N929" s="11" t="str">
        <x:v>--fuse-external --resilient --case-insensitive-cmp</x:v>
      </x:c>
    </x:row>
    <x:row r="930" ht="74" customHeight="1">
      <x:c r="A930" s="10" t="str">
        <x:v>SUBSET-20261015-onedrive-sync</x:v>
      </x:c>
      <x:c r="B930" s="10" t="str">
        <x:v>WFP-46</x:v>
      </x:c>
      <x:c r="C930" s="10" t="str">
        <x:v>querydir_namelen_test</x:v>
      </x:c>
      <x:c r="D930" s="10" t="str">
        <x:v>WinFsp fork 默认子集</x:v>
      </x:c>
      <x:c r="E930" s="10" t="str">
        <x:v>onedrive</x:v>
      </x:c>
      <x:c r="F930" s="10" t="str">
        <x:v>同步</x:v>
      </x:c>
      <x:c r="G930" s="19" t="d">
        <x:v>2026-10-15T00:00:00.000Z</x:v>
      </x:c>
      <x:c r="H930" s="10" t="str">
        <x:v>已通过</x:v>
      </x:c>
      <x:c r="I930" s="21" t="n">
        <x:v>0.305</x:v>
      </x:c>
      <x:c r="J930" s="10" t="str">
        <x:v>JuiceFS 1.3.0+30190ca / WinFsp 2.1.25156；测试工具 S01–S04</x:v>
      </x:c>
      <x:c r="K930" s="10" t="str">
        <x:v>JuiceFS Windows CI 子集；attr-cache=0；云端 get-timeout=5m</x:v>
      </x:c>
      <x:c r="L930" s="10" t="str">
        <x:v>e920ead94a8e28f04e326664178b0c9f02d492b1 + productChanges / plansSha256 见 E01</x:v>
      </x:c>
      <x:c r="M930" s="10" t="str">
        <x:v>E01 / juicefs-upstream-run-lyewiQ</x:v>
      </x:c>
      <x:c r="N930" s="10" t="str">
        <x:v>--fuse-external --resilient --case-insensitive-cmp</x:v>
      </x:c>
    </x:row>
    <x:row r="931" ht="74" customHeight="1">
      <x:c r="A931" s="11" t="str">
        <x:v>SUBSET-20261015-onedrive-sync</x:v>
      </x:c>
      <x:c r="B931" s="11" t="str">
        <x:v>WFP-47</x:v>
      </x:c>
      <x:c r="C931" s="11" t="str">
        <x:v>dirnotify_test</x:v>
      </x:c>
      <x:c r="D931" s="11" t="str">
        <x:v>WinFsp fork 默认子集</x:v>
      </x:c>
      <x:c r="E931" s="11" t="str">
        <x:v>onedrive</x:v>
      </x:c>
      <x:c r="F931" s="11" t="str">
        <x:v>同步</x:v>
      </x:c>
      <x:c r="G931" s="20" t="d">
        <x:v>2026-10-15T00:00:00.000Z</x:v>
      </x:c>
      <x:c r="H931" s="11" t="str">
        <x:v>已通过</x:v>
      </x:c>
      <x:c r="I931" s="22" t="n">
        <x:v>1.345</x:v>
      </x:c>
      <x:c r="J931" s="11" t="str">
        <x:v>JuiceFS 1.3.0+30190ca / WinFsp 2.1.25156；测试工具 S01–S04</x:v>
      </x:c>
      <x:c r="K931" s="11" t="str">
        <x:v>JuiceFS Windows CI 子集；attr-cache=0；云端 get-timeout=5m</x:v>
      </x:c>
      <x:c r="L931" s="11" t="str">
        <x:v>e920ead94a8e28f04e326664178b0c9f02d492b1 + productChanges / plansSha256 见 E01</x:v>
      </x:c>
      <x:c r="M931" s="11" t="str">
        <x:v>E01 / juicefs-upstream-run-lyewiQ</x:v>
      </x:c>
      <x:c r="N931" s="11" t="str">
        <x:v>--fuse-external --resilient --case-insensitive-cmp</x:v>
      </x:c>
    </x:row>
    <x:row r="932" ht="74" customHeight="1">
      <x:c r="A932" s="10" t="str">
        <x:v>SUBSET-20261015-onedrive-sync</x:v>
      </x:c>
      <x:c r="B932" s="10" t="str">
        <x:v>WFP-48</x:v>
      </x:c>
      <x:c r="C932" s="10" t="str">
        <x:v>exec_test</x:v>
      </x:c>
      <x:c r="D932" s="10" t="str">
        <x:v>WinFsp fork 默认子集</x:v>
      </x:c>
      <x:c r="E932" s="10" t="str">
        <x:v>onedrive</x:v>
      </x:c>
      <x:c r="F932" s="10" t="str">
        <x:v>同步</x:v>
      </x:c>
      <x:c r="G932" s="19" t="d">
        <x:v>2026-10-15T00:00:00.000Z</x:v>
      </x:c>
      <x:c r="H932" s="10" t="str">
        <x:v>已通过</x:v>
      </x:c>
      <x:c r="I932" s="21" t="n">
        <x:v>3.565</x:v>
      </x:c>
      <x:c r="J932" s="10" t="str">
        <x:v>JuiceFS 1.3.0+30190ca / WinFsp 2.1.25156；测试工具 S01–S04</x:v>
      </x:c>
      <x:c r="K932" s="10" t="str">
        <x:v>JuiceFS Windows CI 子集；attr-cache=0；云端 get-timeout=5m</x:v>
      </x:c>
      <x:c r="L932" s="10" t="str">
        <x:v>e920ead94a8e28f04e326664178b0c9f02d492b1 + productChanges / plansSha256 见 E01</x:v>
      </x:c>
      <x:c r="M932" s="10" t="str">
        <x:v>E01 / juicefs-upstream-run-lyewiQ</x:v>
      </x:c>
      <x:c r="N932" s="10" t="str">
        <x:v>--fuse-external --resilient --case-insensitive-cmp</x:v>
      </x:c>
    </x:row>
    <x:row r="933" ht="74" customHeight="1">
      <x:c r="A933" s="11" t="str">
        <x:v>SUBSET-20261015-onedrive-sync</x:v>
      </x:c>
      <x:c r="B933" s="11" t="str">
        <x:v>WFP-49</x:v>
      </x:c>
      <x:c r="C933" s="11" t="str">
        <x:v>exec_delete_test</x:v>
      </x:c>
      <x:c r="D933" s="11" t="str">
        <x:v>WinFsp fork 默认子集</x:v>
      </x:c>
      <x:c r="E933" s="11" t="str">
        <x:v>onedrive</x:v>
      </x:c>
      <x:c r="F933" s="11" t="str">
        <x:v>同步</x:v>
      </x:c>
      <x:c r="G933" s="20" t="d">
        <x:v>2026-10-15T00:00:00.000Z</x:v>
      </x:c>
      <x:c r="H933" s="11" t="str">
        <x:v>已通过</x:v>
      </x:c>
      <x:c r="I933" s="22" t="n">
        <x:v>4.82</x:v>
      </x:c>
      <x:c r="J933" s="11" t="str">
        <x:v>JuiceFS 1.3.0+30190ca / WinFsp 2.1.25156；测试工具 S01–S04</x:v>
      </x:c>
      <x:c r="K933" s="11" t="str">
        <x:v>JuiceFS Windows CI 子集；attr-cache=0；云端 get-timeout=5m</x:v>
      </x:c>
      <x:c r="L933" s="11" t="str">
        <x:v>e920ead94a8e28f04e326664178b0c9f02d492b1 + productChanges / plansSha256 见 E01</x:v>
      </x:c>
      <x:c r="M933" s="11" t="str">
        <x:v>E01 / juicefs-upstream-run-lyewiQ</x:v>
      </x:c>
      <x:c r="N933" s="11" t="str">
        <x:v>--fuse-external --resilient --case-insensitive-cmp</x:v>
      </x:c>
    </x:row>
    <x:row r="934" ht="74" customHeight="1">
      <x:c r="A934" s="10" t="str">
        <x:v>SUBSET-20261015-onedrive-sync</x:v>
      </x:c>
      <x:c r="B934" s="10" t="str">
        <x:v>WFP-50</x:v>
      </x:c>
      <x:c r="C934" s="10" t="str">
        <x:v>exec_rename_test</x:v>
      </x:c>
      <x:c r="D934" s="10" t="str">
        <x:v>WinFsp fork 默认子集</x:v>
      </x:c>
      <x:c r="E934" s="10" t="str">
        <x:v>onedrive</x:v>
      </x:c>
      <x:c r="F934" s="10" t="str">
        <x:v>同步</x:v>
      </x:c>
      <x:c r="G934" s="19" t="d">
        <x:v>2026-10-15T00:00:00.000Z</x:v>
      </x:c>
      <x:c r="H934" s="10" t="str">
        <x:v>已通过</x:v>
      </x:c>
      <x:c r="I934" s="21" t="n">
        <x:v>4.634</x:v>
      </x:c>
      <x:c r="J934" s="10" t="str">
        <x:v>JuiceFS 1.3.0+30190ca / WinFsp 2.1.25156；测试工具 S01–S04</x:v>
      </x:c>
      <x:c r="K934" s="10" t="str">
        <x:v>JuiceFS Windows CI 子集；attr-cache=0；云端 get-timeout=5m</x:v>
      </x:c>
      <x:c r="L934" s="10" t="str">
        <x:v>e920ead94a8e28f04e326664178b0c9f02d492b1 + productChanges / plansSha256 见 E01</x:v>
      </x:c>
      <x:c r="M934" s="10" t="str">
        <x:v>E01 / juicefs-upstream-run-lyewiQ</x:v>
      </x:c>
      <x:c r="N934" s="10" t="str">
        <x:v>--fuse-external --resilient --case-insensitive-cmp</x:v>
      </x:c>
    </x:row>
    <x:row r="935" ht="74" customHeight="1">
      <x:c r="A935" s="11" t="str">
        <x:v>SUBSET-20261015-onedrive-sync</x:v>
      </x:c>
      <x:c r="B935" s="11" t="str">
        <x:v>WFP-51</x:v>
      </x:c>
      <x:c r="C935" s="11" t="str">
        <x:v>exec_rename_dir_test</x:v>
      </x:c>
      <x:c r="D935" s="11" t="str">
        <x:v>WinFsp fork 默认子集</x:v>
      </x:c>
      <x:c r="E935" s="11" t="str">
        <x:v>onedrive</x:v>
      </x:c>
      <x:c r="F935" s="11" t="str">
        <x:v>同步</x:v>
      </x:c>
      <x:c r="G935" s="20" t="d">
        <x:v>2026-10-15T00:00:00.000Z</x:v>
      </x:c>
      <x:c r="H935" s="11" t="str">
        <x:v>已通过</x:v>
      </x:c>
      <x:c r="I935" s="22" t="n">
        <x:v>5.99</x:v>
      </x:c>
      <x:c r="J935" s="11" t="str">
        <x:v>JuiceFS 1.3.0+30190ca / WinFsp 2.1.25156；测试工具 S01–S04</x:v>
      </x:c>
      <x:c r="K935" s="11" t="str">
        <x:v>JuiceFS Windows CI 子集；attr-cache=0；云端 get-timeout=5m</x:v>
      </x:c>
      <x:c r="L935" s="11" t="str">
        <x:v>e920ead94a8e28f04e326664178b0c9f02d492b1 + productChanges / plansSha256 见 E01</x:v>
      </x:c>
      <x:c r="M935" s="11" t="str">
        <x:v>E01 / juicefs-upstream-run-lyewiQ</x:v>
      </x:c>
      <x:c r="N935" s="11" t="str">
        <x:v>--fuse-external --resilient --case-insensitive-cmp</x:v>
      </x:c>
    </x:row>
    <x:row r="936" ht="74" customHeight="1">
      <x:c r="A936" s="10" t="str">
        <x:v>SUBSET-20261015-onedrive-sync</x:v>
      </x:c>
      <x:c r="B936" s="10" t="str">
        <x:v>WFP-52</x:v>
      </x:c>
      <x:c r="C936" s="10" t="str">
        <x:v>reparse_nfs_test</x:v>
      </x:c>
      <x:c r="D936" s="10" t="str">
        <x:v>WinFsp fork 默认子集</x:v>
      </x:c>
      <x:c r="E936" s="10" t="str">
        <x:v>onedrive</x:v>
      </x:c>
      <x:c r="F936" s="10" t="str">
        <x:v>同步</x:v>
      </x:c>
      <x:c r="G936" s="19" t="d">
        <x:v>2026-10-15T00:00:00.000Z</x:v>
      </x:c>
      <x:c r="H936" s="10" t="str">
        <x:v>已通过</x:v>
      </x:c>
      <x:c r="I936" s="21" t="n">
        <x:v>0.314</x:v>
      </x:c>
      <x:c r="J936" s="10" t="str">
        <x:v>JuiceFS 1.3.0+30190ca / WinFsp 2.1.25156；测试工具 S01–S04</x:v>
      </x:c>
      <x:c r="K936" s="10" t="str">
        <x:v>JuiceFS Windows CI 子集；attr-cache=0；云端 get-timeout=5m</x:v>
      </x:c>
      <x:c r="L936" s="10" t="str">
        <x:v>e920ead94a8e28f04e326664178b0c9f02d492b1 + productChanges / plansSha256 见 E01</x:v>
      </x:c>
      <x:c r="M936" s="10" t="str">
        <x:v>E01 / juicefs-upstream-run-lyewiQ</x:v>
      </x:c>
      <x:c r="N936" s="10" t="str">
        <x:v>--fuse-external --resilient --case-insensitive-cmp</x:v>
      </x:c>
    </x:row>
    <x:row r="937" ht="74" customHeight="1">
      <x:c r="A937" s="11" t="str">
        <x:v>SUBSET-20261015-onedrive-sync</x:v>
      </x:c>
      <x:c r="B937" s="11" t="str">
        <x:v>WFP-53</x:v>
      </x:c>
      <x:c r="C937" s="11" t="str">
        <x:v>reparse_symlink_test</x:v>
      </x:c>
      <x:c r="D937" s="11" t="str">
        <x:v>WinFsp fork 默认子集</x:v>
      </x:c>
      <x:c r="E937" s="11" t="str">
        <x:v>onedrive</x:v>
      </x:c>
      <x:c r="F937" s="11" t="str">
        <x:v>同步</x:v>
      </x:c>
      <x:c r="G937" s="20" t="d">
        <x:v>2026-10-15T00:00:00.000Z</x:v>
      </x:c>
      <x:c r="H937" s="11" t="str">
        <x:v>已通过</x:v>
      </x:c>
      <x:c r="I937" s="22" t="n">
        <x:v>0.289</x:v>
      </x:c>
      <x:c r="J937" s="11" t="str">
        <x:v>JuiceFS 1.3.0+30190ca / WinFsp 2.1.25156；测试工具 S01–S04</x:v>
      </x:c>
      <x:c r="K937" s="11" t="str">
        <x:v>JuiceFS Windows CI 子集；attr-cache=0；云端 get-timeout=5m</x:v>
      </x:c>
      <x:c r="L937" s="11" t="str">
        <x:v>e920ead94a8e28f04e326664178b0c9f02d492b1 + productChanges / plansSha256 见 E01</x:v>
      </x:c>
      <x:c r="M937" s="11" t="str">
        <x:v>E01 / juicefs-upstream-run-lyewiQ</x:v>
      </x:c>
      <x:c r="N937" s="11" t="str">
        <x:v>--fuse-external --resilient --case-insensitive-cmp</x:v>
      </x:c>
    </x:row>
    <x:row r="938" ht="74" customHeight="1">
      <x:c r="A938" s="10" t="str">
        <x:v>SUBSET-20261015-onedrive-sync</x:v>
      </x:c>
      <x:c r="B938" s="10" t="str">
        <x:v>WFP-54</x:v>
      </x:c>
      <x:c r="C938" s="10" t="str">
        <x:v>reparse_symlink_relative_test</x:v>
      </x:c>
      <x:c r="D938" s="10" t="str">
        <x:v>WinFsp fork 默认子集</x:v>
      </x:c>
      <x:c r="E938" s="10" t="str">
        <x:v>onedrive</x:v>
      </x:c>
      <x:c r="F938" s="10" t="str">
        <x:v>同步</x:v>
      </x:c>
      <x:c r="G938" s="19" t="d">
        <x:v>2026-10-15T00:00:00.000Z</x:v>
      </x:c>
      <x:c r="H938" s="10" t="str">
        <x:v>已通过</x:v>
      </x:c>
      <x:c r="I938" s="21" t="n">
        <x:v>0.288</x:v>
      </x:c>
      <x:c r="J938" s="10" t="str">
        <x:v>JuiceFS 1.3.0+30190ca / WinFsp 2.1.25156；测试工具 S01–S04</x:v>
      </x:c>
      <x:c r="K938" s="10" t="str">
        <x:v>JuiceFS Windows CI 子集；attr-cache=0；云端 get-timeout=5m</x:v>
      </x:c>
      <x:c r="L938" s="10" t="str">
        <x:v>e920ead94a8e28f04e326664178b0c9f02d492b1 + productChanges / plansSha256 见 E01</x:v>
      </x:c>
      <x:c r="M938" s="10" t="str">
        <x:v>E01 / juicefs-upstream-run-lyewiQ</x:v>
      </x:c>
      <x:c r="N938" s="10" t="str">
        <x:v>--fuse-external --resilient --case-insensitive-cmp</x:v>
      </x:c>
    </x:row>
    <x:row r="939" ht="74" customHeight="1">
      <x:c r="A939" s="11" t="str">
        <x:v>SUBSET-20261015-onedrive-sync</x:v>
      </x:c>
      <x:c r="B939" s="11" t="str">
        <x:v>WFT-00…WFT-10</x:v>
      </x:c>
      <x:c r="C939" s="11" t="str">
        <x:v>11 个脚本的整套结果</x:v>
      </x:c>
      <x:c r="D939" s="11" t="str">
        <x:v>winfstest fork</x:v>
      </x:c>
      <x:c r="E939" s="11" t="str">
        <x:v>onedrive</x:v>
      </x:c>
      <x:c r="F939" s="11" t="str">
        <x:v>同步</x:v>
      </x:c>
      <x:c r="G939" s="20" t="d">
        <x:v>2026-10-15T00:00:00.000Z</x:v>
      </x:c>
      <x:c r="H939" s="11" t="str">
        <x:v>已通过</x:v>
      </x:c>
      <x:c r="I939" s="22"/>
      <x:c r="J939" s="11" t="str">
        <x:v>JuiceFS 1.3.0+30190ca / WinFsp 2.1.25156；测试工具 S01–S04</x:v>
      </x:c>
      <x:c r="K939" s="11" t="str">
        <x:v>JuiceFS Windows CI 子集；attr-cache=0；云端 get-timeout=5m</x:v>
      </x:c>
      <x:c r="L939" s="11" t="str">
        <x:v>e920ead94a8e28f04e326664178b0c9f02d492b1 + productChanges / plansSha256 见 E01</x:v>
      </x:c>
      <x:c r="M939" s="11" t="str">
        <x:v>E01 / juicefs-upstream-run-lyewiQ</x:v>
      </x:c>
      <x:c r="N939" s="11" t="str">
        <x:v>152/152 断言；报告粒度为整套，不虚构每个脚本的耗时</x:v>
      </x:c>
    </x:row>
    <x:row r="940" ht="74" customHeight="1">
      <x:c r="A940" s="10" t="str">
        <x:v>SUBSET-20261015-onedrive-sync</x:v>
      </x:c>
      <x:c r="B940" s="10" t="str">
        <x:v>JFS-FSX-01</x:v>
      </x:c>
      <x:c r="C940" s="10" t="str">
        <x:v>FSX 正常完成运行</x:v>
      </x:c>
      <x:c r="D940" s="10" t="str">
        <x:v>FSX fork</x:v>
      </x:c>
      <x:c r="E940" s="10" t="str">
        <x:v>onedrive</x:v>
      </x:c>
      <x:c r="F940" s="10" t="str">
        <x:v>同步</x:v>
      </x:c>
      <x:c r="G940" s="19" t="d">
        <x:v>2026-10-15T00:00:00.000Z</x:v>
      </x:c>
      <x:c r="H940" s="10" t="str">
        <x:v>已通过</x:v>
      </x:c>
      <x:c r="I940" s="21"/>
      <x:c r="J940" s="10" t="str">
        <x:v>JuiceFS 1.3.0+30190ca / WinFsp 2.1.25156；测试工具 S01–S04</x:v>
      </x:c>
      <x:c r="K940" s="10" t="str">
        <x:v>JuiceFS Windows CI 子集；attr-cache=0；云端 get-timeout=5m</x:v>
      </x:c>
      <x:c r="L940" s="10" t="str">
        <x:v>e920ead94a8e28f04e326664178b0c9f02d492b1 + productChanges / plansSha256 见 E01</x:v>
      </x:c>
      <x:c r="M940" s="10" t="str">
        <x:v>E01 / juicefs-upstream-run-lyewiQ</x:v>
      </x:c>
      <x:c r="N940" s="10" t="str">
        <x:v>-d 180 -S 20261014 -p 10000 -F 100000 fsxtest；实际 62 操作</x:v>
      </x:c>
    </x:row>
    <x:row r="941" ht="74" customHeight="1">
      <x:c r="A941" s="11" t="str">
        <x:v>SUBSET-20261015-onedrive-sync</x:v>
      </x:c>
      <x:c r="B941" s="11" t="str">
        <x:v>CLOUD-006</x:v>
      </x:c>
      <x:c r="C941" s="11" t="str">
        <x:v>排空后冷读校验</x:v>
      </x:c>
      <x:c r="D941" s="11" t="str">
        <x:v>项目验证</x:v>
      </x:c>
      <x:c r="E941" s="11" t="str">
        <x:v>onedrive</x:v>
      </x:c>
      <x:c r="F941" s="11" t="str">
        <x:v>同步</x:v>
      </x:c>
      <x:c r="G941" s="20" t="d">
        <x:v>2026-10-15T00:00:00.000Z</x:v>
      </x:c>
      <x:c r="H941" s="11" t="str">
        <x:v>已通过</x:v>
      </x:c>
      <x:c r="I941" s="22"/>
      <x:c r="J941" s="11" t="str">
        <x:v>JuiceFS 1.3.0+30190ca / WinFsp 2.1.25156；测试工具 S01–S04</x:v>
      </x:c>
      <x:c r="K941" s="11" t="str">
        <x:v>JuiceFS Windows CI 子集；attr-cache=0；云端 get-timeout=5m</x:v>
      </x:c>
      <x:c r="L941" s="11" t="str">
        <x:v>e920ead94a8e28f04e326664178b0c9f02d492b1 + productChanges / plansSha256 见 E01</x:v>
      </x:c>
      <x:c r="M941" s="11" t="str">
        <x:v>E01 / juicefs-upstream-run-lyewiQ</x:v>
      </x:c>
      <x:c r="N941" s="11" t="str">
        <x:v>原始记录见 E01；不代表故障恢复或 repair 测试</x:v>
      </x:c>
    </x:row>
    <x:row r="942" ht="74" customHeight="1">
      <x:c r="A942" s="10" t="str">
        <x:v>SUBSET-20261015-onedrive-sync</x:v>
      </x:c>
      <x:c r="B942" s="10" t="str">
        <x:v>CLOUD-007</x:v>
      </x:c>
      <x:c r="C942" s="10" t="str">
        <x:v>只读 fsck</x:v>
      </x:c>
      <x:c r="D942" s="10" t="str">
        <x:v>项目验证</x:v>
      </x:c>
      <x:c r="E942" s="10" t="str">
        <x:v>onedrive</x:v>
      </x:c>
      <x:c r="F942" s="10" t="str">
        <x:v>同步</x:v>
      </x:c>
      <x:c r="G942" s="19" t="d">
        <x:v>2026-10-15T00:00:00.000Z</x:v>
      </x:c>
      <x:c r="H942" s="10" t="str">
        <x:v>已通过</x:v>
      </x:c>
      <x:c r="I942" s="21"/>
      <x:c r="J942" s="10" t="str">
        <x:v>JuiceFS 1.3.0+30190ca / WinFsp 2.1.25156；测试工具 S01–S04</x:v>
      </x:c>
      <x:c r="K942" s="10" t="str">
        <x:v>JuiceFS Windows CI 子集；attr-cache=0；云端 get-timeout=5m</x:v>
      </x:c>
      <x:c r="L942" s="10" t="str">
        <x:v>e920ead94a8e28f04e326664178b0c9f02d492b1 + productChanges / plansSha256 见 E01</x:v>
      </x:c>
      <x:c r="M942" s="10" t="str">
        <x:v>E01 / juicefs-upstream-run-lyewiQ</x:v>
      </x:c>
      <x:c r="N942" s="10" t="str">
        <x:v>原始记录见 E01；不代表故障恢复或 repair 测试</x:v>
      </x:c>
    </x:row>
    <x:row r="943" ht="74" customHeight="1">
      <x:c r="A943" s="11" t="str">
        <x:v>SUBSET-20261015-onedrive-wb</x:v>
      </x:c>
      <x:c r="B943" s="11" t="str">
        <x:v>JFS-PY-01</x:v>
      </x:c>
      <x:c r="C943" s="11" t="str">
        <x:v>test_basic_operations</x:v>
      </x:c>
      <x:c r="D943" s="11" t="str">
        <x:v>Python</x:v>
      </x:c>
      <x:c r="E943" s="11" t="str">
        <x:v>onedrive</x:v>
      </x:c>
      <x:c r="F943" s="11" t="str">
        <x:v>后台</x:v>
      </x:c>
      <x:c r="G943" s="20" t="d">
        <x:v>2026-10-15T00:00:00.000Z</x:v>
      </x:c>
      <x:c r="H943" s="11" t="str">
        <x:v>已通过</x:v>
      </x:c>
      <x:c r="I943" s="22"/>
      <x:c r="J943" s="11" t="str">
        <x:v>JuiceFS 1.3.0+30190ca / WinFsp 2.1.25156；测试工具 S01–S04</x:v>
      </x:c>
      <x:c r="K943" s="11" t="str">
        <x:v>JuiceFS Windows CI 子集；attr-cache=0；云端 get-timeout=5m</x:v>
      </x:c>
      <x:c r="L943" s="11" t="str">
        <x:v>e920ead94a8e28f04e326664178b0c9f02d492b1 + productChanges / plansSha256 见 E01</x:v>
      </x:c>
      <x:c r="M943" s="11" t="str">
        <x:v>E01 / juicefs-upstream-run-4AqAs3</x:v>
      </x:c>
      <x:c r="N943" s="11" t="str">
        <x:v>上游原断言</x:v>
      </x:c>
    </x:row>
    <x:row r="944" ht="74" customHeight="1">
      <x:c r="A944" s="10" t="str">
        <x:v>SUBSET-20261015-onedrive-wb</x:v>
      </x:c>
      <x:c r="B944" s="10" t="str">
        <x:v>JFS-PY-02</x:v>
      </x:c>
      <x:c r="C944" s="10" t="str">
        <x:v>test_concurrent_operations</x:v>
      </x:c>
      <x:c r="D944" s="10" t="str">
        <x:v>Python</x:v>
      </x:c>
      <x:c r="E944" s="10" t="str">
        <x:v>onedrive</x:v>
      </x:c>
      <x:c r="F944" s="10" t="str">
        <x:v>后台</x:v>
      </x:c>
      <x:c r="G944" s="19" t="d">
        <x:v>2026-10-15T00:00:00.000Z</x:v>
      </x:c>
      <x:c r="H944" s="10" t="str">
        <x:v>已通过</x:v>
      </x:c>
      <x:c r="I944" s="21"/>
      <x:c r="J944" s="10" t="str">
        <x:v>JuiceFS 1.3.0+30190ca / WinFsp 2.1.25156；测试工具 S01–S04</x:v>
      </x:c>
      <x:c r="K944" s="10" t="str">
        <x:v>JuiceFS Windows CI 子集；attr-cache=0；云端 get-timeout=5m</x:v>
      </x:c>
      <x:c r="L944" s="10" t="str">
        <x:v>e920ead94a8e28f04e326664178b0c9f02d492b1 + productChanges / plansSha256 见 E01</x:v>
      </x:c>
      <x:c r="M944" s="10" t="str">
        <x:v>E01 / juicefs-upstream-run-4AqAs3</x:v>
      </x:c>
      <x:c r="N944" s="10" t="str">
        <x:v>上游原断言</x:v>
      </x:c>
    </x:row>
    <x:row r="945" ht="74" customHeight="1">
      <x:c r="A945" s="11" t="str">
        <x:v>SUBSET-20261015-onedrive-wb</x:v>
      </x:c>
      <x:c r="B945" s="11" t="str">
        <x:v>JFS-PY-03</x:v>
      </x:c>
      <x:c r="C945" s="11" t="str">
        <x:v>test_directory_operations</x:v>
      </x:c>
      <x:c r="D945" s="11" t="str">
        <x:v>Python</x:v>
      </x:c>
      <x:c r="E945" s="11" t="str">
        <x:v>onedrive</x:v>
      </x:c>
      <x:c r="F945" s="11" t="str">
        <x:v>后台</x:v>
      </x:c>
      <x:c r="G945" s="20" t="d">
        <x:v>2026-10-15T00:00:00.000Z</x:v>
      </x:c>
      <x:c r="H945" s="11" t="str">
        <x:v>已通过</x:v>
      </x:c>
      <x:c r="I945" s="22"/>
      <x:c r="J945" s="11" t="str">
        <x:v>JuiceFS 1.3.0+30190ca / WinFsp 2.1.25156；测试工具 S01–S04</x:v>
      </x:c>
      <x:c r="K945" s="11" t="str">
        <x:v>JuiceFS Windows CI 子集；attr-cache=0；云端 get-timeout=5m</x:v>
      </x:c>
      <x:c r="L945" s="11" t="str">
        <x:v>e920ead94a8e28f04e326664178b0c9f02d492b1 + productChanges / plansSha256 见 E01</x:v>
      </x:c>
      <x:c r="M945" s="11" t="str">
        <x:v>E01 / juicefs-upstream-run-4AqAs3</x:v>
      </x:c>
      <x:c r="N945" s="11" t="str">
        <x:v>上游原断言</x:v>
      </x:c>
    </x:row>
    <x:row r="946" ht="74" customHeight="1">
      <x:c r="A946" s="10" t="str">
        <x:v>SUBSET-20261015-onedrive-wb</x:v>
      </x:c>
      <x:c r="B946" s="10" t="str">
        <x:v>JFS-PY-04</x:v>
      </x:c>
      <x:c r="C946" s="10" t="str">
        <x:v>test_file_attributes</x:v>
      </x:c>
      <x:c r="D946" s="10" t="str">
        <x:v>Python</x:v>
      </x:c>
      <x:c r="E946" s="10" t="str">
        <x:v>onedrive</x:v>
      </x:c>
      <x:c r="F946" s="10" t="str">
        <x:v>后台</x:v>
      </x:c>
      <x:c r="G946" s="19" t="d">
        <x:v>2026-10-15T00:00:00.000Z</x:v>
      </x:c>
      <x:c r="H946" s="10" t="str">
        <x:v>已通过</x:v>
      </x:c>
      <x:c r="I946" s="21"/>
      <x:c r="J946" s="10" t="str">
        <x:v>JuiceFS 1.3.0+30190ca / WinFsp 2.1.25156；测试工具 S01–S04</x:v>
      </x:c>
      <x:c r="K946" s="10" t="str">
        <x:v>JuiceFS Windows CI 子集；attr-cache=0；云端 get-timeout=5m</x:v>
      </x:c>
      <x:c r="L946" s="10" t="str">
        <x:v>e920ead94a8e28f04e326664178b0c9f02d492b1 + productChanges / plansSha256 见 E01</x:v>
      </x:c>
      <x:c r="M946" s="10" t="str">
        <x:v>E01 / juicefs-upstream-run-4AqAs3</x:v>
      </x:c>
      <x:c r="N946" s="10" t="str">
        <x:v>上游原断言</x:v>
      </x:c>
    </x:row>
    <x:row r="947" ht="74" customHeight="1">
      <x:c r="A947" s="11" t="str">
        <x:v>SUBSET-20261015-onedrive-wb</x:v>
      </x:c>
      <x:c r="B947" s="11" t="str">
        <x:v>JFS-PY-05</x:v>
      </x:c>
      <x:c r="C947" s="11" t="str">
        <x:v>test_large_files</x:v>
      </x:c>
      <x:c r="D947" s="11" t="str">
        <x:v>Python</x:v>
      </x:c>
      <x:c r="E947" s="11" t="str">
        <x:v>onedrive</x:v>
      </x:c>
      <x:c r="F947" s="11" t="str">
        <x:v>后台</x:v>
      </x:c>
      <x:c r="G947" s="20" t="d">
        <x:v>2026-10-15T00:00:00.000Z</x:v>
      </x:c>
      <x:c r="H947" s="11" t="str">
        <x:v>已通过</x:v>
      </x:c>
      <x:c r="I947" s="22"/>
      <x:c r="J947" s="11" t="str">
        <x:v>JuiceFS 1.3.0+30190ca / WinFsp 2.1.25156；测试工具 S01–S04</x:v>
      </x:c>
      <x:c r="K947" s="11" t="str">
        <x:v>JuiceFS Windows CI 子集；attr-cache=0；云端 get-timeout=5m</x:v>
      </x:c>
      <x:c r="L947" s="11" t="str">
        <x:v>e920ead94a8e28f04e326664178b0c9f02d492b1 + productChanges / plansSha256 见 E01</x:v>
      </x:c>
      <x:c r="M947" s="11" t="str">
        <x:v>E01 / juicefs-upstream-run-4AqAs3</x:v>
      </x:c>
      <x:c r="N947" s="11" t="str">
        <x:v>上游原断言</x:v>
      </x:c>
    </x:row>
    <x:row r="948" ht="74" customHeight="1">
      <x:c r="A948" s="10" t="str">
        <x:v>SUBSET-20261015-onedrive-wb</x:v>
      </x:c>
      <x:c r="B948" s="10" t="str">
        <x:v>JFS-PY-06</x:v>
      </x:c>
      <x:c r="C948" s="10" t="str">
        <x:v>test_long_paths</x:v>
      </x:c>
      <x:c r="D948" s="10" t="str">
        <x:v>Python</x:v>
      </x:c>
      <x:c r="E948" s="10" t="str">
        <x:v>onedrive</x:v>
      </x:c>
      <x:c r="F948" s="10" t="str">
        <x:v>后台</x:v>
      </x:c>
      <x:c r="G948" s="19" t="d">
        <x:v>2026-10-15T00:00:00.000Z</x:v>
      </x:c>
      <x:c r="H948" s="10" t="str">
        <x:v>已通过</x:v>
      </x:c>
      <x:c r="I948" s="21"/>
      <x:c r="J948" s="10" t="str">
        <x:v>JuiceFS 1.3.0+30190ca / WinFsp 2.1.25156；测试工具 S01–S04</x:v>
      </x:c>
      <x:c r="K948" s="10" t="str">
        <x:v>JuiceFS Windows CI 子集；attr-cache=0；云端 get-timeout=5m</x:v>
      </x:c>
      <x:c r="L948" s="10" t="str">
        <x:v>e920ead94a8e28f04e326664178b0c9f02d492b1 + productChanges / plansSha256 见 E01</x:v>
      </x:c>
      <x:c r="M948" s="10" t="str">
        <x:v>E01 / juicefs-upstream-run-4AqAs3</x:v>
      </x:c>
      <x:c r="N948" s="10" t="str">
        <x:v>上游原断言</x:v>
      </x:c>
    </x:row>
    <x:row r="949" ht="74" customHeight="1">
      <x:c r="A949" s="11" t="str">
        <x:v>SUBSET-20261015-onedrive-wb</x:v>
      </x:c>
      <x:c r="B949" s="11" t="str">
        <x:v>JFS-PY-07</x:v>
      </x:c>
      <x:c r="C949" s="11" t="str">
        <x:v>test_rename_case_change</x:v>
      </x:c>
      <x:c r="D949" s="11" t="str">
        <x:v>Python</x:v>
      </x:c>
      <x:c r="E949" s="11" t="str">
        <x:v>onedrive</x:v>
      </x:c>
      <x:c r="F949" s="11" t="str">
        <x:v>后台</x:v>
      </x:c>
      <x:c r="G949" s="20" t="d">
        <x:v>2026-10-15T00:00:00.000Z</x:v>
      </x:c>
      <x:c r="H949" s="11" t="str">
        <x:v>已通过</x:v>
      </x:c>
      <x:c r="I949" s="22"/>
      <x:c r="J949" s="11" t="str">
        <x:v>JuiceFS 1.3.0+30190ca / WinFsp 2.1.25156；测试工具 S01–S04</x:v>
      </x:c>
      <x:c r="K949" s="11" t="str">
        <x:v>JuiceFS Windows CI 子集；attr-cache=0；云端 get-timeout=5m</x:v>
      </x:c>
      <x:c r="L949" s="11" t="str">
        <x:v>e920ead94a8e28f04e326664178b0c9f02d492b1 + productChanges / plansSha256 见 E01</x:v>
      </x:c>
      <x:c r="M949" s="11" t="str">
        <x:v>E01 / juicefs-upstream-run-4AqAs3</x:v>
      </x:c>
      <x:c r="N949" s="11" t="str">
        <x:v>上游原断言</x:v>
      </x:c>
    </x:row>
    <x:row r="950" ht="74" customHeight="1">
      <x:c r="A950" s="10" t="str">
        <x:v>SUBSET-20261015-onedrive-wb</x:v>
      </x:c>
      <x:c r="B950" s="10" t="str">
        <x:v>JFS-PY-08</x:v>
      </x:c>
      <x:c r="C950" s="10" t="str">
        <x:v>test_special_characters</x:v>
      </x:c>
      <x:c r="D950" s="10" t="str">
        <x:v>Python</x:v>
      </x:c>
      <x:c r="E950" s="10" t="str">
        <x:v>onedrive</x:v>
      </x:c>
      <x:c r="F950" s="10" t="str">
        <x:v>后台</x:v>
      </x:c>
      <x:c r="G950" s="19" t="d">
        <x:v>2026-10-15T00:00:00.000Z</x:v>
      </x:c>
      <x:c r="H950" s="10" t="str">
        <x:v>已通过</x:v>
      </x:c>
      <x:c r="I950" s="21"/>
      <x:c r="J950" s="10" t="str">
        <x:v>JuiceFS 1.3.0+30190ca / WinFsp 2.1.25156；测试工具 S01–S04</x:v>
      </x:c>
      <x:c r="K950" s="10" t="str">
        <x:v>JuiceFS Windows CI 子集；attr-cache=0；云端 get-timeout=5m</x:v>
      </x:c>
      <x:c r="L950" s="10" t="str">
        <x:v>e920ead94a8e28f04e326664178b0c9f02d492b1 + productChanges / plansSha256 见 E01</x:v>
      </x:c>
      <x:c r="M950" s="10" t="str">
        <x:v>E01 / juicefs-upstream-run-4AqAs3</x:v>
      </x:c>
      <x:c r="N950" s="10" t="str">
        <x:v>上游原断言</x:v>
      </x:c>
    </x:row>
    <x:row r="951" ht="74" customHeight="1">
      <x:c r="A951" s="11" t="str">
        <x:v>SUBSET-20261015-onedrive-wb</x:v>
      </x:c>
      <x:c r="B951" s="11" t="str">
        <x:v>JFS-PY-09</x:v>
      </x:c>
      <x:c r="C951" s="11" t="str">
        <x:v>test_symlinks</x:v>
      </x:c>
      <x:c r="D951" s="11" t="str">
        <x:v>Python</x:v>
      </x:c>
      <x:c r="E951" s="11" t="str">
        <x:v>onedrive</x:v>
      </x:c>
      <x:c r="F951" s="11" t="str">
        <x:v>后台</x:v>
      </x:c>
      <x:c r="G951" s="20" t="d">
        <x:v>2026-10-15T00:00:00.000Z</x:v>
      </x:c>
      <x:c r="H951" s="11" t="str">
        <x:v>已跳过</x:v>
      </x:c>
      <x:c r="I951" s="22"/>
      <x:c r="J951" s="11" t="str">
        <x:v>JuiceFS 1.3.0+30190ca / WinFsp 2.1.25156；测试工具 S01–S04</x:v>
      </x:c>
      <x:c r="K951" s="11" t="str">
        <x:v>JuiceFS Windows CI 子集；attr-cache=0；云端 get-timeout=5m</x:v>
      </x:c>
      <x:c r="L951" s="11" t="str">
        <x:v>e920ead94a8e28f04e326664178b0c9f02d492b1 + productChanges / plansSha256 见 E01</x:v>
      </x:c>
      <x:c r="M951" s="11" t="str">
        <x:v>E01 / juicefs-upstream-run-4AqAs3</x:v>
      </x:c>
      <x:c r="N951" s="11" t="str">
        <x:v>Windows Do not support</x:v>
      </x:c>
    </x:row>
    <x:row r="952" ht="74" customHeight="1">
      <x:c r="A952" s="10" t="str">
        <x:v>SUBSET-20261015-onedrive-wb</x:v>
      </x:c>
      <x:c r="B952" s="10" t="str">
        <x:v>WFP-01</x:v>
      </x:c>
      <x:c r="C952" s="10" t="str">
        <x:v>create_test</x:v>
      </x:c>
      <x:c r="D952" s="10" t="str">
        <x:v>WinFsp fork 默认子集</x:v>
      </x:c>
      <x:c r="E952" s="10" t="str">
        <x:v>onedrive</x:v>
      </x:c>
      <x:c r="F952" s="10" t="str">
        <x:v>后台</x:v>
      </x:c>
      <x:c r="G952" s="19" t="d">
        <x:v>2026-10-15T00:00:00.000Z</x:v>
      </x:c>
      <x:c r="H952" s="10" t="str">
        <x:v>已通过</x:v>
      </x:c>
      <x:c r="I952" s="21" t="n">
        <x:v>0.359</x:v>
      </x:c>
      <x:c r="J952" s="10" t="str">
        <x:v>JuiceFS 1.3.0+30190ca / WinFsp 2.1.25156；测试工具 S01–S04</x:v>
      </x:c>
      <x:c r="K952" s="10" t="str">
        <x:v>JuiceFS Windows CI 子集；attr-cache=0；云端 get-timeout=5m</x:v>
      </x:c>
      <x:c r="L952" s="10" t="str">
        <x:v>e920ead94a8e28f04e326664178b0c9f02d492b1 + productChanges / plansSha256 见 E01</x:v>
      </x:c>
      <x:c r="M952" s="10" t="str">
        <x:v>E01 / juicefs-upstream-run-4AqAs3</x:v>
      </x:c>
      <x:c r="N952" s="10" t="str">
        <x:v>--fuse-external --resilient --case-insensitive-cmp</x:v>
      </x:c>
    </x:row>
    <x:row r="953" ht="74" customHeight="1">
      <x:c r="A953" s="11" t="str">
        <x:v>SUBSET-20261015-onedrive-wb</x:v>
      </x:c>
      <x:c r="B953" s="11" t="str">
        <x:v>WFP-02</x:v>
      </x:c>
      <x:c r="C953" s="11" t="str">
        <x:v>create_fileattr_test</x:v>
      </x:c>
      <x:c r="D953" s="11" t="str">
        <x:v>WinFsp fork 默认子集</x:v>
      </x:c>
      <x:c r="E953" s="11" t="str">
        <x:v>onedrive</x:v>
      </x:c>
      <x:c r="F953" s="11" t="str">
        <x:v>后台</x:v>
      </x:c>
      <x:c r="G953" s="20" t="d">
        <x:v>2026-10-15T00:00:00.000Z</x:v>
      </x:c>
      <x:c r="H953" s="11" t="str">
        <x:v>已通过</x:v>
      </x:c>
      <x:c r="I953" s="22" t="n">
        <x:v>0.375</x:v>
      </x:c>
      <x:c r="J953" s="11" t="str">
        <x:v>JuiceFS 1.3.0+30190ca / WinFsp 2.1.25156；测试工具 S01–S04</x:v>
      </x:c>
      <x:c r="K953" s="11" t="str">
        <x:v>JuiceFS Windows CI 子集；attr-cache=0；云端 get-timeout=5m</x:v>
      </x:c>
      <x:c r="L953" s="11" t="str">
        <x:v>e920ead94a8e28f04e326664178b0c9f02d492b1 + productChanges / plansSha256 见 E01</x:v>
      </x:c>
      <x:c r="M953" s="11" t="str">
        <x:v>E01 / juicefs-upstream-run-4AqAs3</x:v>
      </x:c>
      <x:c r="N953" s="11" t="str">
        <x:v>--fuse-external --resilient --case-insensitive-cmp</x:v>
      </x:c>
    </x:row>
    <x:row r="954" ht="74" customHeight="1">
      <x:c r="A954" s="10" t="str">
        <x:v>SUBSET-20261015-onedrive-wb</x:v>
      </x:c>
      <x:c r="B954" s="10" t="str">
        <x:v>WFP-03</x:v>
      </x:c>
      <x:c r="C954" s="10" t="str">
        <x:v>create_readonlydir_test</x:v>
      </x:c>
      <x:c r="D954" s="10" t="str">
        <x:v>WinFsp fork 默认子集</x:v>
      </x:c>
      <x:c r="E954" s="10" t="str">
        <x:v>onedrive</x:v>
      </x:c>
      <x:c r="F954" s="10" t="str">
        <x:v>后台</x:v>
      </x:c>
      <x:c r="G954" s="19" t="d">
        <x:v>2026-10-15T00:00:00.000Z</x:v>
      </x:c>
      <x:c r="H954" s="10" t="str">
        <x:v>已通过</x:v>
      </x:c>
      <x:c r="I954" s="21" t="n">
        <x:v>0.316</x:v>
      </x:c>
      <x:c r="J954" s="10" t="str">
        <x:v>JuiceFS 1.3.0+30190ca / WinFsp 2.1.25156；测试工具 S01–S04</x:v>
      </x:c>
      <x:c r="K954" s="10" t="str">
        <x:v>JuiceFS Windows CI 子集；attr-cache=0；云端 get-timeout=5m</x:v>
      </x:c>
      <x:c r="L954" s="10" t="str">
        <x:v>e920ead94a8e28f04e326664178b0c9f02d492b1 + productChanges / plansSha256 见 E01</x:v>
      </x:c>
      <x:c r="M954" s="10" t="str">
        <x:v>E01 / juicefs-upstream-run-4AqAs3</x:v>
      </x:c>
      <x:c r="N954" s="10" t="str">
        <x:v>--fuse-external --resilient --case-insensitive-cmp</x:v>
      </x:c>
    </x:row>
    <x:row r="955" ht="74" customHeight="1">
      <x:c r="A955" s="11" t="str">
        <x:v>SUBSET-20261015-onedrive-wb</x:v>
      </x:c>
      <x:c r="B955" s="11" t="str">
        <x:v>WFP-04</x:v>
      </x:c>
      <x:c r="C955" s="11" t="str">
        <x:v>create_related_test</x:v>
      </x:c>
      <x:c r="D955" s="11" t="str">
        <x:v>WinFsp fork 默认子集</x:v>
      </x:c>
      <x:c r="E955" s="11" t="str">
        <x:v>onedrive</x:v>
      </x:c>
      <x:c r="F955" s="11" t="str">
        <x:v>后台</x:v>
      </x:c>
      <x:c r="G955" s="20" t="d">
        <x:v>2026-10-15T00:00:00.000Z</x:v>
      </x:c>
      <x:c r="H955" s="11" t="str">
        <x:v>已通过</x:v>
      </x:c>
      <x:c r="I955" s="22" t="n">
        <x:v>0.323</x:v>
      </x:c>
      <x:c r="J955" s="11" t="str">
        <x:v>JuiceFS 1.3.0+30190ca / WinFsp 2.1.25156；测试工具 S01–S04</x:v>
      </x:c>
      <x:c r="K955" s="11" t="str">
        <x:v>JuiceFS Windows CI 子集；attr-cache=0；云端 get-timeout=5m</x:v>
      </x:c>
      <x:c r="L955" s="11" t="str">
        <x:v>e920ead94a8e28f04e326664178b0c9f02d492b1 + productChanges / plansSha256 见 E01</x:v>
      </x:c>
      <x:c r="M955" s="11" t="str">
        <x:v>E01 / juicefs-upstream-run-4AqAs3</x:v>
      </x:c>
      <x:c r="N955" s="11" t="str">
        <x:v>--fuse-external --resilient --case-insensitive-cmp</x:v>
      </x:c>
    </x:row>
    <x:row r="956" ht="74" customHeight="1">
      <x:c r="A956" s="10" t="str">
        <x:v>SUBSET-20261015-onedrive-wb</x:v>
      </x:c>
      <x:c r="B956" s="10" t="str">
        <x:v>WFP-05</x:v>
      </x:c>
      <x:c r="C956" s="10" t="str">
        <x:v>create_sd_test</x:v>
      </x:c>
      <x:c r="D956" s="10" t="str">
        <x:v>WinFsp fork 默认子集</x:v>
      </x:c>
      <x:c r="E956" s="10" t="str">
        <x:v>onedrive</x:v>
      </x:c>
      <x:c r="F956" s="10" t="str">
        <x:v>后台</x:v>
      </x:c>
      <x:c r="G956" s="19" t="d">
        <x:v>2026-10-15T00:00:00.000Z</x:v>
      </x:c>
      <x:c r="H956" s="10" t="str">
        <x:v>已通过</x:v>
      </x:c>
      <x:c r="I956" s="21" t="n">
        <x:v>0.365</x:v>
      </x:c>
      <x:c r="J956" s="10" t="str">
        <x:v>JuiceFS 1.3.0+30190ca / WinFsp 2.1.25156；测试工具 S01–S04</x:v>
      </x:c>
      <x:c r="K956" s="10" t="str">
        <x:v>JuiceFS Windows CI 子集；attr-cache=0；云端 get-timeout=5m</x:v>
      </x:c>
      <x:c r="L956" s="10" t="str">
        <x:v>e920ead94a8e28f04e326664178b0c9f02d492b1 + productChanges / plansSha256 见 E01</x:v>
      </x:c>
      <x:c r="M956" s="10" t="str">
        <x:v>E01 / juicefs-upstream-run-4AqAs3</x:v>
      </x:c>
      <x:c r="N956" s="10" t="str">
        <x:v>--fuse-external --resilient --case-insensitive-cmp</x:v>
      </x:c>
    </x:row>
    <x:row r="957" ht="74" customHeight="1">
      <x:c r="A957" s="11" t="str">
        <x:v>SUBSET-20261015-onedrive-wb</x:v>
      </x:c>
      <x:c r="B957" s="11" t="str">
        <x:v>WFP-06</x:v>
      </x:c>
      <x:c r="C957" s="11" t="str">
        <x:v>create_share_test</x:v>
      </x:c>
      <x:c r="D957" s="11" t="str">
        <x:v>WinFsp fork 默认子集</x:v>
      </x:c>
      <x:c r="E957" s="11" t="str">
        <x:v>onedrive</x:v>
      </x:c>
      <x:c r="F957" s="11" t="str">
        <x:v>后台</x:v>
      </x:c>
      <x:c r="G957" s="20" t="d">
        <x:v>2026-10-15T00:00:00.000Z</x:v>
      </x:c>
      <x:c r="H957" s="11" t="str">
        <x:v>已通过</x:v>
      </x:c>
      <x:c r="I957" s="22" t="n">
        <x:v>0.321</x:v>
      </x:c>
      <x:c r="J957" s="11" t="str">
        <x:v>JuiceFS 1.3.0+30190ca / WinFsp 2.1.25156；测试工具 S01–S04</x:v>
      </x:c>
      <x:c r="K957" s="11" t="str">
        <x:v>JuiceFS Windows CI 子集；attr-cache=0；云端 get-timeout=5m</x:v>
      </x:c>
      <x:c r="L957" s="11" t="str">
        <x:v>e920ead94a8e28f04e326664178b0c9f02d492b1 + productChanges / plansSha256 见 E01</x:v>
      </x:c>
      <x:c r="M957" s="11" t="str">
        <x:v>E01 / juicefs-upstream-run-4AqAs3</x:v>
      </x:c>
      <x:c r="N957" s="11" t="str">
        <x:v>--fuse-external --resilient --case-insensitive-cmp</x:v>
      </x:c>
    </x:row>
    <x:row r="958" ht="74" customHeight="1">
      <x:c r="A958" s="10" t="str">
        <x:v>SUBSET-20261015-onedrive-wb</x:v>
      </x:c>
      <x:c r="B958" s="10" t="str">
        <x:v>WFP-07</x:v>
      </x:c>
      <x:c r="C958" s="10" t="str">
        <x:v>create_curdir_test</x:v>
      </x:c>
      <x:c r="D958" s="10" t="str">
        <x:v>WinFsp fork 默认子集</x:v>
      </x:c>
      <x:c r="E958" s="10" t="str">
        <x:v>onedrive</x:v>
      </x:c>
      <x:c r="F958" s="10" t="str">
        <x:v>后台</x:v>
      </x:c>
      <x:c r="G958" s="19" t="d">
        <x:v>2026-10-15T00:00:00.000Z</x:v>
      </x:c>
      <x:c r="H958" s="10" t="str">
        <x:v>已通过</x:v>
      </x:c>
      <x:c r="I958" s="21" t="n">
        <x:v>0.303</x:v>
      </x:c>
      <x:c r="J958" s="10" t="str">
        <x:v>JuiceFS 1.3.0+30190ca / WinFsp 2.1.25156；测试工具 S01–S04</x:v>
      </x:c>
      <x:c r="K958" s="10" t="str">
        <x:v>JuiceFS Windows CI 子集；attr-cache=0；云端 get-timeout=5m</x:v>
      </x:c>
      <x:c r="L958" s="10" t="str">
        <x:v>e920ead94a8e28f04e326664178b0c9f02d492b1 + productChanges / plansSha256 见 E01</x:v>
      </x:c>
      <x:c r="M958" s="10" t="str">
        <x:v>E01 / juicefs-upstream-run-4AqAs3</x:v>
      </x:c>
      <x:c r="N958" s="10" t="str">
        <x:v>--fuse-external --resilient --case-insensitive-cmp</x:v>
      </x:c>
    </x:row>
    <x:row r="959" ht="74" customHeight="1">
      <x:c r="A959" s="11" t="str">
        <x:v>SUBSET-20261015-onedrive-wb</x:v>
      </x:c>
      <x:c r="B959" s="11" t="str">
        <x:v>WFP-08</x:v>
      </x:c>
      <x:c r="C959" s="11" t="str">
        <x:v>getfileinfo_test</x:v>
      </x:c>
      <x:c r="D959" s="11" t="str">
        <x:v>WinFsp fork 默认子集</x:v>
      </x:c>
      <x:c r="E959" s="11" t="str">
        <x:v>onedrive</x:v>
      </x:c>
      <x:c r="F959" s="11" t="str">
        <x:v>后台</x:v>
      </x:c>
      <x:c r="G959" s="20" t="d">
        <x:v>2026-10-15T00:00:00.000Z</x:v>
      </x:c>
      <x:c r="H959" s="11" t="str">
        <x:v>已通过</x:v>
      </x:c>
      <x:c r="I959" s="22" t="n">
        <x:v>0.308</x:v>
      </x:c>
      <x:c r="J959" s="11" t="str">
        <x:v>JuiceFS 1.3.0+30190ca / WinFsp 2.1.25156；测试工具 S01–S04</x:v>
      </x:c>
      <x:c r="K959" s="11" t="str">
        <x:v>JuiceFS Windows CI 子集；attr-cache=0；云端 get-timeout=5m</x:v>
      </x:c>
      <x:c r="L959" s="11" t="str">
        <x:v>e920ead94a8e28f04e326664178b0c9f02d492b1 + productChanges / plansSha256 见 E01</x:v>
      </x:c>
      <x:c r="M959" s="11" t="str">
        <x:v>E01 / juicefs-upstream-run-4AqAs3</x:v>
      </x:c>
      <x:c r="N959" s="11" t="str">
        <x:v>--fuse-external --resilient --case-insensitive-cmp</x:v>
      </x:c>
    </x:row>
    <x:row r="960" ht="74" customHeight="1">
      <x:c r="A960" s="10" t="str">
        <x:v>SUBSET-20261015-onedrive-wb</x:v>
      </x:c>
      <x:c r="B960" s="10" t="str">
        <x:v>WFP-09</x:v>
      </x:c>
      <x:c r="C960" s="10" t="str">
        <x:v>setfileinfo_test</x:v>
      </x:c>
      <x:c r="D960" s="10" t="str">
        <x:v>WinFsp fork 默认子集</x:v>
      </x:c>
      <x:c r="E960" s="10" t="str">
        <x:v>onedrive</x:v>
      </x:c>
      <x:c r="F960" s="10" t="str">
        <x:v>后台</x:v>
      </x:c>
      <x:c r="G960" s="19" t="d">
        <x:v>2026-10-15T00:00:00.000Z</x:v>
      </x:c>
      <x:c r="H960" s="10" t="str">
        <x:v>已通过</x:v>
      </x:c>
      <x:c r="I960" s="21" t="n">
        <x:v>0.337</x:v>
      </x:c>
      <x:c r="J960" s="10" t="str">
        <x:v>JuiceFS 1.3.0+30190ca / WinFsp 2.1.25156；测试工具 S01–S04</x:v>
      </x:c>
      <x:c r="K960" s="10" t="str">
        <x:v>JuiceFS Windows CI 子集；attr-cache=0；云端 get-timeout=5m</x:v>
      </x:c>
      <x:c r="L960" s="10" t="str">
        <x:v>e920ead94a8e28f04e326664178b0c9f02d492b1 + productChanges / plansSha256 见 E01</x:v>
      </x:c>
      <x:c r="M960" s="10" t="str">
        <x:v>E01 / juicefs-upstream-run-4AqAs3</x:v>
      </x:c>
      <x:c r="N960" s="10" t="str">
        <x:v>--fuse-external --resilient --case-insensitive-cmp</x:v>
      </x:c>
    </x:row>
    <x:row r="961" ht="74" customHeight="1">
      <x:c r="A961" s="11" t="str">
        <x:v>SUBSET-20261015-onedrive-wb</x:v>
      </x:c>
      <x:c r="B961" s="11" t="str">
        <x:v>WFP-10</x:v>
      </x:c>
      <x:c r="C961" s="11" t="str">
        <x:v>delete_test</x:v>
      </x:c>
      <x:c r="D961" s="11" t="str">
        <x:v>WinFsp fork 默认子集</x:v>
      </x:c>
      <x:c r="E961" s="11" t="str">
        <x:v>onedrive</x:v>
      </x:c>
      <x:c r="F961" s="11" t="str">
        <x:v>后台</x:v>
      </x:c>
      <x:c r="G961" s="20" t="d">
        <x:v>2026-10-15T00:00:00.000Z</x:v>
      </x:c>
      <x:c r="H961" s="11" t="str">
        <x:v>已通过</x:v>
      </x:c>
      <x:c r="I961" s="22" t="n">
        <x:v>0.305</x:v>
      </x:c>
      <x:c r="J961" s="11" t="str">
        <x:v>JuiceFS 1.3.0+30190ca / WinFsp 2.1.25156；测试工具 S01–S04</x:v>
      </x:c>
      <x:c r="K961" s="11" t="str">
        <x:v>JuiceFS Windows CI 子集；attr-cache=0；云端 get-timeout=5m</x:v>
      </x:c>
      <x:c r="L961" s="11" t="str">
        <x:v>e920ead94a8e28f04e326664178b0c9f02d492b1 + productChanges / plansSha256 见 E01</x:v>
      </x:c>
      <x:c r="M961" s="11" t="str">
        <x:v>E01 / juicefs-upstream-run-4AqAs3</x:v>
      </x:c>
      <x:c r="N961" s="11" t="str">
        <x:v>--fuse-external --resilient --case-insensitive-cmp</x:v>
      </x:c>
    </x:row>
    <x:row r="962" ht="74" customHeight="1">
      <x:c r="A962" s="10" t="str">
        <x:v>SUBSET-20261015-onedrive-wb</x:v>
      </x:c>
      <x:c r="B962" s="10" t="str">
        <x:v>WFP-11</x:v>
      </x:c>
      <x:c r="C962" s="10" t="str">
        <x:v>delete_access_test</x:v>
      </x:c>
      <x:c r="D962" s="10" t="str">
        <x:v>WinFsp fork 默认子集</x:v>
      </x:c>
      <x:c r="E962" s="10" t="str">
        <x:v>onedrive</x:v>
      </x:c>
      <x:c r="F962" s="10" t="str">
        <x:v>后台</x:v>
      </x:c>
      <x:c r="G962" s="19" t="d">
        <x:v>2026-10-15T00:00:00.000Z</x:v>
      </x:c>
      <x:c r="H962" s="10" t="str">
        <x:v>已通过</x:v>
      </x:c>
      <x:c r="I962" s="21" t="n">
        <x:v>0.321</x:v>
      </x:c>
      <x:c r="J962" s="10" t="str">
        <x:v>JuiceFS 1.3.0+30190ca / WinFsp 2.1.25156；测试工具 S01–S04</x:v>
      </x:c>
      <x:c r="K962" s="10" t="str">
        <x:v>JuiceFS Windows CI 子集；attr-cache=0；云端 get-timeout=5m</x:v>
      </x:c>
      <x:c r="L962" s="10" t="str">
        <x:v>e920ead94a8e28f04e326664178b0c9f02d492b1 + productChanges / plansSha256 见 E01</x:v>
      </x:c>
      <x:c r="M962" s="10" t="str">
        <x:v>E01 / juicefs-upstream-run-4AqAs3</x:v>
      </x:c>
      <x:c r="N962" s="10" t="str">
        <x:v>--fuse-external --resilient --case-insensitive-cmp</x:v>
      </x:c>
    </x:row>
    <x:row r="963" ht="74" customHeight="1">
      <x:c r="A963" s="11" t="str">
        <x:v>SUBSET-20261015-onedrive-wb</x:v>
      </x:c>
      <x:c r="B963" s="11" t="str">
        <x:v>WFP-12</x:v>
      </x:c>
      <x:c r="C963" s="11" t="str">
        <x:v>delete_pending_test</x:v>
      </x:c>
      <x:c r="D963" s="11" t="str">
        <x:v>WinFsp fork 默认子集</x:v>
      </x:c>
      <x:c r="E963" s="11" t="str">
        <x:v>onedrive</x:v>
      </x:c>
      <x:c r="F963" s="11" t="str">
        <x:v>后台</x:v>
      </x:c>
      <x:c r="G963" s="20" t="d">
        <x:v>2026-10-15T00:00:00.000Z</x:v>
      </x:c>
      <x:c r="H963" s="11" t="str">
        <x:v>已通过</x:v>
      </x:c>
      <x:c r="I963" s="22" t="n">
        <x:v>0.297</x:v>
      </x:c>
      <x:c r="J963" s="11" t="str">
        <x:v>JuiceFS 1.3.0+30190ca / WinFsp 2.1.25156；测试工具 S01–S04</x:v>
      </x:c>
      <x:c r="K963" s="11" t="str">
        <x:v>JuiceFS Windows CI 子集；attr-cache=0；云端 get-timeout=5m</x:v>
      </x:c>
      <x:c r="L963" s="11" t="str">
        <x:v>e920ead94a8e28f04e326664178b0c9f02d492b1 + productChanges / plansSha256 见 E01</x:v>
      </x:c>
      <x:c r="M963" s="11" t="str">
        <x:v>E01 / juicefs-upstream-run-4AqAs3</x:v>
      </x:c>
      <x:c r="N963" s="11" t="str">
        <x:v>--fuse-external --resilient --case-insensitive-cmp</x:v>
      </x:c>
    </x:row>
    <x:row r="964" ht="74" customHeight="1">
      <x:c r="A964" s="10" t="str">
        <x:v>SUBSET-20261015-onedrive-wb</x:v>
      </x:c>
      <x:c r="B964" s="10" t="str">
        <x:v>WFP-13</x:v>
      </x:c>
      <x:c r="C964" s="10" t="str">
        <x:v>delete_mmap_test</x:v>
      </x:c>
      <x:c r="D964" s="10" t="str">
        <x:v>WinFsp fork 默认子集</x:v>
      </x:c>
      <x:c r="E964" s="10" t="str">
        <x:v>onedrive</x:v>
      </x:c>
      <x:c r="F964" s="10" t="str">
        <x:v>后台</x:v>
      </x:c>
      <x:c r="G964" s="19" t="d">
        <x:v>2026-10-15T00:00:00.000Z</x:v>
      </x:c>
      <x:c r="H964" s="10" t="str">
        <x:v>已通过</x:v>
      </x:c>
      <x:c r="I964" s="21" t="n">
        <x:v>0.32</x:v>
      </x:c>
      <x:c r="J964" s="10" t="str">
        <x:v>JuiceFS 1.3.0+30190ca / WinFsp 2.1.25156；测试工具 S01–S04</x:v>
      </x:c>
      <x:c r="K964" s="10" t="str">
        <x:v>JuiceFS Windows CI 子集；attr-cache=0；云端 get-timeout=5m</x:v>
      </x:c>
      <x:c r="L964" s="10" t="str">
        <x:v>e920ead94a8e28f04e326664178b0c9f02d492b1 + productChanges / plansSha256 见 E01</x:v>
      </x:c>
      <x:c r="M964" s="10" t="str">
        <x:v>E01 / juicefs-upstream-run-4AqAs3</x:v>
      </x:c>
      <x:c r="N964" s="10" t="str">
        <x:v>--fuse-external --resilient --case-insensitive-cmp</x:v>
      </x:c>
    </x:row>
    <x:row r="965" ht="74" customHeight="1">
      <x:c r="A965" s="11" t="str">
        <x:v>SUBSET-20261015-onedrive-wb</x:v>
      </x:c>
      <x:c r="B965" s="11" t="str">
        <x:v>WFP-14</x:v>
      </x:c>
      <x:c r="C965" s="11" t="str">
        <x:v>delete_standby_test</x:v>
      </x:c>
      <x:c r="D965" s="11" t="str">
        <x:v>WinFsp fork 默认子集</x:v>
      </x:c>
      <x:c r="E965" s="11" t="str">
        <x:v>onedrive</x:v>
      </x:c>
      <x:c r="F965" s="11" t="str">
        <x:v>后台</x:v>
      </x:c>
      <x:c r="G965" s="20" t="d">
        <x:v>2026-10-15T00:00:00.000Z</x:v>
      </x:c>
      <x:c r="H965" s="11" t="str">
        <x:v>已通过</x:v>
      </x:c>
      <x:c r="I965" s="22" t="n">
        <x:v>0.383</x:v>
      </x:c>
      <x:c r="J965" s="11" t="str">
        <x:v>JuiceFS 1.3.0+30190ca / WinFsp 2.1.25156；测试工具 S01–S04</x:v>
      </x:c>
      <x:c r="K965" s="11" t="str">
        <x:v>JuiceFS Windows CI 子集；attr-cache=0；云端 get-timeout=5m</x:v>
      </x:c>
      <x:c r="L965" s="11" t="str">
        <x:v>e920ead94a8e28f04e326664178b0c9f02d492b1 + productChanges / plansSha256 见 E01</x:v>
      </x:c>
      <x:c r="M965" s="11" t="str">
        <x:v>E01 / juicefs-upstream-run-4AqAs3</x:v>
      </x:c>
      <x:c r="N965" s="11" t="str">
        <x:v>--fuse-external --resilient --case-insensitive-cmp</x:v>
      </x:c>
    </x:row>
    <x:row r="966" ht="74" customHeight="1">
      <x:c r="A966" s="10" t="str">
        <x:v>SUBSET-20261015-onedrive-wb</x:v>
      </x:c>
      <x:c r="B966" s="10" t="str">
        <x:v>WFP-15</x:v>
      </x:c>
      <x:c r="C966" s="10" t="str">
        <x:v>delete_ex_test</x:v>
      </x:c>
      <x:c r="D966" s="10" t="str">
        <x:v>WinFsp fork 默认子集</x:v>
      </x:c>
      <x:c r="E966" s="10" t="str">
        <x:v>onedrive</x:v>
      </x:c>
      <x:c r="F966" s="10" t="str">
        <x:v>后台</x:v>
      </x:c>
      <x:c r="G966" s="19" t="d">
        <x:v>2026-10-15T00:00:00.000Z</x:v>
      </x:c>
      <x:c r="H966" s="10" t="str">
        <x:v>已通过</x:v>
      </x:c>
      <x:c r="I966" s="21" t="n">
        <x:v>0.305</x:v>
      </x:c>
      <x:c r="J966" s="10" t="str">
        <x:v>JuiceFS 1.3.0+30190ca / WinFsp 2.1.25156；测试工具 S01–S04</x:v>
      </x:c>
      <x:c r="K966" s="10" t="str">
        <x:v>JuiceFS Windows CI 子集；attr-cache=0；云端 get-timeout=5m</x:v>
      </x:c>
      <x:c r="L966" s="10" t="str">
        <x:v>e920ead94a8e28f04e326664178b0c9f02d492b1 + productChanges / plansSha256 见 E01</x:v>
      </x:c>
      <x:c r="M966" s="10" t="str">
        <x:v>E01 / juicefs-upstream-run-4AqAs3</x:v>
      </x:c>
      <x:c r="N966" s="10" t="str">
        <x:v>--fuse-external --resilient --case-insensitive-cmp</x:v>
      </x:c>
    </x:row>
    <x:row r="967" ht="74" customHeight="1">
      <x:c r="A967" s="11" t="str">
        <x:v>SUBSET-20261015-onedrive-wb</x:v>
      </x:c>
      <x:c r="B967" s="11" t="str">
        <x:v>WFP-16</x:v>
      </x:c>
      <x:c r="C967" s="11" t="str">
        <x:v>rename_test</x:v>
      </x:c>
      <x:c r="D967" s="11" t="str">
        <x:v>WinFsp fork 默认子集</x:v>
      </x:c>
      <x:c r="E967" s="11" t="str">
        <x:v>onedrive</x:v>
      </x:c>
      <x:c r="F967" s="11" t="str">
        <x:v>后台</x:v>
      </x:c>
      <x:c r="G967" s="20" t="d">
        <x:v>2026-10-15T00:00:00.000Z</x:v>
      </x:c>
      <x:c r="H967" s="11" t="str">
        <x:v>已通过</x:v>
      </x:c>
      <x:c r="I967" s="22" t="n">
        <x:v>0.358</x:v>
      </x:c>
      <x:c r="J967" s="11" t="str">
        <x:v>JuiceFS 1.3.0+30190ca / WinFsp 2.1.25156；测试工具 S01–S04</x:v>
      </x:c>
      <x:c r="K967" s="11" t="str">
        <x:v>JuiceFS Windows CI 子集；attr-cache=0；云端 get-timeout=5m</x:v>
      </x:c>
      <x:c r="L967" s="11" t="str">
        <x:v>e920ead94a8e28f04e326664178b0c9f02d492b1 + productChanges / plansSha256 见 E01</x:v>
      </x:c>
      <x:c r="M967" s="11" t="str">
        <x:v>E01 / juicefs-upstream-run-4AqAs3</x:v>
      </x:c>
      <x:c r="N967" s="11" t="str">
        <x:v>--fuse-external --resilient --case-insensitive-cmp</x:v>
      </x:c>
    </x:row>
    <x:row r="968" ht="74" customHeight="1">
      <x:c r="A968" s="10" t="str">
        <x:v>SUBSET-20261015-onedrive-wb</x:v>
      </x:c>
      <x:c r="B968" s="10" t="str">
        <x:v>WFP-17</x:v>
      </x:c>
      <x:c r="C968" s="10" t="str">
        <x:v>rename_backslash_test</x:v>
      </x:c>
      <x:c r="D968" s="10" t="str">
        <x:v>WinFsp fork 默认子集</x:v>
      </x:c>
      <x:c r="E968" s="10" t="str">
        <x:v>onedrive</x:v>
      </x:c>
      <x:c r="F968" s="10" t="str">
        <x:v>后台</x:v>
      </x:c>
      <x:c r="G968" s="19" t="d">
        <x:v>2026-10-15T00:00:00.000Z</x:v>
      </x:c>
      <x:c r="H968" s="10" t="str">
        <x:v>已通过</x:v>
      </x:c>
      <x:c r="I968" s="21" t="n">
        <x:v>0.316</x:v>
      </x:c>
      <x:c r="J968" s="10" t="str">
        <x:v>JuiceFS 1.3.0+30190ca / WinFsp 2.1.25156；测试工具 S01–S04</x:v>
      </x:c>
      <x:c r="K968" s="10" t="str">
        <x:v>JuiceFS Windows CI 子集；attr-cache=0；云端 get-timeout=5m</x:v>
      </x:c>
      <x:c r="L968" s="10" t="str">
        <x:v>e920ead94a8e28f04e326664178b0c9f02d492b1 + productChanges / plansSha256 见 E01</x:v>
      </x:c>
      <x:c r="M968" s="10" t="str">
        <x:v>E01 / juicefs-upstream-run-4AqAs3</x:v>
      </x:c>
      <x:c r="N968" s="10" t="str">
        <x:v>--fuse-external --resilient --case-insensitive-cmp</x:v>
      </x:c>
    </x:row>
    <x:row r="969" ht="74" customHeight="1">
      <x:c r="A969" s="11" t="str">
        <x:v>SUBSET-20261015-onedrive-wb</x:v>
      </x:c>
      <x:c r="B969" s="11" t="str">
        <x:v>WFP-18</x:v>
      </x:c>
      <x:c r="C969" s="11" t="str">
        <x:v>rename_open_test</x:v>
      </x:c>
      <x:c r="D969" s="11" t="str">
        <x:v>WinFsp fork 默认子集</x:v>
      </x:c>
      <x:c r="E969" s="11" t="str">
        <x:v>onedrive</x:v>
      </x:c>
      <x:c r="F969" s="11" t="str">
        <x:v>后台</x:v>
      </x:c>
      <x:c r="G969" s="20" t="d">
        <x:v>2026-10-15T00:00:00.000Z</x:v>
      </x:c>
      <x:c r="H969" s="11" t="str">
        <x:v>已通过</x:v>
      </x:c>
      <x:c r="I969" s="22" t="n">
        <x:v>0.313</x:v>
      </x:c>
      <x:c r="J969" s="11" t="str">
        <x:v>JuiceFS 1.3.0+30190ca / WinFsp 2.1.25156；测试工具 S01–S04</x:v>
      </x:c>
      <x:c r="K969" s="11" t="str">
        <x:v>JuiceFS Windows CI 子集；attr-cache=0；云端 get-timeout=5m</x:v>
      </x:c>
      <x:c r="L969" s="11" t="str">
        <x:v>e920ead94a8e28f04e326664178b0c9f02d492b1 + productChanges / plansSha256 见 E01</x:v>
      </x:c>
      <x:c r="M969" s="11" t="str">
        <x:v>E01 / juicefs-upstream-run-4AqAs3</x:v>
      </x:c>
      <x:c r="N969" s="11" t="str">
        <x:v>--fuse-external --resilient --case-insensitive-cmp</x:v>
      </x:c>
    </x:row>
    <x:row r="970" ht="74" customHeight="1">
      <x:c r="A970" s="10" t="str">
        <x:v>SUBSET-20261015-onedrive-wb</x:v>
      </x:c>
      <x:c r="B970" s="10" t="str">
        <x:v>WFP-19</x:v>
      </x:c>
      <x:c r="C970" s="10" t="str">
        <x:v>rename_caseins_test</x:v>
      </x:c>
      <x:c r="D970" s="10" t="str">
        <x:v>WinFsp fork 默认子集</x:v>
      </x:c>
      <x:c r="E970" s="10" t="str">
        <x:v>onedrive</x:v>
      </x:c>
      <x:c r="F970" s="10" t="str">
        <x:v>后台</x:v>
      </x:c>
      <x:c r="G970" s="19" t="d">
        <x:v>2026-10-15T00:00:00.000Z</x:v>
      </x:c>
      <x:c r="H970" s="10" t="str">
        <x:v>已通过</x:v>
      </x:c>
      <x:c r="I970" s="21" t="n">
        <x:v>0.325</x:v>
      </x:c>
      <x:c r="J970" s="10" t="str">
        <x:v>JuiceFS 1.3.0+30190ca / WinFsp 2.1.25156；测试工具 S01–S04</x:v>
      </x:c>
      <x:c r="K970" s="10" t="str">
        <x:v>JuiceFS Windows CI 子集；attr-cache=0；云端 get-timeout=5m</x:v>
      </x:c>
      <x:c r="L970" s="10" t="str">
        <x:v>e920ead94a8e28f04e326664178b0c9f02d492b1 + productChanges / plansSha256 见 E01</x:v>
      </x:c>
      <x:c r="M970" s="10" t="str">
        <x:v>E01 / juicefs-upstream-run-4AqAs3</x:v>
      </x:c>
      <x:c r="N970" s="10" t="str">
        <x:v>--fuse-external --resilient --case-insensitive-cmp</x:v>
      </x:c>
    </x:row>
    <x:row r="971" ht="74" customHeight="1">
      <x:c r="A971" s="11" t="str">
        <x:v>SUBSET-20261015-onedrive-wb</x:v>
      </x:c>
      <x:c r="B971" s="11" t="str">
        <x:v>WFP-20</x:v>
      </x:c>
      <x:c r="C971" s="11" t="str">
        <x:v>rename_flipflop_test</x:v>
      </x:c>
      <x:c r="D971" s="11" t="str">
        <x:v>WinFsp fork 默认子集</x:v>
      </x:c>
      <x:c r="E971" s="11" t="str">
        <x:v>onedrive</x:v>
      </x:c>
      <x:c r="F971" s="11" t="str">
        <x:v>后台</x:v>
      </x:c>
      <x:c r="G971" s="20" t="d">
        <x:v>2026-10-15T00:00:00.000Z</x:v>
      </x:c>
      <x:c r="H971" s="11" t="str">
        <x:v>已通过</x:v>
      </x:c>
      <x:c r="I971" s="22" t="n">
        <x:v>0.301</x:v>
      </x:c>
      <x:c r="J971" s="11" t="str">
        <x:v>JuiceFS 1.3.0+30190ca / WinFsp 2.1.25156；测试工具 S01–S04</x:v>
      </x:c>
      <x:c r="K971" s="11" t="str">
        <x:v>JuiceFS Windows CI 子集；attr-cache=0；云端 get-timeout=5m</x:v>
      </x:c>
      <x:c r="L971" s="11" t="str">
        <x:v>e920ead94a8e28f04e326664178b0c9f02d492b1 + productChanges / plansSha256 见 E01</x:v>
      </x:c>
      <x:c r="M971" s="11" t="str">
        <x:v>E01 / juicefs-upstream-run-4AqAs3</x:v>
      </x:c>
      <x:c r="N971" s="11" t="str">
        <x:v>--fuse-external --resilient --case-insensitive-cmp</x:v>
      </x:c>
    </x:row>
    <x:row r="972" ht="74" customHeight="1">
      <x:c r="A972" s="10" t="str">
        <x:v>SUBSET-20261015-onedrive-wb</x:v>
      </x:c>
      <x:c r="B972" s="10" t="str">
        <x:v>WFP-21</x:v>
      </x:c>
      <x:c r="C972" s="10" t="str">
        <x:v>rename_mmap_test</x:v>
      </x:c>
      <x:c r="D972" s="10" t="str">
        <x:v>WinFsp fork 默认子集</x:v>
      </x:c>
      <x:c r="E972" s="10" t="str">
        <x:v>onedrive</x:v>
      </x:c>
      <x:c r="F972" s="10" t="str">
        <x:v>后台</x:v>
      </x:c>
      <x:c r="G972" s="19" t="d">
        <x:v>2026-10-15T00:00:00.000Z</x:v>
      </x:c>
      <x:c r="H972" s="10" t="str">
        <x:v>已通过</x:v>
      </x:c>
      <x:c r="I972" s="21" t="n">
        <x:v>0.325</x:v>
      </x:c>
      <x:c r="J972" s="10" t="str">
        <x:v>JuiceFS 1.3.0+30190ca / WinFsp 2.1.25156；测试工具 S01–S04</x:v>
      </x:c>
      <x:c r="K972" s="10" t="str">
        <x:v>JuiceFS Windows CI 子集；attr-cache=0；云端 get-timeout=5m</x:v>
      </x:c>
      <x:c r="L972" s="10" t="str">
        <x:v>e920ead94a8e28f04e326664178b0c9f02d492b1 + productChanges / plansSha256 见 E01</x:v>
      </x:c>
      <x:c r="M972" s="10" t="str">
        <x:v>E01 / juicefs-upstream-run-4AqAs3</x:v>
      </x:c>
      <x:c r="N972" s="10" t="str">
        <x:v>--fuse-external --resilient --case-insensitive-cmp</x:v>
      </x:c>
    </x:row>
    <x:row r="973" ht="74" customHeight="1">
      <x:c r="A973" s="11" t="str">
        <x:v>SUBSET-20261015-onedrive-wb</x:v>
      </x:c>
      <x:c r="B973" s="11" t="str">
        <x:v>WFP-22</x:v>
      </x:c>
      <x:c r="C973" s="11" t="str">
        <x:v>rename_standby_test</x:v>
      </x:c>
      <x:c r="D973" s="11" t="str">
        <x:v>WinFsp fork 默认子集</x:v>
      </x:c>
      <x:c r="E973" s="11" t="str">
        <x:v>onedrive</x:v>
      </x:c>
      <x:c r="F973" s="11" t="str">
        <x:v>后台</x:v>
      </x:c>
      <x:c r="G973" s="20" t="d">
        <x:v>2026-10-15T00:00:00.000Z</x:v>
      </x:c>
      <x:c r="H973" s="11" t="str">
        <x:v>已通过</x:v>
      </x:c>
      <x:c r="I973" s="22" t="n">
        <x:v>0.413</x:v>
      </x:c>
      <x:c r="J973" s="11" t="str">
        <x:v>JuiceFS 1.3.0+30190ca / WinFsp 2.1.25156；测试工具 S01–S04</x:v>
      </x:c>
      <x:c r="K973" s="11" t="str">
        <x:v>JuiceFS Windows CI 子集；attr-cache=0；云端 get-timeout=5m</x:v>
      </x:c>
      <x:c r="L973" s="11" t="str">
        <x:v>e920ead94a8e28f04e326664178b0c9f02d492b1 + productChanges / plansSha256 见 E01</x:v>
      </x:c>
      <x:c r="M973" s="11" t="str">
        <x:v>E01 / juicefs-upstream-run-4AqAs3</x:v>
      </x:c>
      <x:c r="N973" s="11" t="str">
        <x:v>--fuse-external --resilient --case-insensitive-cmp</x:v>
      </x:c>
    </x:row>
    <x:row r="974" ht="74" customHeight="1">
      <x:c r="A974" s="10" t="str">
        <x:v>SUBSET-20261015-onedrive-wb</x:v>
      </x:c>
      <x:c r="B974" s="10" t="str">
        <x:v>WFP-23</x:v>
      </x:c>
      <x:c r="C974" s="10" t="str">
        <x:v>rename_ex_test</x:v>
      </x:c>
      <x:c r="D974" s="10" t="str">
        <x:v>WinFsp fork 默认子集</x:v>
      </x:c>
      <x:c r="E974" s="10" t="str">
        <x:v>onedrive</x:v>
      </x:c>
      <x:c r="F974" s="10" t="str">
        <x:v>后台</x:v>
      </x:c>
      <x:c r="G974" s="19" t="d">
        <x:v>2026-10-15T00:00:00.000Z</x:v>
      </x:c>
      <x:c r="H974" s="10" t="str">
        <x:v>已通过</x:v>
      </x:c>
      <x:c r="I974" s="21" t="n">
        <x:v>0.313</x:v>
      </x:c>
      <x:c r="J974" s="10" t="str">
        <x:v>JuiceFS 1.3.0+30190ca / WinFsp 2.1.25156；测试工具 S01–S04</x:v>
      </x:c>
      <x:c r="K974" s="10" t="str">
        <x:v>JuiceFS Windows CI 子集；attr-cache=0；云端 get-timeout=5m</x:v>
      </x:c>
      <x:c r="L974" s="10" t="str">
        <x:v>e920ead94a8e28f04e326664178b0c9f02d492b1 + productChanges / plansSha256 见 E01</x:v>
      </x:c>
      <x:c r="M974" s="10" t="str">
        <x:v>E01 / juicefs-upstream-run-4AqAs3</x:v>
      </x:c>
      <x:c r="N974" s="10" t="str">
        <x:v>--fuse-external --resilient --case-insensitive-cmp</x:v>
      </x:c>
    </x:row>
    <x:row r="975" ht="74" customHeight="1">
      <x:c r="A975" s="11" t="str">
        <x:v>SUBSET-20261015-onedrive-wb</x:v>
      </x:c>
      <x:c r="B975" s="11" t="str">
        <x:v>WFP-24</x:v>
      </x:c>
      <x:c r="C975" s="11" t="str">
        <x:v>getvolinfo_test</x:v>
      </x:c>
      <x:c r="D975" s="11" t="str">
        <x:v>WinFsp fork 默认子集</x:v>
      </x:c>
      <x:c r="E975" s="11" t="str">
        <x:v>onedrive</x:v>
      </x:c>
      <x:c r="F975" s="11" t="str">
        <x:v>后台</x:v>
      </x:c>
      <x:c r="G975" s="20" t="d">
        <x:v>2026-10-15T00:00:00.000Z</x:v>
      </x:c>
      <x:c r="H975" s="11" t="str">
        <x:v>已通过</x:v>
      </x:c>
      <x:c r="I975" s="22" t="n">
        <x:v>0.284</x:v>
      </x:c>
      <x:c r="J975" s="11" t="str">
        <x:v>JuiceFS 1.3.0+30190ca / WinFsp 2.1.25156；测试工具 S01–S04</x:v>
      </x:c>
      <x:c r="K975" s="11" t="str">
        <x:v>JuiceFS Windows CI 子集；attr-cache=0；云端 get-timeout=5m</x:v>
      </x:c>
      <x:c r="L975" s="11" t="str">
        <x:v>e920ead94a8e28f04e326664178b0c9f02d492b1 + productChanges / plansSha256 见 E01</x:v>
      </x:c>
      <x:c r="M975" s="11" t="str">
        <x:v>E01 / juicefs-upstream-run-4AqAs3</x:v>
      </x:c>
      <x:c r="N975" s="11" t="str">
        <x:v>--fuse-external --resilient --case-insensitive-cmp</x:v>
      </x:c>
    </x:row>
    <x:row r="976" ht="74" customHeight="1">
      <x:c r="A976" s="10" t="str">
        <x:v>SUBSET-20261015-onedrive-wb</x:v>
      </x:c>
      <x:c r="B976" s="10" t="str">
        <x:v>WFP-25</x:v>
      </x:c>
      <x:c r="C976" s="10" t="str">
        <x:v>setvolinfo_test</x:v>
      </x:c>
      <x:c r="D976" s="10" t="str">
        <x:v>WinFsp fork 默认子集</x:v>
      </x:c>
      <x:c r="E976" s="10" t="str">
        <x:v>onedrive</x:v>
      </x:c>
      <x:c r="F976" s="10" t="str">
        <x:v>后台</x:v>
      </x:c>
      <x:c r="G976" s="19" t="d">
        <x:v>2026-10-15T00:00:00.000Z</x:v>
      </x:c>
      <x:c r="H976" s="10" t="str">
        <x:v>已通过</x:v>
      </x:c>
      <x:c r="I976" s="21" t="n">
        <x:v>0.299</x:v>
      </x:c>
      <x:c r="J976" s="10" t="str">
        <x:v>JuiceFS 1.3.0+30190ca / WinFsp 2.1.25156；测试工具 S01–S04</x:v>
      </x:c>
      <x:c r="K976" s="10" t="str">
        <x:v>JuiceFS Windows CI 子集；attr-cache=0；云端 get-timeout=5m</x:v>
      </x:c>
      <x:c r="L976" s="10" t="str">
        <x:v>e920ead94a8e28f04e326664178b0c9f02d492b1 + productChanges / plansSha256 见 E01</x:v>
      </x:c>
      <x:c r="M976" s="10" t="str">
        <x:v>E01 / juicefs-upstream-run-4AqAs3</x:v>
      </x:c>
      <x:c r="N976" s="10" t="str">
        <x:v>--fuse-external --resilient --case-insensitive-cmp</x:v>
      </x:c>
    </x:row>
    <x:row r="977" ht="74" customHeight="1">
      <x:c r="A977" s="11" t="str">
        <x:v>SUBSET-20261015-onedrive-wb</x:v>
      </x:c>
      <x:c r="B977" s="11" t="str">
        <x:v>WFP-26</x:v>
      </x:c>
      <x:c r="C977" s="11" t="str">
        <x:v>getsecurity_test</x:v>
      </x:c>
      <x:c r="D977" s="11" t="str">
        <x:v>WinFsp fork 默认子集</x:v>
      </x:c>
      <x:c r="E977" s="11" t="str">
        <x:v>onedrive</x:v>
      </x:c>
      <x:c r="F977" s="11" t="str">
        <x:v>后台</x:v>
      </x:c>
      <x:c r="G977" s="20" t="d">
        <x:v>2026-10-15T00:00:00.000Z</x:v>
      </x:c>
      <x:c r="H977" s="11" t="str">
        <x:v>已通过</x:v>
      </x:c>
      <x:c r="I977" s="22" t="n">
        <x:v>0.321</x:v>
      </x:c>
      <x:c r="J977" s="11" t="str">
        <x:v>JuiceFS 1.3.0+30190ca / WinFsp 2.1.25156；测试工具 S01–S04</x:v>
      </x:c>
      <x:c r="K977" s="11" t="str">
        <x:v>JuiceFS Windows CI 子集；attr-cache=0；云端 get-timeout=5m</x:v>
      </x:c>
      <x:c r="L977" s="11" t="str">
        <x:v>e920ead94a8e28f04e326664178b0c9f02d492b1 + productChanges / plansSha256 见 E01</x:v>
      </x:c>
      <x:c r="M977" s="11" t="str">
        <x:v>E01 / juicefs-upstream-run-4AqAs3</x:v>
      </x:c>
      <x:c r="N977" s="11" t="str">
        <x:v>--fuse-external --resilient --case-insensitive-cmp</x:v>
      </x:c>
    </x:row>
    <x:row r="978" ht="74" customHeight="1">
      <x:c r="A978" s="10" t="str">
        <x:v>SUBSET-20261015-onedrive-wb</x:v>
      </x:c>
      <x:c r="B978" s="10" t="str">
        <x:v>WFP-27</x:v>
      </x:c>
      <x:c r="C978" s="10" t="str">
        <x:v>rdwr_noncached_test</x:v>
      </x:c>
      <x:c r="D978" s="10" t="str">
        <x:v>WinFsp fork 默认子集</x:v>
      </x:c>
      <x:c r="E978" s="10" t="str">
        <x:v>onedrive</x:v>
      </x:c>
      <x:c r="F978" s="10" t="str">
        <x:v>后台</x:v>
      </x:c>
      <x:c r="G978" s="19" t="d">
        <x:v>2026-10-15T00:00:00.000Z</x:v>
      </x:c>
      <x:c r="H978" s="10" t="str">
        <x:v>已通过</x:v>
      </x:c>
      <x:c r="I978" s="21" t="n">
        <x:v>0.33</x:v>
      </x:c>
      <x:c r="J978" s="10" t="str">
        <x:v>JuiceFS 1.3.0+30190ca / WinFsp 2.1.25156；测试工具 S01–S04</x:v>
      </x:c>
      <x:c r="K978" s="10" t="str">
        <x:v>JuiceFS Windows CI 子集；attr-cache=0；云端 get-timeout=5m</x:v>
      </x:c>
      <x:c r="L978" s="10" t="str">
        <x:v>e920ead94a8e28f04e326664178b0c9f02d492b1 + productChanges / plansSha256 见 E01</x:v>
      </x:c>
      <x:c r="M978" s="10" t="str">
        <x:v>E01 / juicefs-upstream-run-4AqAs3</x:v>
      </x:c>
      <x:c r="N978" s="10" t="str">
        <x:v>--fuse-external --resilient --case-insensitive-cmp</x:v>
      </x:c>
    </x:row>
    <x:row r="979" ht="74" customHeight="1">
      <x:c r="A979" s="11" t="str">
        <x:v>SUBSET-20261015-onedrive-wb</x:v>
      </x:c>
      <x:c r="B979" s="11" t="str">
        <x:v>WFP-28</x:v>
      </x:c>
      <x:c r="C979" s="11" t="str">
        <x:v>rdwr_noncached_overlapped_test</x:v>
      </x:c>
      <x:c r="D979" s="11" t="str">
        <x:v>WinFsp fork 默认子集</x:v>
      </x:c>
      <x:c r="E979" s="11" t="str">
        <x:v>onedrive</x:v>
      </x:c>
      <x:c r="F979" s="11" t="str">
        <x:v>后台</x:v>
      </x:c>
      <x:c r="G979" s="20" t="d">
        <x:v>2026-10-15T00:00:00.000Z</x:v>
      </x:c>
      <x:c r="H979" s="11" t="str">
        <x:v>已通过</x:v>
      </x:c>
      <x:c r="I979" s="22" t="n">
        <x:v>0.322</x:v>
      </x:c>
      <x:c r="J979" s="11" t="str">
        <x:v>JuiceFS 1.3.0+30190ca / WinFsp 2.1.25156；测试工具 S01–S04</x:v>
      </x:c>
      <x:c r="K979" s="11" t="str">
        <x:v>JuiceFS Windows CI 子集；attr-cache=0；云端 get-timeout=5m</x:v>
      </x:c>
      <x:c r="L979" s="11" t="str">
        <x:v>e920ead94a8e28f04e326664178b0c9f02d492b1 + productChanges / plansSha256 见 E01</x:v>
      </x:c>
      <x:c r="M979" s="11" t="str">
        <x:v>E01 / juicefs-upstream-run-4AqAs3</x:v>
      </x:c>
      <x:c r="N979" s="11" t="str">
        <x:v>--fuse-external --resilient --case-insensitive-cmp</x:v>
      </x:c>
    </x:row>
    <x:row r="980" ht="74" customHeight="1">
      <x:c r="A980" s="10" t="str">
        <x:v>SUBSET-20261015-onedrive-wb</x:v>
      </x:c>
      <x:c r="B980" s="10" t="str">
        <x:v>WFP-29</x:v>
      </x:c>
      <x:c r="C980" s="10" t="str">
        <x:v>rdwr_cached_test</x:v>
      </x:c>
      <x:c r="D980" s="10" t="str">
        <x:v>WinFsp fork 默认子集</x:v>
      </x:c>
      <x:c r="E980" s="10" t="str">
        <x:v>onedrive</x:v>
      </x:c>
      <x:c r="F980" s="10" t="str">
        <x:v>后台</x:v>
      </x:c>
      <x:c r="G980" s="19" t="d">
        <x:v>2026-10-15T00:00:00.000Z</x:v>
      </x:c>
      <x:c r="H980" s="10" t="str">
        <x:v>已通过</x:v>
      </x:c>
      <x:c r="I980" s="21" t="n">
        <x:v>0.313</x:v>
      </x:c>
      <x:c r="J980" s="10" t="str">
        <x:v>JuiceFS 1.3.0+30190ca / WinFsp 2.1.25156；测试工具 S01–S04</x:v>
      </x:c>
      <x:c r="K980" s="10" t="str">
        <x:v>JuiceFS Windows CI 子集；attr-cache=0；云端 get-timeout=5m</x:v>
      </x:c>
      <x:c r="L980" s="10" t="str">
        <x:v>e920ead94a8e28f04e326664178b0c9f02d492b1 + productChanges / plansSha256 见 E01</x:v>
      </x:c>
      <x:c r="M980" s="10" t="str">
        <x:v>E01 / juicefs-upstream-run-4AqAs3</x:v>
      </x:c>
      <x:c r="N980" s="10" t="str">
        <x:v>--fuse-external --resilient --case-insensitive-cmp</x:v>
      </x:c>
    </x:row>
    <x:row r="981" ht="74" customHeight="1">
      <x:c r="A981" s="11" t="str">
        <x:v>SUBSET-20261015-onedrive-wb</x:v>
      </x:c>
      <x:c r="B981" s="11" t="str">
        <x:v>WFP-30</x:v>
      </x:c>
      <x:c r="C981" s="11" t="str">
        <x:v>rdwr_cached_append_test</x:v>
      </x:c>
      <x:c r="D981" s="11" t="str">
        <x:v>WinFsp fork 默认子集</x:v>
      </x:c>
      <x:c r="E981" s="11" t="str">
        <x:v>onedrive</x:v>
      </x:c>
      <x:c r="F981" s="11" t="str">
        <x:v>后台</x:v>
      </x:c>
      <x:c r="G981" s="20" t="d">
        <x:v>2026-10-15T00:00:00.000Z</x:v>
      </x:c>
      <x:c r="H981" s="11" t="str">
        <x:v>已通过</x:v>
      </x:c>
      <x:c r="I981" s="22" t="n">
        <x:v>0.308</x:v>
      </x:c>
      <x:c r="J981" s="11" t="str">
        <x:v>JuiceFS 1.3.0+30190ca / WinFsp 2.1.25156；测试工具 S01–S04</x:v>
      </x:c>
      <x:c r="K981" s="11" t="str">
        <x:v>JuiceFS Windows CI 子集；attr-cache=0；云端 get-timeout=5m</x:v>
      </x:c>
      <x:c r="L981" s="11" t="str">
        <x:v>e920ead94a8e28f04e326664178b0c9f02d492b1 + productChanges / plansSha256 见 E01</x:v>
      </x:c>
      <x:c r="M981" s="11" t="str">
        <x:v>E01 / juicefs-upstream-run-4AqAs3</x:v>
      </x:c>
      <x:c r="N981" s="11" t="str">
        <x:v>--fuse-external --resilient --case-insensitive-cmp</x:v>
      </x:c>
    </x:row>
    <x:row r="982" ht="74" customHeight="1">
      <x:c r="A982" s="10" t="str">
        <x:v>SUBSET-20261015-onedrive-wb</x:v>
      </x:c>
      <x:c r="B982" s="10" t="str">
        <x:v>WFP-31</x:v>
      </x:c>
      <x:c r="C982" s="10" t="str">
        <x:v>rdwr_cached_overlapped_test</x:v>
      </x:c>
      <x:c r="D982" s="10" t="str">
        <x:v>WinFsp fork 默认子集</x:v>
      </x:c>
      <x:c r="E982" s="10" t="str">
        <x:v>onedrive</x:v>
      </x:c>
      <x:c r="F982" s="10" t="str">
        <x:v>后台</x:v>
      </x:c>
      <x:c r="G982" s="19" t="d">
        <x:v>2026-10-15T00:00:00.000Z</x:v>
      </x:c>
      <x:c r="H982" s="10" t="str">
        <x:v>已通过</x:v>
      </x:c>
      <x:c r="I982" s="21" t="n">
        <x:v>0.33</x:v>
      </x:c>
      <x:c r="J982" s="10" t="str">
        <x:v>JuiceFS 1.3.0+30190ca / WinFsp 2.1.25156；测试工具 S01–S04</x:v>
      </x:c>
      <x:c r="K982" s="10" t="str">
        <x:v>JuiceFS Windows CI 子集；attr-cache=0；云端 get-timeout=5m</x:v>
      </x:c>
      <x:c r="L982" s="10" t="str">
        <x:v>e920ead94a8e28f04e326664178b0c9f02d492b1 + productChanges / plansSha256 见 E01</x:v>
      </x:c>
      <x:c r="M982" s="10" t="str">
        <x:v>E01 / juicefs-upstream-run-4AqAs3</x:v>
      </x:c>
      <x:c r="N982" s="10" t="str">
        <x:v>--fuse-external --resilient --case-insensitive-cmp</x:v>
      </x:c>
    </x:row>
    <x:row r="983" ht="74" customHeight="1">
      <x:c r="A983" s="11" t="str">
        <x:v>SUBSET-20261015-onedrive-wb</x:v>
      </x:c>
      <x:c r="B983" s="11" t="str">
        <x:v>WFP-32</x:v>
      </x:c>
      <x:c r="C983" s="11" t="str">
        <x:v>rdwr_writethru_test</x:v>
      </x:c>
      <x:c r="D983" s="11" t="str">
        <x:v>WinFsp fork 默认子集</x:v>
      </x:c>
      <x:c r="E983" s="11" t="str">
        <x:v>onedrive</x:v>
      </x:c>
      <x:c r="F983" s="11" t="str">
        <x:v>后台</x:v>
      </x:c>
      <x:c r="G983" s="20" t="d">
        <x:v>2026-10-15T00:00:00.000Z</x:v>
      </x:c>
      <x:c r="H983" s="11" t="str">
        <x:v>已通过</x:v>
      </x:c>
      <x:c r="I983" s="22" t="n">
        <x:v>0.381</x:v>
      </x:c>
      <x:c r="J983" s="11" t="str">
        <x:v>JuiceFS 1.3.0+30190ca / WinFsp 2.1.25156；测试工具 S01–S04</x:v>
      </x:c>
      <x:c r="K983" s="11" t="str">
        <x:v>JuiceFS Windows CI 子集；attr-cache=0；云端 get-timeout=5m</x:v>
      </x:c>
      <x:c r="L983" s="11" t="str">
        <x:v>e920ead94a8e28f04e326664178b0c9f02d492b1 + productChanges / plansSha256 见 E01</x:v>
      </x:c>
      <x:c r="M983" s="11" t="str">
        <x:v>E01 / juicefs-upstream-run-4AqAs3</x:v>
      </x:c>
      <x:c r="N983" s="11" t="str">
        <x:v>--fuse-external --resilient --case-insensitive-cmp</x:v>
      </x:c>
    </x:row>
    <x:row r="984" ht="74" customHeight="1">
      <x:c r="A984" s="10" t="str">
        <x:v>SUBSET-20261015-onedrive-wb</x:v>
      </x:c>
      <x:c r="B984" s="10" t="str">
        <x:v>WFP-33</x:v>
      </x:c>
      <x:c r="C984" s="10" t="str">
        <x:v>rdwr_writethru_append_test</x:v>
      </x:c>
      <x:c r="D984" s="10" t="str">
        <x:v>WinFsp fork 默认子集</x:v>
      </x:c>
      <x:c r="E984" s="10" t="str">
        <x:v>onedrive</x:v>
      </x:c>
      <x:c r="F984" s="10" t="str">
        <x:v>后台</x:v>
      </x:c>
      <x:c r="G984" s="19" t="d">
        <x:v>2026-10-15T00:00:00.000Z</x:v>
      </x:c>
      <x:c r="H984" s="10" t="str">
        <x:v>已通过</x:v>
      </x:c>
      <x:c r="I984" s="21" t="n">
        <x:v>0.329</x:v>
      </x:c>
      <x:c r="J984" s="10" t="str">
        <x:v>JuiceFS 1.3.0+30190ca / WinFsp 2.1.25156；测试工具 S01–S04</x:v>
      </x:c>
      <x:c r="K984" s="10" t="str">
        <x:v>JuiceFS Windows CI 子集；attr-cache=0；云端 get-timeout=5m</x:v>
      </x:c>
      <x:c r="L984" s="10" t="str">
        <x:v>e920ead94a8e28f04e326664178b0c9f02d492b1 + productChanges / plansSha256 见 E01</x:v>
      </x:c>
      <x:c r="M984" s="10" t="str">
        <x:v>E01 / juicefs-upstream-run-4AqAs3</x:v>
      </x:c>
      <x:c r="N984" s="10" t="str">
        <x:v>--fuse-external --resilient --case-insensitive-cmp</x:v>
      </x:c>
    </x:row>
    <x:row r="985" ht="74" customHeight="1">
      <x:c r="A985" s="11" t="str">
        <x:v>SUBSET-20261015-onedrive-wb</x:v>
      </x:c>
      <x:c r="B985" s="11" t="str">
        <x:v>WFP-34</x:v>
      </x:c>
      <x:c r="C985" s="11" t="str">
        <x:v>rdwr_writethru_overlapped_test</x:v>
      </x:c>
      <x:c r="D985" s="11" t="str">
        <x:v>WinFsp fork 默认子集</x:v>
      </x:c>
      <x:c r="E985" s="11" t="str">
        <x:v>onedrive</x:v>
      </x:c>
      <x:c r="F985" s="11" t="str">
        <x:v>后台</x:v>
      </x:c>
      <x:c r="G985" s="20" t="d">
        <x:v>2026-10-15T00:00:00.000Z</x:v>
      </x:c>
      <x:c r="H985" s="11" t="str">
        <x:v>已通过</x:v>
      </x:c>
      <x:c r="I985" s="22" t="n">
        <x:v>0.322</x:v>
      </x:c>
      <x:c r="J985" s="11" t="str">
        <x:v>JuiceFS 1.3.0+30190ca / WinFsp 2.1.25156；测试工具 S01–S04</x:v>
      </x:c>
      <x:c r="K985" s="11" t="str">
        <x:v>JuiceFS Windows CI 子集；attr-cache=0；云端 get-timeout=5m</x:v>
      </x:c>
      <x:c r="L985" s="11" t="str">
        <x:v>e920ead94a8e28f04e326664178b0c9f02d492b1 + productChanges / plansSha256 见 E01</x:v>
      </x:c>
      <x:c r="M985" s="11" t="str">
        <x:v>E01 / juicefs-upstream-run-4AqAs3</x:v>
      </x:c>
      <x:c r="N985" s="11" t="str">
        <x:v>--fuse-external --resilient --case-insensitive-cmp</x:v>
      </x:c>
    </x:row>
    <x:row r="986" ht="74" customHeight="1">
      <x:c r="A986" s="10" t="str">
        <x:v>SUBSET-20261015-onedrive-wb</x:v>
      </x:c>
      <x:c r="B986" s="10" t="str">
        <x:v>WFP-35</x:v>
      </x:c>
      <x:c r="C986" s="10" t="str">
        <x:v>rdwr_mmap_test</x:v>
      </x:c>
      <x:c r="D986" s="10" t="str">
        <x:v>WinFsp fork 默认子集</x:v>
      </x:c>
      <x:c r="E986" s="10" t="str">
        <x:v>onedrive</x:v>
      </x:c>
      <x:c r="F986" s="10" t="str">
        <x:v>后台</x:v>
      </x:c>
      <x:c r="G986" s="19" t="d">
        <x:v>2026-10-15T00:00:00.000Z</x:v>
      </x:c>
      <x:c r="H986" s="10" t="str">
        <x:v>已通过</x:v>
      </x:c>
      <x:c r="I986" s="21" t="n">
        <x:v>0.41</x:v>
      </x:c>
      <x:c r="J986" s="10" t="str">
        <x:v>JuiceFS 1.3.0+30190ca / WinFsp 2.1.25156；测试工具 S01–S04</x:v>
      </x:c>
      <x:c r="K986" s="10" t="str">
        <x:v>JuiceFS Windows CI 子集；attr-cache=0；云端 get-timeout=5m</x:v>
      </x:c>
      <x:c r="L986" s="10" t="str">
        <x:v>e920ead94a8e28f04e326664178b0c9f02d492b1 + productChanges / plansSha256 见 E01</x:v>
      </x:c>
      <x:c r="M986" s="10" t="str">
        <x:v>E01 / juicefs-upstream-run-4AqAs3</x:v>
      </x:c>
      <x:c r="N986" s="10" t="str">
        <x:v>--fuse-external --resilient --case-insensitive-cmp</x:v>
      </x:c>
    </x:row>
    <x:row r="987" ht="74" customHeight="1">
      <x:c r="A987" s="11" t="str">
        <x:v>SUBSET-20261015-onedrive-wb</x:v>
      </x:c>
      <x:c r="B987" s="11" t="str">
        <x:v>WFP-36</x:v>
      </x:c>
      <x:c r="C987" s="11" t="str">
        <x:v>rdwr_mixed_test</x:v>
      </x:c>
      <x:c r="D987" s="11" t="str">
        <x:v>WinFsp fork 默认子集</x:v>
      </x:c>
      <x:c r="E987" s="11" t="str">
        <x:v>onedrive</x:v>
      </x:c>
      <x:c r="F987" s="11" t="str">
        <x:v>后台</x:v>
      </x:c>
      <x:c r="G987" s="20" t="d">
        <x:v>2026-10-15T00:00:00.000Z</x:v>
      </x:c>
      <x:c r="H987" s="11" t="str">
        <x:v>已通过</x:v>
      </x:c>
      <x:c r="I987" s="22" t="n">
        <x:v>0.324</x:v>
      </x:c>
      <x:c r="J987" s="11" t="str">
        <x:v>JuiceFS 1.3.0+30190ca / WinFsp 2.1.25156；测试工具 S01–S04</x:v>
      </x:c>
      <x:c r="K987" s="11" t="str">
        <x:v>JuiceFS Windows CI 子集；attr-cache=0；云端 get-timeout=5m</x:v>
      </x:c>
      <x:c r="L987" s="11" t="str">
        <x:v>e920ead94a8e28f04e326664178b0c9f02d492b1 + productChanges / plansSha256 见 E01</x:v>
      </x:c>
      <x:c r="M987" s="11" t="str">
        <x:v>E01 / juicefs-upstream-run-4AqAs3</x:v>
      </x:c>
      <x:c r="N987" s="11" t="str">
        <x:v>--fuse-external --resilient --case-insensitive-cmp</x:v>
      </x:c>
    </x:row>
    <x:row r="988" ht="74" customHeight="1">
      <x:c r="A988" s="10" t="str">
        <x:v>SUBSET-20261015-onedrive-wb</x:v>
      </x:c>
      <x:c r="B988" s="10" t="str">
        <x:v>WFP-37</x:v>
      </x:c>
      <x:c r="C988" s="10" t="str">
        <x:v>flush_test</x:v>
      </x:c>
      <x:c r="D988" s="10" t="str">
        <x:v>WinFsp fork 默认子集</x:v>
      </x:c>
      <x:c r="E988" s="10" t="str">
        <x:v>onedrive</x:v>
      </x:c>
      <x:c r="F988" s="10" t="str">
        <x:v>后台</x:v>
      </x:c>
      <x:c r="G988" s="19" t="d">
        <x:v>2026-10-15T00:00:00.000Z</x:v>
      </x:c>
      <x:c r="H988" s="10" t="str">
        <x:v>已通过</x:v>
      </x:c>
      <x:c r="I988" s="21" t="n">
        <x:v>0.364</x:v>
      </x:c>
      <x:c r="J988" s="10" t="str">
        <x:v>JuiceFS 1.3.0+30190ca / WinFsp 2.1.25156；测试工具 S01–S04</x:v>
      </x:c>
      <x:c r="K988" s="10" t="str">
        <x:v>JuiceFS Windows CI 子集；attr-cache=0；云端 get-timeout=5m</x:v>
      </x:c>
      <x:c r="L988" s="10" t="str">
        <x:v>e920ead94a8e28f04e326664178b0c9f02d492b1 + productChanges / plansSha256 见 E01</x:v>
      </x:c>
      <x:c r="M988" s="10" t="str">
        <x:v>E01 / juicefs-upstream-run-4AqAs3</x:v>
      </x:c>
      <x:c r="N988" s="10" t="str">
        <x:v>--fuse-external --resilient --case-insensitive-cmp</x:v>
      </x:c>
    </x:row>
    <x:row r="989" ht="74" customHeight="1">
      <x:c r="A989" s="11" t="str">
        <x:v>SUBSET-20261015-onedrive-wb</x:v>
      </x:c>
      <x:c r="B989" s="11" t="str">
        <x:v>WFP-38</x:v>
      </x:c>
      <x:c r="C989" s="11" t="str">
        <x:v>flush_volume_test</x:v>
      </x:c>
      <x:c r="D989" s="11" t="str">
        <x:v>WinFsp fork 默认子集</x:v>
      </x:c>
      <x:c r="E989" s="11" t="str">
        <x:v>onedrive</x:v>
      </x:c>
      <x:c r="F989" s="11" t="str">
        <x:v>后台</x:v>
      </x:c>
      <x:c r="G989" s="20" t="d">
        <x:v>2026-10-15T00:00:00.000Z</x:v>
      </x:c>
      <x:c r="H989" s="11" t="str">
        <x:v>已通过</x:v>
      </x:c>
      <x:c r="I989" s="22" t="n">
        <x:v>0.294</x:v>
      </x:c>
      <x:c r="J989" s="11" t="str">
        <x:v>JuiceFS 1.3.0+30190ca / WinFsp 2.1.25156；测试工具 S01–S04</x:v>
      </x:c>
      <x:c r="K989" s="11" t="str">
        <x:v>JuiceFS Windows CI 子集；attr-cache=0；云端 get-timeout=5m</x:v>
      </x:c>
      <x:c r="L989" s="11" t="str">
        <x:v>e920ead94a8e28f04e326664178b0c9f02d492b1 + productChanges / plansSha256 见 E01</x:v>
      </x:c>
      <x:c r="M989" s="11" t="str">
        <x:v>E01 / juicefs-upstream-run-4AqAs3</x:v>
      </x:c>
      <x:c r="N989" s="11" t="str">
        <x:v>--fuse-external --resilient --case-insensitive-cmp</x:v>
      </x:c>
    </x:row>
    <x:row r="990" ht="74" customHeight="1">
      <x:c r="A990" s="10" t="str">
        <x:v>SUBSET-20261015-onedrive-wb</x:v>
      </x:c>
      <x:c r="B990" s="10" t="str">
        <x:v>WFP-39</x:v>
      </x:c>
      <x:c r="C990" s="10" t="str">
        <x:v>lock_noncached_test</x:v>
      </x:c>
      <x:c r="D990" s="10" t="str">
        <x:v>WinFsp fork 默认子集</x:v>
      </x:c>
      <x:c r="E990" s="10" t="str">
        <x:v>onedrive</x:v>
      </x:c>
      <x:c r="F990" s="10" t="str">
        <x:v>后台</x:v>
      </x:c>
      <x:c r="G990" s="19" t="d">
        <x:v>2026-10-15T00:00:00.000Z</x:v>
      </x:c>
      <x:c r="H990" s="10" t="str">
        <x:v>已通过</x:v>
      </x:c>
      <x:c r="I990" s="21" t="n">
        <x:v>0.332</x:v>
      </x:c>
      <x:c r="J990" s="10" t="str">
        <x:v>JuiceFS 1.3.0+30190ca / WinFsp 2.1.25156；测试工具 S01–S04</x:v>
      </x:c>
      <x:c r="K990" s="10" t="str">
        <x:v>JuiceFS Windows CI 子集；attr-cache=0；云端 get-timeout=5m</x:v>
      </x:c>
      <x:c r="L990" s="10" t="str">
        <x:v>e920ead94a8e28f04e326664178b0c9f02d492b1 + productChanges / plansSha256 见 E01</x:v>
      </x:c>
      <x:c r="M990" s="10" t="str">
        <x:v>E01 / juicefs-upstream-run-4AqAs3</x:v>
      </x:c>
      <x:c r="N990" s="10" t="str">
        <x:v>--fuse-external --resilient --case-insensitive-cmp</x:v>
      </x:c>
    </x:row>
    <x:row r="991" ht="74" customHeight="1">
      <x:c r="A991" s="11" t="str">
        <x:v>SUBSET-20261015-onedrive-wb</x:v>
      </x:c>
      <x:c r="B991" s="11" t="str">
        <x:v>WFP-40</x:v>
      </x:c>
      <x:c r="C991" s="11" t="str">
        <x:v>lock_noncached_overlapped_test</x:v>
      </x:c>
      <x:c r="D991" s="11" t="str">
        <x:v>WinFsp fork 默认子集</x:v>
      </x:c>
      <x:c r="E991" s="11" t="str">
        <x:v>onedrive</x:v>
      </x:c>
      <x:c r="F991" s="11" t="str">
        <x:v>后台</x:v>
      </x:c>
      <x:c r="G991" s="20" t="d">
        <x:v>2026-10-15T00:00:00.000Z</x:v>
      </x:c>
      <x:c r="H991" s="11" t="str">
        <x:v>已通过</x:v>
      </x:c>
      <x:c r="I991" s="22" t="n">
        <x:v>0.335</x:v>
      </x:c>
      <x:c r="J991" s="11" t="str">
        <x:v>JuiceFS 1.3.0+30190ca / WinFsp 2.1.25156；测试工具 S01–S04</x:v>
      </x:c>
      <x:c r="K991" s="11" t="str">
        <x:v>JuiceFS Windows CI 子集；attr-cache=0；云端 get-timeout=5m</x:v>
      </x:c>
      <x:c r="L991" s="11" t="str">
        <x:v>e920ead94a8e28f04e326664178b0c9f02d492b1 + productChanges / plansSha256 见 E01</x:v>
      </x:c>
      <x:c r="M991" s="11" t="str">
        <x:v>E01 / juicefs-upstream-run-4AqAs3</x:v>
      </x:c>
      <x:c r="N991" s="11" t="str">
        <x:v>--fuse-external --resilient --case-insensitive-cmp</x:v>
      </x:c>
    </x:row>
    <x:row r="992" ht="74" customHeight="1">
      <x:c r="A992" s="10" t="str">
        <x:v>SUBSET-20261015-onedrive-wb</x:v>
      </x:c>
      <x:c r="B992" s="10" t="str">
        <x:v>WFP-41</x:v>
      </x:c>
      <x:c r="C992" s="10" t="str">
        <x:v>lock_cached_test</x:v>
      </x:c>
      <x:c r="D992" s="10" t="str">
        <x:v>WinFsp fork 默认子集</x:v>
      </x:c>
      <x:c r="E992" s="10" t="str">
        <x:v>onedrive</x:v>
      </x:c>
      <x:c r="F992" s="10" t="str">
        <x:v>后台</x:v>
      </x:c>
      <x:c r="G992" s="19" t="d">
        <x:v>2026-10-15T00:00:00.000Z</x:v>
      </x:c>
      <x:c r="H992" s="10" t="str">
        <x:v>已通过</x:v>
      </x:c>
      <x:c r="I992" s="21" t="n">
        <x:v>0.333</x:v>
      </x:c>
      <x:c r="J992" s="10" t="str">
        <x:v>JuiceFS 1.3.0+30190ca / WinFsp 2.1.25156；测试工具 S01–S04</x:v>
      </x:c>
      <x:c r="K992" s="10" t="str">
        <x:v>JuiceFS Windows CI 子集；attr-cache=0；云端 get-timeout=5m</x:v>
      </x:c>
      <x:c r="L992" s="10" t="str">
        <x:v>e920ead94a8e28f04e326664178b0c9f02d492b1 + productChanges / plansSha256 见 E01</x:v>
      </x:c>
      <x:c r="M992" s="10" t="str">
        <x:v>E01 / juicefs-upstream-run-4AqAs3</x:v>
      </x:c>
      <x:c r="N992" s="10" t="str">
        <x:v>--fuse-external --resilient --case-insensitive-cmp</x:v>
      </x:c>
    </x:row>
    <x:row r="993" ht="74" customHeight="1">
      <x:c r="A993" s="11" t="str">
        <x:v>SUBSET-20261015-onedrive-wb</x:v>
      </x:c>
      <x:c r="B993" s="11" t="str">
        <x:v>WFP-42</x:v>
      </x:c>
      <x:c r="C993" s="11" t="str">
        <x:v>lock_cached_overlapped_test</x:v>
      </x:c>
      <x:c r="D993" s="11" t="str">
        <x:v>WinFsp fork 默认子集</x:v>
      </x:c>
      <x:c r="E993" s="11" t="str">
        <x:v>onedrive</x:v>
      </x:c>
      <x:c r="F993" s="11" t="str">
        <x:v>后台</x:v>
      </x:c>
      <x:c r="G993" s="20" t="d">
        <x:v>2026-10-15T00:00:00.000Z</x:v>
      </x:c>
      <x:c r="H993" s="11" t="str">
        <x:v>已通过</x:v>
      </x:c>
      <x:c r="I993" s="22" t="n">
        <x:v>0.425</x:v>
      </x:c>
      <x:c r="J993" s="11" t="str">
        <x:v>JuiceFS 1.3.0+30190ca / WinFsp 2.1.25156；测试工具 S01–S04</x:v>
      </x:c>
      <x:c r="K993" s="11" t="str">
        <x:v>JuiceFS Windows CI 子集；attr-cache=0；云端 get-timeout=5m</x:v>
      </x:c>
      <x:c r="L993" s="11" t="str">
        <x:v>e920ead94a8e28f04e326664178b0c9f02d492b1 + productChanges / plansSha256 见 E01</x:v>
      </x:c>
      <x:c r="M993" s="11" t="str">
        <x:v>E01 / juicefs-upstream-run-4AqAs3</x:v>
      </x:c>
      <x:c r="N993" s="11" t="str">
        <x:v>--fuse-external --resilient --case-insensitive-cmp</x:v>
      </x:c>
    </x:row>
    <x:row r="994" ht="74" customHeight="1">
      <x:c r="A994" s="10" t="str">
        <x:v>SUBSET-20261015-onedrive-wb</x:v>
      </x:c>
      <x:c r="B994" s="10" t="str">
        <x:v>WFP-43</x:v>
      </x:c>
      <x:c r="C994" s="10" t="str">
        <x:v>querydir_test</x:v>
      </x:c>
      <x:c r="D994" s="10" t="str">
        <x:v>WinFsp fork 默认子集</x:v>
      </x:c>
      <x:c r="E994" s="10" t="str">
        <x:v>onedrive</x:v>
      </x:c>
      <x:c r="F994" s="10" t="str">
        <x:v>后台</x:v>
      </x:c>
      <x:c r="G994" s="19" t="d">
        <x:v>2026-10-15T00:00:00.000Z</x:v>
      </x:c>
      <x:c r="H994" s="10" t="str">
        <x:v>已通过</x:v>
      </x:c>
      <x:c r="I994" s="21" t="n">
        <x:v>5.299</x:v>
      </x:c>
      <x:c r="J994" s="10" t="str">
        <x:v>JuiceFS 1.3.0+30190ca / WinFsp 2.1.25156；测试工具 S01–S04</x:v>
      </x:c>
      <x:c r="K994" s="10" t="str">
        <x:v>JuiceFS Windows CI 子集；attr-cache=0；云端 get-timeout=5m</x:v>
      </x:c>
      <x:c r="L994" s="10" t="str">
        <x:v>e920ead94a8e28f04e326664178b0c9f02d492b1 + productChanges / plansSha256 见 E01</x:v>
      </x:c>
      <x:c r="M994" s="10" t="str">
        <x:v>E01 / juicefs-upstream-run-4AqAs3</x:v>
      </x:c>
      <x:c r="N994" s="10" t="str">
        <x:v>--fuse-external --resilient --case-insensitive-cmp</x:v>
      </x:c>
    </x:row>
    <x:row r="995" ht="74" customHeight="1">
      <x:c r="A995" s="11" t="str">
        <x:v>SUBSET-20261015-onedrive-wb</x:v>
      </x:c>
      <x:c r="B995" s="11" t="str">
        <x:v>WFP-44</x:v>
      </x:c>
      <x:c r="C995" s="11" t="str">
        <x:v>querydir_expire_cache_test</x:v>
      </x:c>
      <x:c r="D995" s="11" t="str">
        <x:v>WinFsp fork 默认子集</x:v>
      </x:c>
      <x:c r="E995" s="11" t="str">
        <x:v>onedrive</x:v>
      </x:c>
      <x:c r="F995" s="11" t="str">
        <x:v>后台</x:v>
      </x:c>
      <x:c r="G995" s="20" t="d">
        <x:v>2026-10-15T00:00:00.000Z</x:v>
      </x:c>
      <x:c r="H995" s="11" t="str">
        <x:v>已通过</x:v>
      </x:c>
      <x:c r="I995" s="22" t="n">
        <x:v>0.474</x:v>
      </x:c>
      <x:c r="J995" s="11" t="str">
        <x:v>JuiceFS 1.3.0+30190ca / WinFsp 2.1.25156；测试工具 S01–S04</x:v>
      </x:c>
      <x:c r="K995" s="11" t="str">
        <x:v>JuiceFS Windows CI 子集；attr-cache=0；云端 get-timeout=5m</x:v>
      </x:c>
      <x:c r="L995" s="11" t="str">
        <x:v>e920ead94a8e28f04e326664178b0c9f02d492b1 + productChanges / plansSha256 见 E01</x:v>
      </x:c>
      <x:c r="M995" s="11" t="str">
        <x:v>E01 / juicefs-upstream-run-4AqAs3</x:v>
      </x:c>
      <x:c r="N995" s="11" t="str">
        <x:v>--fuse-external --resilient --case-insensitive-cmp</x:v>
      </x:c>
    </x:row>
    <x:row r="996" ht="74" customHeight="1">
      <x:c r="A996" s="10" t="str">
        <x:v>SUBSET-20261015-onedrive-wb</x:v>
      </x:c>
      <x:c r="B996" s="10" t="str">
        <x:v>WFP-45</x:v>
      </x:c>
      <x:c r="C996" s="10" t="str">
        <x:v>querydir_buffer_overflow_test</x:v>
      </x:c>
      <x:c r="D996" s="10" t="str">
        <x:v>WinFsp fork 默认子集</x:v>
      </x:c>
      <x:c r="E996" s="10" t="str">
        <x:v>onedrive</x:v>
      </x:c>
      <x:c r="F996" s="10" t="str">
        <x:v>后台</x:v>
      </x:c>
      <x:c r="G996" s="19" t="d">
        <x:v>2026-10-15T00:00:00.000Z</x:v>
      </x:c>
      <x:c r="H996" s="10" t="str">
        <x:v>已通过</x:v>
      </x:c>
      <x:c r="I996" s="21" t="n">
        <x:v>0.373</x:v>
      </x:c>
      <x:c r="J996" s="10" t="str">
        <x:v>JuiceFS 1.3.0+30190ca / WinFsp 2.1.25156；测试工具 S01–S04</x:v>
      </x:c>
      <x:c r="K996" s="10" t="str">
        <x:v>JuiceFS Windows CI 子集；attr-cache=0；云端 get-timeout=5m</x:v>
      </x:c>
      <x:c r="L996" s="10" t="str">
        <x:v>e920ead94a8e28f04e326664178b0c9f02d492b1 + productChanges / plansSha256 见 E01</x:v>
      </x:c>
      <x:c r="M996" s="10" t="str">
        <x:v>E01 / juicefs-upstream-run-4AqAs3</x:v>
      </x:c>
      <x:c r="N996" s="10" t="str">
        <x:v>--fuse-external --resilient --case-insensitive-cmp</x:v>
      </x:c>
    </x:row>
    <x:row r="997" ht="74" customHeight="1">
      <x:c r="A997" s="11" t="str">
        <x:v>SUBSET-20261015-onedrive-wb</x:v>
      </x:c>
      <x:c r="B997" s="11" t="str">
        <x:v>WFP-46</x:v>
      </x:c>
      <x:c r="C997" s="11" t="str">
        <x:v>querydir_namelen_test</x:v>
      </x:c>
      <x:c r="D997" s="11" t="str">
        <x:v>WinFsp fork 默认子集</x:v>
      </x:c>
      <x:c r="E997" s="11" t="str">
        <x:v>onedrive</x:v>
      </x:c>
      <x:c r="F997" s="11" t="str">
        <x:v>后台</x:v>
      </x:c>
      <x:c r="G997" s="20" t="d">
        <x:v>2026-10-15T00:00:00.000Z</x:v>
      </x:c>
      <x:c r="H997" s="11" t="str">
        <x:v>已通过</x:v>
      </x:c>
      <x:c r="I997" s="22" t="n">
        <x:v>0.323</x:v>
      </x:c>
      <x:c r="J997" s="11" t="str">
        <x:v>JuiceFS 1.3.0+30190ca / WinFsp 2.1.25156；测试工具 S01–S04</x:v>
      </x:c>
      <x:c r="K997" s="11" t="str">
        <x:v>JuiceFS Windows CI 子集；attr-cache=0；云端 get-timeout=5m</x:v>
      </x:c>
      <x:c r="L997" s="11" t="str">
        <x:v>e920ead94a8e28f04e326664178b0c9f02d492b1 + productChanges / plansSha256 见 E01</x:v>
      </x:c>
      <x:c r="M997" s="11" t="str">
        <x:v>E01 / juicefs-upstream-run-4AqAs3</x:v>
      </x:c>
      <x:c r="N997" s="11" t="str">
        <x:v>--fuse-external --resilient --case-insensitive-cmp</x:v>
      </x:c>
    </x:row>
    <x:row r="998" ht="74" customHeight="1">
      <x:c r="A998" s="10" t="str">
        <x:v>SUBSET-20261015-onedrive-wb</x:v>
      </x:c>
      <x:c r="B998" s="10" t="str">
        <x:v>WFP-47</x:v>
      </x:c>
      <x:c r="C998" s="10" t="str">
        <x:v>dirnotify_test</x:v>
      </x:c>
      <x:c r="D998" s="10" t="str">
        <x:v>WinFsp fork 默认子集</x:v>
      </x:c>
      <x:c r="E998" s="10" t="str">
        <x:v>onedrive</x:v>
      </x:c>
      <x:c r="F998" s="10" t="str">
        <x:v>后台</x:v>
      </x:c>
      <x:c r="G998" s="19" t="d">
        <x:v>2026-10-15T00:00:00.000Z</x:v>
      </x:c>
      <x:c r="H998" s="10" t="str">
        <x:v>已通过</x:v>
      </x:c>
      <x:c r="I998" s="21" t="n">
        <x:v>1.349</x:v>
      </x:c>
      <x:c r="J998" s="10" t="str">
        <x:v>JuiceFS 1.3.0+30190ca / WinFsp 2.1.25156；测试工具 S01–S04</x:v>
      </x:c>
      <x:c r="K998" s="10" t="str">
        <x:v>JuiceFS Windows CI 子集；attr-cache=0；云端 get-timeout=5m</x:v>
      </x:c>
      <x:c r="L998" s="10" t="str">
        <x:v>e920ead94a8e28f04e326664178b0c9f02d492b1 + productChanges / plansSha256 见 E01</x:v>
      </x:c>
      <x:c r="M998" s="10" t="str">
        <x:v>E01 / juicefs-upstream-run-4AqAs3</x:v>
      </x:c>
      <x:c r="N998" s="10" t="str">
        <x:v>--fuse-external --resilient --case-insensitive-cmp</x:v>
      </x:c>
    </x:row>
    <x:row r="999" ht="74" customHeight="1">
      <x:c r="A999" s="11" t="str">
        <x:v>SUBSET-20261015-onedrive-wb</x:v>
      </x:c>
      <x:c r="B999" s="11" t="str">
        <x:v>WFP-48</x:v>
      </x:c>
      <x:c r="C999" s="11" t="str">
        <x:v>exec_test</x:v>
      </x:c>
      <x:c r="D999" s="11" t="str">
        <x:v>WinFsp fork 默认子集</x:v>
      </x:c>
      <x:c r="E999" s="11" t="str">
        <x:v>onedrive</x:v>
      </x:c>
      <x:c r="F999" s="11" t="str">
        <x:v>后台</x:v>
      </x:c>
      <x:c r="G999" s="20" t="d">
        <x:v>2026-10-15T00:00:00.000Z</x:v>
      </x:c>
      <x:c r="H999" s="11" t="str">
        <x:v>已通过</x:v>
      </x:c>
      <x:c r="I999" s="22" t="n">
        <x:v>0.611</x:v>
      </x:c>
      <x:c r="J999" s="11" t="str">
        <x:v>JuiceFS 1.3.0+30190ca / WinFsp 2.1.25156；测试工具 S01–S04</x:v>
      </x:c>
      <x:c r="K999" s="11" t="str">
        <x:v>JuiceFS Windows CI 子集；attr-cache=0；云端 get-timeout=5m</x:v>
      </x:c>
      <x:c r="L999" s="11" t="str">
        <x:v>e920ead94a8e28f04e326664178b0c9f02d492b1 + productChanges / plansSha256 见 E01</x:v>
      </x:c>
      <x:c r="M999" s="11" t="str">
        <x:v>E01 / juicefs-upstream-run-4AqAs3</x:v>
      </x:c>
      <x:c r="N999" s="11" t="str">
        <x:v>--fuse-external --resilient --case-insensitive-cmp</x:v>
      </x:c>
    </x:row>
    <x:row r="1000" ht="74" customHeight="1">
      <x:c r="A1000" s="10" t="str">
        <x:v>SUBSET-20261015-onedrive-wb</x:v>
      </x:c>
      <x:c r="B1000" s="10" t="str">
        <x:v>WFP-49</x:v>
      </x:c>
      <x:c r="C1000" s="10" t="str">
        <x:v>exec_delete_test</x:v>
      </x:c>
      <x:c r="D1000" s="10" t="str">
        <x:v>WinFsp fork 默认子集</x:v>
      </x:c>
      <x:c r="E1000" s="10" t="str">
        <x:v>onedrive</x:v>
      </x:c>
      <x:c r="F1000" s="10" t="str">
        <x:v>后台</x:v>
      </x:c>
      <x:c r="G1000" s="19" t="d">
        <x:v>2026-10-15T00:00:00.000Z</x:v>
      </x:c>
      <x:c r="H1000" s="10" t="str">
        <x:v>已通过</x:v>
      </x:c>
      <x:c r="I1000" s="21" t="n">
        <x:v>1.565</x:v>
      </x:c>
      <x:c r="J1000" s="10" t="str">
        <x:v>JuiceFS 1.3.0+30190ca / WinFsp 2.1.25156；测试工具 S01–S04</x:v>
      </x:c>
      <x:c r="K1000" s="10" t="str">
        <x:v>JuiceFS Windows CI 子集；attr-cache=0；云端 get-timeout=5m</x:v>
      </x:c>
      <x:c r="L1000" s="10" t="str">
        <x:v>e920ead94a8e28f04e326664178b0c9f02d492b1 + productChanges / plansSha256 见 E01</x:v>
      </x:c>
      <x:c r="M1000" s="10" t="str">
        <x:v>E01 / juicefs-upstream-run-4AqAs3</x:v>
      </x:c>
      <x:c r="N1000" s="10" t="str">
        <x:v>--fuse-external --resilient --case-insensitive-cmp</x:v>
      </x:c>
    </x:row>
    <x:row r="1001" ht="74" customHeight="1">
      <x:c r="A1001" s="11" t="str">
        <x:v>SUBSET-20261015-onedrive-wb</x:v>
      </x:c>
      <x:c r="B1001" s="11" t="str">
        <x:v>WFP-50</x:v>
      </x:c>
      <x:c r="C1001" s="11" t="str">
        <x:v>exec_rename_test</x:v>
      </x:c>
      <x:c r="D1001" s="11" t="str">
        <x:v>WinFsp fork 默认子集</x:v>
      </x:c>
      <x:c r="E1001" s="11" t="str">
        <x:v>onedrive</x:v>
      </x:c>
      <x:c r="F1001" s="11" t="str">
        <x:v>后台</x:v>
      </x:c>
      <x:c r="G1001" s="20" t="d">
        <x:v>2026-10-15T00:00:00.000Z</x:v>
      </x:c>
      <x:c r="H1001" s="11" t="str">
        <x:v>已通过</x:v>
      </x:c>
      <x:c r="I1001" s="22" t="n">
        <x:v>1.568</x:v>
      </x:c>
      <x:c r="J1001" s="11" t="str">
        <x:v>JuiceFS 1.3.0+30190ca / WinFsp 2.1.25156；测试工具 S01–S04</x:v>
      </x:c>
      <x:c r="K1001" s="11" t="str">
        <x:v>JuiceFS Windows CI 子集；attr-cache=0；云端 get-timeout=5m</x:v>
      </x:c>
      <x:c r="L1001" s="11" t="str">
        <x:v>e920ead94a8e28f04e326664178b0c9f02d492b1 + productChanges / plansSha256 见 E01</x:v>
      </x:c>
      <x:c r="M1001" s="11" t="str">
        <x:v>E01 / juicefs-upstream-run-4AqAs3</x:v>
      </x:c>
      <x:c r="N1001" s="11" t="str">
        <x:v>--fuse-external --resilient --case-insensitive-cmp</x:v>
      </x:c>
    </x:row>
    <x:row r="1002" ht="74" customHeight="1">
      <x:c r="A1002" s="10" t="str">
        <x:v>SUBSET-20261015-onedrive-wb</x:v>
      </x:c>
      <x:c r="B1002" s="10" t="str">
        <x:v>WFP-51</x:v>
      </x:c>
      <x:c r="C1002" s="10" t="str">
        <x:v>exec_rename_dir_test</x:v>
      </x:c>
      <x:c r="D1002" s="10" t="str">
        <x:v>WinFsp fork 默认子集</x:v>
      </x:c>
      <x:c r="E1002" s="10" t="str">
        <x:v>onedrive</x:v>
      </x:c>
      <x:c r="F1002" s="10" t="str">
        <x:v>后台</x:v>
      </x:c>
      <x:c r="G1002" s="19" t="d">
        <x:v>2026-10-15T00:00:00.000Z</x:v>
      </x:c>
      <x:c r="H1002" s="10" t="str">
        <x:v>已通过</x:v>
      </x:c>
      <x:c r="I1002" s="21" t="n">
        <x:v>2.572</x:v>
      </x:c>
      <x:c r="J1002" s="10" t="str">
        <x:v>JuiceFS 1.3.0+30190ca / WinFsp 2.1.25156；测试工具 S01–S04</x:v>
      </x:c>
      <x:c r="K1002" s="10" t="str">
        <x:v>JuiceFS Windows CI 子集；attr-cache=0；云端 get-timeout=5m</x:v>
      </x:c>
      <x:c r="L1002" s="10" t="str">
        <x:v>e920ead94a8e28f04e326664178b0c9f02d492b1 + productChanges / plansSha256 见 E01</x:v>
      </x:c>
      <x:c r="M1002" s="10" t="str">
        <x:v>E01 / juicefs-upstream-run-4AqAs3</x:v>
      </x:c>
      <x:c r="N1002" s="10" t="str">
        <x:v>--fuse-external --resilient --case-insensitive-cmp</x:v>
      </x:c>
    </x:row>
    <x:row r="1003" ht="74" customHeight="1">
      <x:c r="A1003" s="11" t="str">
        <x:v>SUBSET-20261015-onedrive-wb</x:v>
      </x:c>
      <x:c r="B1003" s="11" t="str">
        <x:v>WFP-52</x:v>
      </x:c>
      <x:c r="C1003" s="11" t="str">
        <x:v>reparse_nfs_test</x:v>
      </x:c>
      <x:c r="D1003" s="11" t="str">
        <x:v>WinFsp fork 默认子集</x:v>
      </x:c>
      <x:c r="E1003" s="11" t="str">
        <x:v>onedrive</x:v>
      </x:c>
      <x:c r="F1003" s="11" t="str">
        <x:v>后台</x:v>
      </x:c>
      <x:c r="G1003" s="20" t="d">
        <x:v>2026-10-15T00:00:00.000Z</x:v>
      </x:c>
      <x:c r="H1003" s="11" t="str">
        <x:v>已通过</x:v>
      </x:c>
      <x:c r="I1003" s="22" t="n">
        <x:v>0.325</x:v>
      </x:c>
      <x:c r="J1003" s="11" t="str">
        <x:v>JuiceFS 1.3.0+30190ca / WinFsp 2.1.25156；测试工具 S01–S04</x:v>
      </x:c>
      <x:c r="K1003" s="11" t="str">
        <x:v>JuiceFS Windows CI 子集；attr-cache=0；云端 get-timeout=5m</x:v>
      </x:c>
      <x:c r="L1003" s="11" t="str">
        <x:v>e920ead94a8e28f04e326664178b0c9f02d492b1 + productChanges / plansSha256 见 E01</x:v>
      </x:c>
      <x:c r="M1003" s="11" t="str">
        <x:v>E01 / juicefs-upstream-run-4AqAs3</x:v>
      </x:c>
      <x:c r="N1003" s="11" t="str">
        <x:v>--fuse-external --resilient --case-insensitive-cmp</x:v>
      </x:c>
    </x:row>
    <x:row r="1004" ht="74" customHeight="1">
      <x:c r="A1004" s="10" t="str">
        <x:v>SUBSET-20261015-onedrive-wb</x:v>
      </x:c>
      <x:c r="B1004" s="10" t="str">
        <x:v>WFP-53</x:v>
      </x:c>
      <x:c r="C1004" s="10" t="str">
        <x:v>reparse_symlink_test</x:v>
      </x:c>
      <x:c r="D1004" s="10" t="str">
        <x:v>WinFsp fork 默认子集</x:v>
      </x:c>
      <x:c r="E1004" s="10" t="str">
        <x:v>onedrive</x:v>
      </x:c>
      <x:c r="F1004" s="10" t="str">
        <x:v>后台</x:v>
      </x:c>
      <x:c r="G1004" s="19" t="d">
        <x:v>2026-10-15T00:00:00.000Z</x:v>
      </x:c>
      <x:c r="H1004" s="10" t="str">
        <x:v>已通过</x:v>
      </x:c>
      <x:c r="I1004" s="21" t="n">
        <x:v>0.317</x:v>
      </x:c>
      <x:c r="J1004" s="10" t="str">
        <x:v>JuiceFS 1.3.0+30190ca / WinFsp 2.1.25156；测试工具 S01–S04</x:v>
      </x:c>
      <x:c r="K1004" s="10" t="str">
        <x:v>JuiceFS Windows CI 子集；attr-cache=0；云端 get-timeout=5m</x:v>
      </x:c>
      <x:c r="L1004" s="10" t="str">
        <x:v>e920ead94a8e28f04e326664178b0c9f02d492b1 + productChanges / plansSha256 见 E01</x:v>
      </x:c>
      <x:c r="M1004" s="10" t="str">
        <x:v>E01 / juicefs-upstream-run-4AqAs3</x:v>
      </x:c>
      <x:c r="N1004" s="10" t="str">
        <x:v>--fuse-external --resilient --case-insensitive-cmp</x:v>
      </x:c>
    </x:row>
    <x:row r="1005" ht="74" customHeight="1">
      <x:c r="A1005" s="11" t="str">
        <x:v>SUBSET-20261015-onedrive-wb</x:v>
      </x:c>
      <x:c r="B1005" s="11" t="str">
        <x:v>WFP-54</x:v>
      </x:c>
      <x:c r="C1005" s="11" t="str">
        <x:v>reparse_symlink_relative_test</x:v>
      </x:c>
      <x:c r="D1005" s="11" t="str">
        <x:v>WinFsp fork 默认子集</x:v>
      </x:c>
      <x:c r="E1005" s="11" t="str">
        <x:v>onedrive</x:v>
      </x:c>
      <x:c r="F1005" s="11" t="str">
        <x:v>后台</x:v>
      </x:c>
      <x:c r="G1005" s="20" t="d">
        <x:v>2026-10-15T00:00:00.000Z</x:v>
      </x:c>
      <x:c r="H1005" s="11" t="str">
        <x:v>已通过</x:v>
      </x:c>
      <x:c r="I1005" s="22" t="n">
        <x:v>0.331</x:v>
      </x:c>
      <x:c r="J1005" s="11" t="str">
        <x:v>JuiceFS 1.3.0+30190ca / WinFsp 2.1.25156；测试工具 S01–S04</x:v>
      </x:c>
      <x:c r="K1005" s="11" t="str">
        <x:v>JuiceFS Windows CI 子集；attr-cache=0；云端 get-timeout=5m</x:v>
      </x:c>
      <x:c r="L1005" s="11" t="str">
        <x:v>e920ead94a8e28f04e326664178b0c9f02d492b1 + productChanges / plansSha256 见 E01</x:v>
      </x:c>
      <x:c r="M1005" s="11" t="str">
        <x:v>E01 / juicefs-upstream-run-4AqAs3</x:v>
      </x:c>
      <x:c r="N1005" s="11" t="str">
        <x:v>--fuse-external --resilient --case-insensitive-cmp</x:v>
      </x:c>
    </x:row>
    <x:row r="1006" ht="74" customHeight="1">
      <x:c r="A1006" s="10" t="str">
        <x:v>SUBSET-20261015-onedrive-wb</x:v>
      </x:c>
      <x:c r="B1006" s="10" t="str">
        <x:v>WFT-00…WFT-10</x:v>
      </x:c>
      <x:c r="C1006" s="10" t="str">
        <x:v>11 个脚本的整套结果</x:v>
      </x:c>
      <x:c r="D1006" s="10" t="str">
        <x:v>winfstest fork</x:v>
      </x:c>
      <x:c r="E1006" s="10" t="str">
        <x:v>onedrive</x:v>
      </x:c>
      <x:c r="F1006" s="10" t="str">
        <x:v>后台</x:v>
      </x:c>
      <x:c r="G1006" s="19" t="d">
        <x:v>2026-10-15T00:00:00.000Z</x:v>
      </x:c>
      <x:c r="H1006" s="10" t="str">
        <x:v>已通过</x:v>
      </x:c>
      <x:c r="I1006" s="21"/>
      <x:c r="J1006" s="10" t="str">
        <x:v>JuiceFS 1.3.0+30190ca / WinFsp 2.1.25156；测试工具 S01–S04</x:v>
      </x:c>
      <x:c r="K1006" s="10" t="str">
        <x:v>JuiceFS Windows CI 子集；attr-cache=0；云端 get-timeout=5m</x:v>
      </x:c>
      <x:c r="L1006" s="10" t="str">
        <x:v>e920ead94a8e28f04e326664178b0c9f02d492b1 + productChanges / plansSha256 见 E01</x:v>
      </x:c>
      <x:c r="M1006" s="10" t="str">
        <x:v>E01 / juicefs-upstream-run-4AqAs3</x:v>
      </x:c>
      <x:c r="N1006" s="10" t="str">
        <x:v>152/152 断言；报告粒度为整套，不虚构每个脚本的耗时</x:v>
      </x:c>
    </x:row>
    <x:row r="1007" ht="74" customHeight="1">
      <x:c r="A1007" s="11" t="str">
        <x:v>SUBSET-20261015-onedrive-wb</x:v>
      </x:c>
      <x:c r="B1007" s="11" t="str">
        <x:v>JFS-FSX-01</x:v>
      </x:c>
      <x:c r="C1007" s="11" t="str">
        <x:v>FSX 正常完成运行</x:v>
      </x:c>
      <x:c r="D1007" s="11" t="str">
        <x:v>FSX fork</x:v>
      </x:c>
      <x:c r="E1007" s="11" t="str">
        <x:v>onedrive</x:v>
      </x:c>
      <x:c r="F1007" s="11" t="str">
        <x:v>后台</x:v>
      </x:c>
      <x:c r="G1007" s="20" t="d">
        <x:v>2026-10-15T00:00:00.000Z</x:v>
      </x:c>
      <x:c r="H1007" s="11" t="str">
        <x:v>已通过</x:v>
      </x:c>
      <x:c r="I1007" s="22"/>
      <x:c r="J1007" s="11" t="str">
        <x:v>JuiceFS 1.3.0+30190ca / WinFsp 2.1.25156；测试工具 S01–S04</x:v>
      </x:c>
      <x:c r="K1007" s="11" t="str">
        <x:v>JuiceFS Windows CI 子集；attr-cache=0；云端 get-timeout=5m</x:v>
      </x:c>
      <x:c r="L1007" s="11" t="str">
        <x:v>e920ead94a8e28f04e326664178b0c9f02d492b1 + productChanges / plansSha256 见 E01</x:v>
      </x:c>
      <x:c r="M1007" s="11" t="str">
        <x:v>E01 / juicefs-upstream-run-4AqAs3</x:v>
      </x:c>
      <x:c r="N1007" s="11" t="str">
        <x:v>-N 200 -S 20261014 -p 100 -F 100000 fsxtest；实际 221 操作</x:v>
      </x:c>
    </x:row>
    <x:row r="1008" ht="74" customHeight="1">
      <x:c r="A1008" s="10" t="str">
        <x:v>SUBSET-20261015-onedrive-wb</x:v>
      </x:c>
      <x:c r="B1008" s="10" t="str">
        <x:v>CLOUD-006</x:v>
      </x:c>
      <x:c r="C1008" s="10" t="str">
        <x:v>排空后冷读校验</x:v>
      </x:c>
      <x:c r="D1008" s="10" t="str">
        <x:v>项目验证</x:v>
      </x:c>
      <x:c r="E1008" s="10" t="str">
        <x:v>onedrive</x:v>
      </x:c>
      <x:c r="F1008" s="10" t="str">
        <x:v>后台</x:v>
      </x:c>
      <x:c r="G1008" s="19" t="d">
        <x:v>2026-10-15T00:00:00.000Z</x:v>
      </x:c>
      <x:c r="H1008" s="10" t="str">
        <x:v>已通过</x:v>
      </x:c>
      <x:c r="I1008" s="21"/>
      <x:c r="J1008" s="10" t="str">
        <x:v>JuiceFS 1.3.0+30190ca / WinFsp 2.1.25156；测试工具 S01–S04</x:v>
      </x:c>
      <x:c r="K1008" s="10" t="str">
        <x:v>JuiceFS Windows CI 子集；attr-cache=0；云端 get-timeout=5m</x:v>
      </x:c>
      <x:c r="L1008" s="10" t="str">
        <x:v>e920ead94a8e28f04e326664178b0c9f02d492b1 + productChanges / plansSha256 见 E01</x:v>
      </x:c>
      <x:c r="M1008" s="10" t="str">
        <x:v>E01 / juicefs-upstream-run-4AqAs3</x:v>
      </x:c>
      <x:c r="N1008" s="10" t="str">
        <x:v>原始记录见 E01；不代表故障恢复或 repair 测试</x:v>
      </x:c>
    </x:row>
    <x:row r="1009" ht="74" customHeight="1">
      <x:c r="A1009" s="11" t="str">
        <x:v>SUBSET-20261015-onedrive-wb</x:v>
      </x:c>
      <x:c r="B1009" s="11" t="str">
        <x:v>CLOUD-007</x:v>
      </x:c>
      <x:c r="C1009" s="11" t="str">
        <x:v>只读 fsck</x:v>
      </x:c>
      <x:c r="D1009" s="11" t="str">
        <x:v>项目验证</x:v>
      </x:c>
      <x:c r="E1009" s="11" t="str">
        <x:v>onedrive</x:v>
      </x:c>
      <x:c r="F1009" s="11" t="str">
        <x:v>后台</x:v>
      </x:c>
      <x:c r="G1009" s="20" t="d">
        <x:v>2026-10-15T00:00:00.000Z</x:v>
      </x:c>
      <x:c r="H1009" s="11" t="str">
        <x:v>已通过</x:v>
      </x:c>
      <x:c r="I1009" s="22"/>
      <x:c r="J1009" s="11" t="str">
        <x:v>JuiceFS 1.3.0+30190ca / WinFsp 2.1.25156；测试工具 S01–S04</x:v>
      </x:c>
      <x:c r="K1009" s="11" t="str">
        <x:v>JuiceFS Windows CI 子集；attr-cache=0；云端 get-timeout=5m</x:v>
      </x:c>
      <x:c r="L1009" s="11" t="str">
        <x:v>e920ead94a8e28f04e326664178b0c9f02d492b1 + productChanges / plansSha256 见 E01</x:v>
      </x:c>
      <x:c r="M1009" s="11" t="str">
        <x:v>E01 / juicefs-upstream-run-4AqAs3</x:v>
      </x:c>
      <x:c r="N1009" s="11" t="str">
        <x:v>原始记录见 E01；不代表故障恢复或 repair 测试</x:v>
      </x:c>
    </x:row>
  </x:sheetData>
  <x:conditionalFormatting sqref="H6:H1009">
    <x:cfRule type="expression" dxfId="4" priority="1">
      <x:formula>OR($H6="已失败",$H6="已超时")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cbb52035ce49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3" hidden="0" customWidth="1"/>
    <x:col min="3" max="3" width="23" hidden="0" customWidth="1"/>
    <x:col min="4" max="4" width="65" hidden="0" customWidth="1"/>
    <x:col min="5" max="5" width="24" hidden="0" customWidth="1"/>
    <x:col min="6" max="6" width="16" hidden="0" customWidth="1"/>
    <x:col min="7" max="7" width="60" hidden="0" customWidth="1"/>
    <x:col min="8" max="8" width="85" hidden="0" customWidth="1"/>
    <x:col min="9" max="9" width="105" hidden="0" customWidth="1"/>
    <x:col min="10" max="10" width="31" hidden="0" customWidth="1"/>
    <x:col min="11" max="11" width="85" hidden="0" customWidth="1"/>
    <x:col min="12" max="12" width="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3" t="str">
        <x:v>JuiceFS 固定版本上游目录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 t="str">
        <x:v>30190ca：186 个测试／支持文件，844 个静态入口。目录初分不代表执行通过；动态子用例不展开。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8" t="str">
        <x:v>目录 ID</x:v>
      </x:c>
      <x:c r="B5" s="8" t="str">
        <x:v>建议重要级</x:v>
      </x:c>
      <x:c r="C5" s="8" t="str">
        <x:v>功能分类</x:v>
      </x:c>
      <x:c r="D5" s="8" t="str">
        <x:v>函数或文件入口</x:v>
      </x:c>
      <x:c r="E5" s="8" t="str">
        <x:v>记录粒度</x:v>
      </x:c>
      <x:c r="F5" s="8" t="str">
        <x:v>历史证据状态</x:v>
      </x:c>
      <x:c r="G5" s="8" t="str">
        <x:v>平台与适用条件</x:v>
      </x:c>
      <x:c r="H5" s="8" t="str">
        <x:v>原始文件与行</x:v>
      </x:c>
      <x:c r="I5" s="8" t="str">
        <x:v>固定版本源码</x:v>
      </x:c>
      <x:c r="J5" s="8" t="str">
        <x:v>主矩阵关联</x:v>
      </x:c>
      <x:c r="K5" s="8" t="str">
        <x:v>编译／装饰器条件</x:v>
      </x:c>
      <x:c r="L5" s="8" t="str">
        <x:v>边界说明</x:v>
      </x:c>
    </x:row>
    <x:row r="6" ht="42" customHeight="1">
      <x:c r="A6" s="10" t="str">
        <x:v>UP-820b471c12b5</x:v>
      </x:c>
      <x:c r="B6" s="10" t="str">
        <x:v>L3</x:v>
      </x:c>
      <x:c r="C6" s="10" t="str">
        <x:v>应用与界面兼容</x:v>
      </x:c>
      <x:c r="D6" s="10" t="str">
        <x:v>文件入口</x:v>
      </x:c>
      <x:c r="E6" s="10" t="str">
        <x:v>配置或辅助文件</x:v>
      </x:c>
      <x:c r="F6" s="10" t="str">
        <x:v>辅助文件</x:v>
      </x:c>
      <x:c r="G6" s="10" t="str">
        <x:v>其他平台／集成；根据 workflow 条件选择</x:v>
      </x:c>
      <x:c r="H6" s="10" t="str">
        <x:v>.github/scripts/apt_install.sh:1</x:v>
      </x:c>
      <x:c r="I6" s="10" t="str">
        <x:v>https://github.com/juicedata/juicefs/blob/30190ca1094d26e85f19a979ca51b0ea19af1eaa/.github/scripts/apt_install.sh#L1</x:v>
      </x:c>
      <x:c r="J6" s="10" t="str">
        <x:v>未提升为 Windows 执行项</x:v>
      </x:c>
      <x:c r="K6" s="10" t="str">
        <x:v>见源文件及 CI 条件</x:v>
      </x:c>
      <x:c r="L6" s="10" t="str">
        <x:v>无可静态枚举的命名测试函数；保留文件范围，不推定已执行；级别为源码目录初分，未执行项目不能计作通过</x:v>
      </x:c>
    </x:row>
    <x:row r="7" ht="42" customHeight="1">
      <x:c r="A7" s="11" t="str">
        <x:v>UP-4bfa0fa7b504</x:v>
      </x:c>
      <x:c r="B7" s="11" t="str">
        <x:v>L2</x:v>
      </x:c>
      <x:c r="C7" s="11" t="str">
        <x:v>缓存与后台上传</x:v>
      </x:c>
      <x:c r="D7" s="11" t="str">
        <x:v>test_warmup_in_background</x:v>
      </x:c>
      <x:c r="E7" s="11" t="str">
        <x:v>Shell 测试函数</x:v>
      </x:c>
      <x:c r="F7" s="11" t="str">
        <x:v>待执行</x:v>
      </x:c>
      <x:c r="G7" s="11" t="str">
        <x:v>其他平台／集成；根据 workflow 条件选择</x:v>
      </x:c>
      <x:c r="H7" s="11" t="str">
        <x:v>.github/scripts/cache.sh:10</x:v>
      </x:c>
      <x:c r="I7" s="11" t="str">
        <x:v>https://github.com/juicedata/juicefs/blob/30190ca1094d26e85f19a979ca51b0ea19af1eaa/.github/scripts/cache.sh#L10</x:v>
      </x:c>
      <x:c r="J7" s="11" t="str">
        <x:v>未提升为 Windows 执行项</x:v>
      </x:c>
      <x:c r="K7" s="11" t="str">
        <x:v>见源文件及 CI 条件</x:v>
      </x:c>
      <x:c r="L7" s="11" t="str">
        <x:v>级别为源码目录初分，未执行项目不能计作通过</x:v>
      </x:c>
    </x:row>
    <x:row r="8" ht="42" customHeight="1">
      <x:c r="A8" s="10" t="str">
        <x:v>UP-1e404adabd22</x:v>
      </x:c>
      <x:c r="B8" s="10" t="str">
        <x:v>L2</x:v>
      </x:c>
      <x:c r="C8" s="10" t="str">
        <x:v>缓存与后台上传</x:v>
      </x:c>
      <x:c r="D8" s="10" t="str">
        <x:v>test_batch_warmup</x:v>
      </x:c>
      <x:c r="E8" s="10" t="str">
        <x:v>Shell 测试函数</x:v>
      </x:c>
      <x:c r="F8" s="10" t="str">
        <x:v>待执行</x:v>
      </x:c>
      <x:c r="G8" s="10" t="str">
        <x:v>其他平台／集成；根据 workflow 条件选择</x:v>
      </x:c>
      <x:c r="H8" s="10" t="str">
        <x:v>.github/scripts/cache.sh:22</x:v>
      </x:c>
      <x:c r="I8" s="10" t="str">
        <x:v>https://github.com/juicedata/juicefs/blob/30190ca1094d26e85f19a979ca51b0ea19af1eaa/.github/scripts/cache.sh#L22</x:v>
      </x:c>
      <x:c r="J8" s="10" t="str">
        <x:v>未提升为 Windows 执行项</x:v>
      </x:c>
      <x:c r="K8" s="10" t="str">
        <x:v>见源文件及 CI 条件</x:v>
      </x:c>
      <x:c r="L8" s="10" t="str">
        <x:v>级别为源码目录初分，未执行项目不能计作通过</x:v>
      </x:c>
    </x:row>
    <x:row r="9" ht="42" customHeight="1">
      <x:c r="A9" s="11" t="str">
        <x:v>UP-dfc6119356fd</x:v>
      </x:c>
      <x:c r="B9" s="11" t="str">
        <x:v>L2</x:v>
      </x:c>
      <x:c r="C9" s="11" t="str">
        <x:v>缓存与后台上传</x:v>
      </x:c>
      <x:c r="D9" s="11" t="str">
        <x:v>test_kernel_writeback_cache</x:v>
      </x:c>
      <x:c r="E9" s="11" t="str">
        <x:v>Shell 测试函数</x:v>
      </x:c>
      <x:c r="F9" s="11" t="str">
        <x:v>待执行</x:v>
      </x:c>
      <x:c r="G9" s="11" t="str">
        <x:v>其他平台／集成；根据 workflow 条件选择</x:v>
      </x:c>
      <x:c r="H9" s="11" t="str">
        <x:v>.github/scripts/cache.sh:50</x:v>
      </x:c>
      <x:c r="I9" s="11" t="str">
        <x:v>https://github.com/juicedata/juicefs/blob/30190ca1094d26e85f19a979ca51b0ea19af1eaa/.github/scripts/cache.sh#L50</x:v>
      </x:c>
      <x:c r="J9" s="11" t="str">
        <x:v>未提升为 Windows 执行项</x:v>
      </x:c>
      <x:c r="K9" s="11" t="str">
        <x:v>见源文件及 CI 条件</x:v>
      </x:c>
      <x:c r="L9" s="11" t="str">
        <x:v>级别为源码目录初分，未执行项目不能计作通过</x:v>
      </x:c>
    </x:row>
    <x:row r="10" ht="42" customHeight="1">
      <x:c r="A10" s="10" t="str">
        <x:v>UP-f3436e740b56</x:v>
      </x:c>
      <x:c r="B10" s="10" t="str">
        <x:v>L2</x:v>
      </x:c>
      <x:c r="C10" s="10" t="str">
        <x:v>缓存与后台上传</x:v>
      </x:c>
      <x:c r="D10" s="10" t="str">
        <x:v>test_cache_items</x:v>
      </x:c>
      <x:c r="E10" s="10" t="str">
        <x:v>Shell 测试函数</x:v>
      </x:c>
      <x:c r="F10" s="10" t="str">
        <x:v>待执行</x:v>
      </x:c>
      <x:c r="G10" s="10" t="str">
        <x:v>其他平台／集成；根据 workflow 条件选择</x:v>
      </x:c>
      <x:c r="H10" s="10" t="str">
        <x:v>.github/scripts/cache.sh:64</x:v>
      </x:c>
      <x:c r="I10" s="10" t="str">
        <x:v>https://github.com/juicedata/juicefs/blob/30190ca1094d26e85f19a979ca51b0ea19af1eaa/.github/scripts/cache.sh#L64</x:v>
      </x:c>
      <x:c r="J10" s="10" t="str">
        <x:v>未提升为 Windows 执行项</x:v>
      </x:c>
      <x:c r="K10" s="10" t="str">
        <x:v>见源文件及 CI 条件</x:v>
      </x:c>
      <x:c r="L10" s="10" t="str">
        <x:v>级别为源码目录初分，未执行项目不能计作通过</x:v>
      </x:c>
    </x:row>
    <x:row r="11" ht="42" customHeight="1">
      <x:c r="A11" s="11" t="str">
        <x:v>UP-f8b66690176e</x:v>
      </x:c>
      <x:c r="B11" s="11" t="str">
        <x:v>L2</x:v>
      </x:c>
      <x:c r="C11" s="11" t="str">
        <x:v>缓存与后台上传</x:v>
      </x:c>
      <x:c r="D11" s="11" t="str">
        <x:v>test_evict_on_writeback</x:v>
      </x:c>
      <x:c r="E11" s="11" t="str">
        <x:v>Shell 测试函数</x:v>
      </x:c>
      <x:c r="F11" s="11" t="str">
        <x:v>待执行</x:v>
      </x:c>
      <x:c r="G11" s="11" t="str">
        <x:v>其他平台／集成；根据 workflow 条件选择</x:v>
      </x:c>
      <x:c r="H11" s="11" t="str">
        <x:v>.github/scripts/cache.sh:76</x:v>
      </x:c>
      <x:c r="I11" s="11" t="str">
        <x:v>https://github.com/juicedata/juicefs/blob/30190ca1094d26e85f19a979ca51b0ea19af1eaa/.github/scripts/cache.sh#L76</x:v>
      </x:c>
      <x:c r="J11" s="11" t="str">
        <x:v>未提升为 Windows 执行项</x:v>
      </x:c>
      <x:c r="K11" s="11" t="str">
        <x:v>见源文件及 CI 条件</x:v>
      </x:c>
      <x:c r="L11" s="11" t="str">
        <x:v>级别为源码目录初分，未执行项目不能计作通过</x:v>
      </x:c>
    </x:row>
    <x:row r="12" ht="42" customHeight="1">
      <x:c r="A12" s="10" t="str">
        <x:v>UP-7b091d3b4cfd</x:v>
      </x:c>
      <x:c r="B12" s="10" t="str">
        <x:v>L2</x:v>
      </x:c>
      <x:c r="C12" s="10" t="str">
        <x:v>缓存与后台上传</x:v>
      </x:c>
      <x:c r="D12" s="10" t="str">
        <x:v>test_remount_on_writeback</x:v>
      </x:c>
      <x:c r="E12" s="10" t="str">
        <x:v>Shell 测试函数</x:v>
      </x:c>
      <x:c r="F12" s="10" t="str">
        <x:v>待执行</x:v>
      </x:c>
      <x:c r="G12" s="10" t="str">
        <x:v>其他平台／集成；根据 workflow 条件选择</x:v>
      </x:c>
      <x:c r="H12" s="10" t="str">
        <x:v>.github/scripts/cache.sh:90</x:v>
      </x:c>
      <x:c r="I12" s="10" t="str">
        <x:v>https://github.com/juicedata/juicefs/blob/30190ca1094d26e85f19a979ca51b0ea19af1eaa/.github/scripts/cache.sh#L90</x:v>
      </x:c>
      <x:c r="J12" s="10" t="str">
        <x:v>未提升为 Windows 执行项</x:v>
      </x:c>
      <x:c r="K12" s="10" t="str">
        <x:v>见源文件及 CI 条件</x:v>
      </x:c>
      <x:c r="L12" s="10" t="str">
        <x:v>级别为源码目录初分，未执行项目不能计作通过</x:v>
      </x:c>
    </x:row>
    <x:row r="13" ht="42" customHeight="1">
      <x:c r="A13" s="11" t="str">
        <x:v>UP-45ba044ccbab</x:v>
      </x:c>
      <x:c r="B13" s="11" t="str">
        <x:v>L2</x:v>
      </x:c>
      <x:c r="C13" s="11" t="str">
        <x:v>缓存与后台上传</x:v>
      </x:c>
      <x:c r="D13" s="11" t="str">
        <x:v>test_memory_cache_none</x:v>
      </x:c>
      <x:c r="E13" s="11" t="str">
        <x:v>Shell 测试函数</x:v>
      </x:c>
      <x:c r="F13" s="11" t="str">
        <x:v>待执行</x:v>
      </x:c>
      <x:c r="G13" s="11" t="str">
        <x:v>其他平台／集成；根据 workflow 条件选择</x:v>
      </x:c>
      <x:c r="H13" s="11" t="str">
        <x:v>.github/scripts/cache.sh:104</x:v>
      </x:c>
      <x:c r="I13" s="11" t="str">
        <x:v>https://github.com/juicedata/juicefs/blob/30190ca1094d26e85f19a979ca51b0ea19af1eaa/.github/scripts/cache.sh#L104</x:v>
      </x:c>
      <x:c r="J13" s="11" t="str">
        <x:v>未提升为 Windows 执行项</x:v>
      </x:c>
      <x:c r="K13" s="11" t="str">
        <x:v>见源文件及 CI 条件</x:v>
      </x:c>
      <x:c r="L13" s="11" t="str">
        <x:v>级别为源码目录初分，未执行项目不能计作通过</x:v>
      </x:c>
    </x:row>
    <x:row r="14" ht="42" customHeight="1">
      <x:c r="A14" s="10" t="str">
        <x:v>UP-21441899df4e</x:v>
      </x:c>
      <x:c r="B14" s="10" t="str">
        <x:v>L2</x:v>
      </x:c>
      <x:c r="C14" s="10" t="str">
        <x:v>缓存与后台上传</x:v>
      </x:c>
      <x:c r="D14" s="10" t="str">
        <x:v>test_memory_cache_2_random</x:v>
      </x:c>
      <x:c r="E14" s="10" t="str">
        <x:v>Shell 测试函数</x:v>
      </x:c>
      <x:c r="F14" s="10" t="str">
        <x:v>待执行</x:v>
      </x:c>
      <x:c r="G14" s="10" t="str">
        <x:v>其他平台／集成；根据 workflow 条件选择</x:v>
      </x:c>
      <x:c r="H14" s="10" t="str">
        <x:v>.github/scripts/cache.sh:108</x:v>
      </x:c>
      <x:c r="I14" s="10" t="str">
        <x:v>https://github.com/juicedata/juicefs/blob/30190ca1094d26e85f19a979ca51b0ea19af1eaa/.github/scripts/cache.sh#L108</x:v>
      </x:c>
      <x:c r="J14" s="10" t="str">
        <x:v>未提升为 Windows 执行项</x:v>
      </x:c>
      <x:c r="K14" s="10" t="str">
        <x:v>见源文件及 CI 条件</x:v>
      </x:c>
      <x:c r="L14" s="10" t="str">
        <x:v>级别为源码目录初分，未执行项目不能计作通过</x:v>
      </x:c>
    </x:row>
    <x:row r="15" ht="42" customHeight="1">
      <x:c r="A15" s="11" t="str">
        <x:v>UP-1142716ebff9</x:v>
      </x:c>
      <x:c r="B15" s="11" t="str">
        <x:v>L2</x:v>
      </x:c>
      <x:c r="C15" s="11" t="str">
        <x:v>缓存与后台上传</x:v>
      </x:c>
      <x:c r="D15" s="11" t="str">
        <x:v>test_cache_expired</x:v>
      </x:c>
      <x:c r="E15" s="11" t="str">
        <x:v>Shell 测试函数</x:v>
      </x:c>
      <x:c r="F15" s="11" t="str">
        <x:v>待执行</x:v>
      </x:c>
      <x:c r="G15" s="11" t="str">
        <x:v>其他平台／集成；根据 workflow 条件选择</x:v>
      </x:c>
      <x:c r="H15" s="11" t="str">
        <x:v>.github/scripts/cache.sh:132</x:v>
      </x:c>
      <x:c r="I15" s="11" t="str">
        <x:v>https://github.com/juicedata/juicefs/blob/30190ca1094d26e85f19a979ca51b0ea19af1eaa/.github/scripts/cache.sh#L132</x:v>
      </x:c>
      <x:c r="J15" s="11" t="str">
        <x:v>未提升为 Windows 执行项</x:v>
      </x:c>
      <x:c r="K15" s="11" t="str">
        <x:v>见源文件及 CI 条件</x:v>
      </x:c>
      <x:c r="L15" s="11" t="str">
        <x:v>级别为源码目录初分，未执行项目不能计作通过</x:v>
      </x:c>
    </x:row>
    <x:row r="16" ht="42" customHeight="1">
      <x:c r="A16" s="10" t="str">
        <x:v>UP-675eade4ba64</x:v>
      </x:c>
      <x:c r="B16" s="10" t="str">
        <x:v>L2</x:v>
      </x:c>
      <x:c r="C16" s="10" t="str">
        <x:v>缓存与后台上传</x:v>
      </x:c>
      <x:c r="D16" s="10" t="str">
        <x:v>test_cache_expired_memory</x:v>
      </x:c>
      <x:c r="E16" s="10" t="str">
        <x:v>Shell 测试函数</x:v>
      </x:c>
      <x:c r="F16" s="10" t="str">
        <x:v>待执行</x:v>
      </x:c>
      <x:c r="G16" s="10" t="str">
        <x:v>其他平台／集成；根据 workflow 条件选择</x:v>
      </x:c>
      <x:c r="H16" s="10" t="str">
        <x:v>.github/scripts/cache.sh:136</x:v>
      </x:c>
      <x:c r="I16" s="10" t="str">
        <x:v>https://github.com/juicedata/juicefs/blob/30190ca1094d26e85f19a979ca51b0ea19af1eaa/.github/scripts/cache.sh#L136</x:v>
      </x:c>
      <x:c r="J16" s="10" t="str">
        <x:v>未提升为 Windows 执行项</x:v>
      </x:c>
      <x:c r="K16" s="10" t="str">
        <x:v>见源文件及 CI 条件</x:v>
      </x:c>
      <x:c r="L16" s="10" t="str">
        <x:v>级别为源码目录初分，未执行项目不能计作通过</x:v>
      </x:c>
    </x:row>
    <x:row r="17" ht="42" customHeight="1">
      <x:c r="A17" s="11" t="str">
        <x:v>UP-e675deebe675</x:v>
      </x:c>
      <x:c r="B17" s="11" t="str">
        <x:v>L2</x:v>
      </x:c>
      <x:c r="C17" s="11" t="str">
        <x:v>缓存与后台上传</x:v>
      </x:c>
      <x:c r="D17" s="11" t="str">
        <x:v>test_cache_large_write</x:v>
      </x:c>
      <x:c r="E17" s="11" t="str">
        <x:v>Shell 测试函数</x:v>
      </x:c>
      <x:c r="F17" s="11" t="str">
        <x:v>待执行</x:v>
      </x:c>
      <x:c r="G17" s="11" t="str">
        <x:v>其他平台／集成；根据 workflow 条件选择</x:v>
      </x:c>
      <x:c r="H17" s="11" t="str">
        <x:v>.github/scripts/cache.sh:155</x:v>
      </x:c>
      <x:c r="I17" s="11" t="str">
        <x:v>https://github.com/juicedata/juicefs/blob/30190ca1094d26e85f19a979ca51b0ea19af1eaa/.github/scripts/cache.sh#L155</x:v>
      </x:c>
      <x:c r="J17" s="11" t="str">
        <x:v>未提升为 Windows 执行项</x:v>
      </x:c>
      <x:c r="K17" s="11" t="str">
        <x:v>见源文件及 CI 条件</x:v>
      </x:c>
      <x:c r="L17" s="11" t="str">
        <x:v>级别为源码目录初分，未执行项目不能计作通过</x:v>
      </x:c>
    </x:row>
    <x:row r="18" ht="42" customHeight="1">
      <x:c r="A18" s="10" t="str">
        <x:v>UP-ee9c9c7c57dc</x:v>
      </x:c>
      <x:c r="B18" s="10" t="str">
        <x:v>L2</x:v>
      </x:c>
      <x:c r="C18" s="10" t="str">
        <x:v>缓存与后台上传</x:v>
      </x:c>
      <x:c r="D18" s="10" t="str">
        <x:v>test_cache_mode</x:v>
      </x:c>
      <x:c r="E18" s="10" t="str">
        <x:v>Shell 测试函数</x:v>
      </x:c>
      <x:c r="F18" s="10" t="str">
        <x:v>待执行</x:v>
      </x:c>
      <x:c r="G18" s="10" t="str">
        <x:v>其他平台／集成；根据 workflow 条件选择</x:v>
      </x:c>
      <x:c r="H18" s="10" t="str">
        <x:v>.github/scripts/cache.sh:170</x:v>
      </x:c>
      <x:c r="I18" s="10" t="str">
        <x:v>https://github.com/juicedata/juicefs/blob/30190ca1094d26e85f19a979ca51b0ea19af1eaa/.github/scripts/cache.sh#L170</x:v>
      </x:c>
      <x:c r="J18" s="10" t="str">
        <x:v>未提升为 Windows 执行项</x:v>
      </x:c>
      <x:c r="K18" s="10" t="str">
        <x:v>见源文件及 CI 条件</x:v>
      </x:c>
      <x:c r="L18" s="10" t="str">
        <x:v>级别为源码目录初分，未执行项目不能计作通过</x:v>
      </x:c>
    </x:row>
    <x:row r="19" ht="42" customHeight="1">
      <x:c r="A19" s="11" t="str">
        <x:v>UP-9b26b41c1e05</x:v>
      </x:c>
      <x:c r="B19" s="11" t="str">
        <x:v>L2</x:v>
      </x:c>
      <x:c r="C19" s="11" t="str">
        <x:v>缓存与后台上传</x:v>
      </x:c>
      <x:c r="D19" s="11" t="str">
        <x:v>test_cache_compressed</x:v>
      </x:c>
      <x:c r="E19" s="11" t="str">
        <x:v>Shell 测试函数</x:v>
      </x:c>
      <x:c r="F19" s="11" t="str">
        <x:v>待执行</x:v>
      </x:c>
      <x:c r="G19" s="11" t="str">
        <x:v>其他平台／集成；根据 workflow 条件选择</x:v>
      </x:c>
      <x:c r="H19" s="11" t="str">
        <x:v>.github/scripts/cache.sh:185</x:v>
      </x:c>
      <x:c r="I19" s="11" t="str">
        <x:v>https://github.com/juicedata/juicefs/blob/30190ca1094d26e85f19a979ca51b0ea19af1eaa/.github/scripts/cache.sh#L185</x:v>
      </x:c>
      <x:c r="J19" s="11" t="str">
        <x:v>未提升为 Windows 执行项</x:v>
      </x:c>
      <x:c r="K19" s="11" t="str">
        <x:v>见源文件及 CI 条件</x:v>
      </x:c>
      <x:c r="L19" s="11" t="str">
        <x:v>级别为源码目录初分，未执行项目不能计作通过</x:v>
      </x:c>
    </x:row>
    <x:row r="20" ht="42" customHeight="1">
      <x:c r="A20" s="10" t="str">
        <x:v>UP-25ddbb3f2165</x:v>
      </x:c>
      <x:c r="B20" s="10" t="str">
        <x:v>L2</x:v>
      </x:c>
      <x:c r="C20" s="10" t="str">
        <x:v>缓存与后台上传</x:v>
      </x:c>
      <x:c r="D20" s="10" t="str">
        <x:v>test_cache_checksum_none</x:v>
      </x:c>
      <x:c r="E20" s="10" t="str">
        <x:v>Shell 测试函数</x:v>
      </x:c>
      <x:c r="F20" s="10" t="str">
        <x:v>待执行</x:v>
      </x:c>
      <x:c r="G20" s="10" t="str">
        <x:v>其他平台／集成；根据 workflow 条件选择</x:v>
      </x:c>
      <x:c r="H20" s="10" t="str">
        <x:v>.github/scripts/cache.sh:199</x:v>
      </x:c>
      <x:c r="I20" s="10" t="str">
        <x:v>https://github.com/juicedata/juicefs/blob/30190ca1094d26e85f19a979ca51b0ea19af1eaa/.github/scripts/cache.sh#L199</x:v>
      </x:c>
      <x:c r="J20" s="10" t="str">
        <x:v>未提升为 Windows 执行项</x:v>
      </x:c>
      <x:c r="K20" s="10" t="str">
        <x:v>见源文件及 CI 条件</x:v>
      </x:c>
      <x:c r="L20" s="10" t="str">
        <x:v>级别为源码目录初分，未执行项目不能计作通过</x:v>
      </x:c>
    </x:row>
    <x:row r="21" ht="42" customHeight="1">
      <x:c r="A21" s="11" t="str">
        <x:v>UP-4ba7142e5e7a</x:v>
      </x:c>
      <x:c r="B21" s="11" t="str">
        <x:v>L2</x:v>
      </x:c>
      <x:c r="C21" s="11" t="str">
        <x:v>缓存与后台上传</x:v>
      </x:c>
      <x:c r="D21" s="11" t="str">
        <x:v>test_cache_checksum_full</x:v>
      </x:c>
      <x:c r="E21" s="11" t="str">
        <x:v>Shell 测试函数</x:v>
      </x:c>
      <x:c r="F21" s="11" t="str">
        <x:v>待执行</x:v>
      </x:c>
      <x:c r="G21" s="11" t="str">
        <x:v>其他平台／集成；根据 workflow 条件选择</x:v>
      </x:c>
      <x:c r="H21" s="11" t="str">
        <x:v>.github/scripts/cache.sh:203</x:v>
      </x:c>
      <x:c r="I21" s="11" t="str">
        <x:v>https://github.com/juicedata/juicefs/blob/30190ca1094d26e85f19a979ca51b0ea19af1eaa/.github/scripts/cache.sh#L203</x:v>
      </x:c>
      <x:c r="J21" s="11" t="str">
        <x:v>未提升为 Windows 执行项</x:v>
      </x:c>
      <x:c r="K21" s="11" t="str">
        <x:v>见源文件及 CI 条件</x:v>
      </x:c>
      <x:c r="L21" s="11" t="str">
        <x:v>级别为源码目录初分，未执行项目不能计作通过</x:v>
      </x:c>
    </x:row>
    <x:row r="22" ht="42" customHeight="1">
      <x:c r="A22" s="10" t="str">
        <x:v>UP-3f75b276ae91</x:v>
      </x:c>
      <x:c r="B22" s="10" t="str">
        <x:v>L2</x:v>
      </x:c>
      <x:c r="C22" s="10" t="str">
        <x:v>缓存与后台上传</x:v>
      </x:c>
      <x:c r="D22" s="10" t="str">
        <x:v>test_cache_checksum_shrink</x:v>
      </x:c>
      <x:c r="E22" s="10" t="str">
        <x:v>Shell 测试函数</x:v>
      </x:c>
      <x:c r="F22" s="10" t="str">
        <x:v>待执行</x:v>
      </x:c>
      <x:c r="G22" s="10" t="str">
        <x:v>其他平台／集成；根据 workflow 条件选择</x:v>
      </x:c>
      <x:c r="H22" s="10" t="str">
        <x:v>.github/scripts/cache.sh:207</x:v>
      </x:c>
      <x:c r="I22" s="10" t="str">
        <x:v>https://github.com/juicedata/juicefs/blob/30190ca1094d26e85f19a979ca51b0ea19af1eaa/.github/scripts/cache.sh#L207</x:v>
      </x:c>
      <x:c r="J22" s="10" t="str">
        <x:v>未提升为 Windows 执行项</x:v>
      </x:c>
      <x:c r="K22" s="10" t="str">
        <x:v>见源文件及 CI 条件</x:v>
      </x:c>
      <x:c r="L22" s="10" t="str">
        <x:v>级别为源码目录初分，未执行项目不能计作通过</x:v>
      </x:c>
    </x:row>
    <x:row r="23" ht="42" customHeight="1">
      <x:c r="A23" s="11" t="str">
        <x:v>UP-d89303e3a0ed</x:v>
      </x:c>
      <x:c r="B23" s="11" t="str">
        <x:v>L2</x:v>
      </x:c>
      <x:c r="C23" s="11" t="str">
        <x:v>缓存与后台上传</x:v>
      </x:c>
      <x:c r="D23" s="11" t="str">
        <x:v>test_cache_checksum_extend</x:v>
      </x:c>
      <x:c r="E23" s="11" t="str">
        <x:v>Shell 测试函数</x:v>
      </x:c>
      <x:c r="F23" s="11" t="str">
        <x:v>待执行</x:v>
      </x:c>
      <x:c r="G23" s="11" t="str">
        <x:v>其他平台／集成；根据 workflow 条件选择</x:v>
      </x:c>
      <x:c r="H23" s="11" t="str">
        <x:v>.github/scripts/cache.sh:211</x:v>
      </x:c>
      <x:c r="I23" s="11" t="str">
        <x:v>https://github.com/juicedata/juicefs/blob/30190ca1094d26e85f19a979ca51b0ea19af1eaa/.github/scripts/cache.sh#L211</x:v>
      </x:c>
      <x:c r="J23" s="11" t="str">
        <x:v>未提升为 Windows 执行项</x:v>
      </x:c>
      <x:c r="K23" s="11" t="str">
        <x:v>见源文件及 CI 条件</x:v>
      </x:c>
      <x:c r="L23" s="11" t="str">
        <x:v>级别为源码目录初分，未执行项目不能计作通过</x:v>
      </x:c>
    </x:row>
    <x:row r="24" ht="42" customHeight="1">
      <x:c r="A24" s="10" t="str">
        <x:v>UP-72d1874d0811</x:v>
      </x:c>
      <x:c r="B24" s="10" t="str">
        <x:v>L2</x:v>
      </x:c>
      <x:c r="C24" s="10" t="str">
        <x:v>缓存与后台上传</x:v>
      </x:c>
      <x:c r="D24" s="10" t="str">
        <x:v>test_disk_full_2_random</x:v>
      </x:c>
      <x:c r="E24" s="10" t="str">
        <x:v>Shell 测试函数</x:v>
      </x:c>
      <x:c r="F24" s="10" t="str">
        <x:v>待执行</x:v>
      </x:c>
      <x:c r="G24" s="10" t="str">
        <x:v>其他平台／集成；根据 workflow 条件选择</x:v>
      </x:c>
      <x:c r="H24" s="10" t="str">
        <x:v>.github/scripts/cache.sh:225</x:v>
      </x:c>
      <x:c r="I24" s="10" t="str">
        <x:v>https://github.com/juicedata/juicefs/blob/30190ca1094d26e85f19a979ca51b0ea19af1eaa/.github/scripts/cache.sh#L225</x:v>
      </x:c>
      <x:c r="J24" s="10" t="str">
        <x:v>未提升为 Windows 执行项</x:v>
      </x:c>
      <x:c r="K24" s="10" t="str">
        <x:v>见源文件及 CI 条件</x:v>
      </x:c>
      <x:c r="L24" s="10" t="str">
        <x:v>级别为源码目录初分，未执行项目不能计作通过</x:v>
      </x:c>
    </x:row>
    <x:row r="25" ht="42" customHeight="1">
      <x:c r="A25" s="11" t="str">
        <x:v>UP-4ebdd5d91ce8</x:v>
      </x:c>
      <x:c r="B25" s="11" t="str">
        <x:v>L2</x:v>
      </x:c>
      <x:c r="C25" s="11" t="str">
        <x:v>缓存与后台上传</x:v>
      </x:c>
      <x:c r="D25" s="11" t="str">
        <x:v>test_disk_full_none</x:v>
      </x:c>
      <x:c r="E25" s="11" t="str">
        <x:v>Shell 测试函数</x:v>
      </x:c>
      <x:c r="F25" s="11" t="str">
        <x:v>待执行</x:v>
      </x:c>
      <x:c r="G25" s="11" t="str">
        <x:v>其他平台／集成；根据 workflow 条件选择</x:v>
      </x:c>
      <x:c r="H25" s="11" t="str">
        <x:v>.github/scripts/cache.sh:229</x:v>
      </x:c>
      <x:c r="I25" s="11" t="str">
        <x:v>https://github.com/juicedata/juicefs/blob/30190ca1094d26e85f19a979ca51b0ea19af1eaa/.github/scripts/cache.sh#L229</x:v>
      </x:c>
      <x:c r="J25" s="11" t="str">
        <x:v>未提升为 Windows 执行项</x:v>
      </x:c>
      <x:c r="K25" s="11" t="str">
        <x:v>见源文件及 CI 条件</x:v>
      </x:c>
      <x:c r="L25" s="11" t="str">
        <x:v>级别为源码目录初分，未执行项目不能计作通过</x:v>
      </x:c>
    </x:row>
    <x:row r="26" ht="42" customHeight="1">
      <x:c r="A26" s="10" t="str">
        <x:v>UP-e13f40b82122</x:v>
      </x:c>
      <x:c r="B26" s="10" t="str">
        <x:v>L2</x:v>
      </x:c>
      <x:c r="C26" s="10" t="str">
        <x:v>缓存与后台上传</x:v>
      </x:c>
      <x:c r="D26" s="10" t="str">
        <x:v>test_inode_full</x:v>
      </x:c>
      <x:c r="E26" s="10" t="str">
        <x:v>Shell 测试函数</x:v>
      </x:c>
      <x:c r="F26" s="10" t="str">
        <x:v>待执行</x:v>
      </x:c>
      <x:c r="G26" s="10" t="str">
        <x:v>其他平台／集成；根据 workflow 条件选择</x:v>
      </x:c>
      <x:c r="H26" s="10" t="str">
        <x:v>.github/scripts/cache.sh:255</x:v>
      </x:c>
      <x:c r="I26" s="10" t="str">
        <x:v>https://github.com/juicedata/juicefs/blob/30190ca1094d26e85f19a979ca51b0ea19af1eaa/.github/scripts/cache.sh#L255</x:v>
      </x:c>
      <x:c r="J26" s="10" t="str">
        <x:v>未提升为 Windows 执行项</x:v>
      </x:c>
      <x:c r="K26" s="10" t="str">
        <x:v>见源文件及 CI 条件</x:v>
      </x:c>
      <x:c r="L26" s="10" t="str">
        <x:v>级别为源码目录初分，未执行项目不能计作通过</x:v>
      </x:c>
    </x:row>
    <x:row r="27" ht="42" customHeight="1">
      <x:c r="A27" s="11" t="str">
        <x:v>UP-3db2f4346479</x:v>
      </x:c>
      <x:c r="B27" s="11" t="str">
        <x:v>L2</x:v>
      </x:c>
      <x:c r="C27" s="11" t="str">
        <x:v>缓存与后台上传</x:v>
      </x:c>
      <x:c r="D27" s="11" t="str">
        <x:v>test_disk_full_with_writeback</x:v>
      </x:c>
      <x:c r="E27" s="11" t="str">
        <x:v>Shell 测试函数</x:v>
      </x:c>
      <x:c r="F27" s="11" t="str">
        <x:v>待执行</x:v>
      </x:c>
      <x:c r="G27" s="11" t="str">
        <x:v>其他平台／集成；根据 workflow 条件选择</x:v>
      </x:c>
      <x:c r="H27" s="11" t="str">
        <x:v>.github/scripts/cache.sh:268</x:v>
      </x:c>
      <x:c r="I27" s="11" t="str">
        <x:v>https://github.com/juicedata/juicefs/blob/30190ca1094d26e85f19a979ca51b0ea19af1eaa/.github/scripts/cache.sh#L268</x:v>
      </x:c>
      <x:c r="J27" s="11" t="str">
        <x:v>未提升为 Windows 执行项</x:v>
      </x:c>
      <x:c r="K27" s="11" t="str">
        <x:v>见源文件及 CI 条件</x:v>
      </x:c>
      <x:c r="L27" s="11" t="str">
        <x:v>级别为源码目录初分，未执行项目不能计作通过</x:v>
      </x:c>
    </x:row>
    <x:row r="28" ht="42" customHeight="1">
      <x:c r="A28" s="10" t="str">
        <x:v>UP-850ddc888e63</x:v>
      </x:c>
      <x:c r="B28" s="10" t="str">
        <x:v>L2</x:v>
      </x:c>
      <x:c r="C28" s="10" t="str">
        <x:v>缓存与后台上传</x:v>
      </x:c>
      <x:c r="D28" s="10" t="str">
        <x:v>test_disk_failover</x:v>
      </x:c>
      <x:c r="E28" s="10" t="str">
        <x:v>Shell 测试函数</x:v>
      </x:c>
      <x:c r="F28" s="10" t="str">
        <x:v>待执行</x:v>
      </x:c>
      <x:c r="G28" s="10" t="str">
        <x:v>其他平台／集成；根据 workflow 条件选择</x:v>
      </x:c>
      <x:c r="H28" s="10" t="str">
        <x:v>.github/scripts/cache.sh:284</x:v>
      </x:c>
      <x:c r="I28" s="10" t="str">
        <x:v>https://github.com/juicedata/juicefs/blob/30190ca1094d26e85f19a979ca51b0ea19af1eaa/.github/scripts/cache.sh#L284</x:v>
      </x:c>
      <x:c r="J28" s="10" t="str">
        <x:v>未提升为 Windows 执行项</x:v>
      </x:c>
      <x:c r="K28" s="10" t="str">
        <x:v>见源文件及 CI 条件</x:v>
      </x:c>
      <x:c r="L28" s="10" t="str">
        <x:v>级别为源码目录初分，未执行项目不能计作通过</x:v>
      </x:c>
    </x:row>
    <x:row r="29" ht="42" customHeight="1">
      <x:c r="A29" s="11" t="str">
        <x:v>UP-a93a23f4fff4</x:v>
      </x:c>
      <x:c r="B29" s="11" t="str">
        <x:v>L2</x:v>
      </x:c>
      <x:c r="C29" s="11" t="str">
        <x:v>缓存与后台上传</x:v>
      </x:c>
      <x:c r="D29" s="11" t="str">
        <x:v>test_disk_failure_on_writeback</x:v>
      </x:c>
      <x:c r="E29" s="11" t="str">
        <x:v>Shell 测试函数</x:v>
      </x:c>
      <x:c r="F29" s="11" t="str">
        <x:v>待执行</x:v>
      </x:c>
      <x:c r="G29" s="11" t="str">
        <x:v>其他平台／集成；根据 workflow 条件选择</x:v>
      </x:c>
      <x:c r="H29" s="11" t="str">
        <x:v>.github/scripts/cache.sh:309</x:v>
      </x:c>
      <x:c r="I29" s="11" t="str">
        <x:v>https://github.com/juicedata/juicefs/blob/30190ca1094d26e85f19a979ca51b0ea19af1eaa/.github/scripts/cache.sh#L309</x:v>
      </x:c>
      <x:c r="J29" s="11" t="str">
        <x:v>未提升为 Windows 执行项</x:v>
      </x:c>
      <x:c r="K29" s="11" t="str">
        <x:v>见源文件及 CI 条件</x:v>
      </x:c>
      <x:c r="L29" s="11" t="str">
        <x:v>级别为源码目录初分，未执行项目不能计作通过</x:v>
      </x:c>
    </x:row>
    <x:row r="30" ht="42" customHeight="1">
      <x:c r="A30" s="10" t="str">
        <x:v>UP-945dbe9d47b9</x:v>
      </x:c>
      <x:c r="B30" s="10" t="str">
        <x:v>L3</x:v>
      </x:c>
      <x:c r="C30" s="10" t="str">
        <x:v>应用与界面兼容</x:v>
      </x:c>
      <x:c r="D30" s="10" t="str">
        <x:v>文件入口</x:v>
      </x:c>
      <x:c r="E30" s="10" t="str">
        <x:v>配置或辅助文件</x:v>
      </x:c>
      <x:c r="F30" s="10" t="str">
        <x:v>辅助文件</x:v>
      </x:c>
      <x:c r="G30" s="10" t="str">
        <x:v>其他平台／集成；根据 workflow 条件选择</x:v>
      </x:c>
      <x:c r="H30" s="10" t="str">
        <x:v>.github/scripts/check_juicefs_log.sh:1</x:v>
      </x:c>
      <x:c r="I30" s="10" t="str">
        <x:v>https://github.com/juicedata/juicefs/blob/30190ca1094d26e85f19a979ca51b0ea19af1eaa/.github/scripts/check_juicefs_log.sh#L1</x:v>
      </x:c>
      <x:c r="J30" s="10" t="str">
        <x:v>未提升为 Windows 执行项</x:v>
      </x:c>
      <x:c r="K30" s="10" t="str">
        <x:v>见源文件及 CI 条件</x:v>
      </x:c>
      <x:c r="L30" s="10" t="str">
        <x:v>无可静态枚举的命名测试函数；保留文件范围，不推定已执行；级别为源码目录初分，未执行项目不能计作通过</x:v>
      </x:c>
    </x:row>
    <x:row r="31" ht="42" customHeight="1">
      <x:c r="A31" s="11" t="str">
        <x:v>UP-6df69c196320</x:v>
      </x:c>
      <x:c r="B31" s="11" t="str">
        <x:v>L3</x:v>
      </x:c>
      <x:c r="C31" s="11" t="str">
        <x:v>应用与界面兼容</x:v>
      </x:c>
      <x:c r="D31" s="11" t="str">
        <x:v>文件入口</x:v>
      </x:c>
      <x:c r="E31" s="11" t="str">
        <x:v>配置或辅助文件</x:v>
      </x:c>
      <x:c r="F31" s="11" t="str">
        <x:v>辅助文件</x:v>
      </x:c>
      <x:c r="G31" s="11" t="str">
        <x:v>其他平台／集成；根据 workflow 条件选择</x:v>
      </x:c>
      <x:c r="H31" s="11" t="str">
        <x:v>.github/scripts/cmptree.py:1</x:v>
      </x:c>
      <x:c r="I31" s="11" t="str">
        <x:v>https://github.com/juicedata/juicefs/blob/30190ca1094d26e85f19a979ca51b0ea19af1eaa/.github/scripts/cmptree.py#L1</x:v>
      </x:c>
      <x:c r="J31" s="11" t="str">
        <x:v>未提升为 Windows 执行项</x:v>
      </x:c>
      <x:c r="K31" s="11" t="str">
        <x:v>见源文件及 CI 条件</x:v>
      </x:c>
      <x:c r="L31" s="11" t="str">
        <x:v>无可静态枚举的命名测试函数；保留文件范围，不推定已执行；级别为源码目录初分，未执行项目不能计作通过</x:v>
      </x:c>
    </x:row>
    <x:row r="32" ht="42" customHeight="1">
      <x:c r="A32" s="10" t="str">
        <x:v>UP-cf937e567c9e</x:v>
      </x:c>
      <x:c r="B32" s="10" t="str">
        <x:v>L2</x:v>
      </x:c>
      <x:c r="C32" s="10" t="str">
        <x:v>属性与权限</x:v>
      </x:c>
      <x:c r="D32" s="10" t="str">
        <x:v>test_acl_with_kernel_check</x:v>
      </x:c>
      <x:c r="E32" s="10" t="str">
        <x:v>Shell 测试函数</x:v>
      </x:c>
      <x:c r="F32" s="10" t="str">
        <x:v>待执行</x:v>
      </x:c>
      <x:c r="G32" s="10" t="str">
        <x:v>其他平台／集成；根据 workflow 条件选择</x:v>
      </x:c>
      <x:c r="H32" s="10" t="str">
        <x:v>.github/scripts/command/acl.sh:17</x:v>
      </x:c>
      <x:c r="I32" s="10" t="str">
        <x:v>https://github.com/juicedata/juicefs/blob/30190ca1094d26e85f19a979ca51b0ea19af1eaa/.github/scripts/command/acl.sh#L17</x:v>
      </x:c>
      <x:c r="J32" s="10" t="str">
        <x:v>未提升为 Windows 执行项</x:v>
      </x:c>
      <x:c r="K32" s="10" t="str">
        <x:v>见源文件及 CI 条件</x:v>
      </x:c>
      <x:c r="L32" s="10" t="str">
        <x:v>级别为源码目录初分，未执行项目不能计作通过</x:v>
      </x:c>
    </x:row>
    <x:row r="33" ht="42" customHeight="1">
      <x:c r="A33" s="11" t="str">
        <x:v>UP-34f9fafcfc9f</x:v>
      </x:c>
      <x:c r="B33" s="11" t="str">
        <x:v>L2</x:v>
      </x:c>
      <x:c r="C33" s="11" t="str">
        <x:v>属性与权限</x:v>
      </x:c>
      <x:c r="D33" s="11" t="str">
        <x:v>test_acl_with_user_space_check</x:v>
      </x:c>
      <x:c r="E33" s="11" t="str">
        <x:v>Shell 测试函数</x:v>
      </x:c>
      <x:c r="F33" s="11" t="str">
        <x:v>待执行</x:v>
      </x:c>
      <x:c r="G33" s="11" t="str">
        <x:v>其他平台／集成；根据 workflow 条件选择</x:v>
      </x:c>
      <x:c r="H33" s="11" t="str">
        <x:v>.github/scripts/command/acl.sh:25</x:v>
      </x:c>
      <x:c r="I33" s="11" t="str">
        <x:v>https://github.com/juicedata/juicefs/blob/30190ca1094d26e85f19a979ca51b0ea19af1eaa/.github/scripts/command/acl.sh#L25</x:v>
      </x:c>
      <x:c r="J33" s="11" t="str">
        <x:v>未提升为 Windows 执行项</x:v>
      </x:c>
      <x:c r="K33" s="11" t="str">
        <x:v>见源文件及 CI 条件</x:v>
      </x:c>
      <x:c r="L33" s="11" t="str">
        <x:v>级别为源码目录初分，未执行项目不能计作通过</x:v>
      </x:c>
    </x:row>
    <x:row r="34" ht="42" customHeight="1">
      <x:c r="A34" s="10" t="str">
        <x:v>UP-854a04af2f7c</x:v>
      </x:c>
      <x:c r="B34" s="10" t="str">
        <x:v>L2</x:v>
      </x:c>
      <x:c r="C34" s="10" t="str">
        <x:v>属性与权限</x:v>
      </x:c>
      <x:c r="D34" s="10" t="str">
        <x:v>test_modify_acl_config</x:v>
      </x:c>
      <x:c r="E34" s="10" t="str">
        <x:v>Shell 测试函数</x:v>
      </x:c>
      <x:c r="F34" s="10" t="str">
        <x:v>待执行</x:v>
      </x:c>
      <x:c r="G34" s="10" t="str">
        <x:v>其他平台／集成；根据 workflow 条件选择</x:v>
      </x:c>
      <x:c r="H34" s="10" t="str">
        <x:v>.github/scripts/command/acl.sh:33</x:v>
      </x:c>
      <x:c r="I34" s="10" t="str">
        <x:v>https://github.com/juicedata/juicefs/blob/30190ca1094d26e85f19a979ca51b0ea19af1eaa/.github/scripts/command/acl.sh#L33</x:v>
      </x:c>
      <x:c r="J34" s="10" t="str">
        <x:v>未提升为 Windows 执行项</x:v>
      </x:c>
      <x:c r="K34" s="10" t="str">
        <x:v>见源文件及 CI 条件</x:v>
      </x:c>
      <x:c r="L34" s="10" t="str">
        <x:v>级别为源码目录初分，未执行项目不能计作通过</x:v>
      </x:c>
    </x:row>
    <x:row r="35" ht="42" customHeight="1">
      <x:c r="A35" s="11" t="str">
        <x:v>UP-e8dc56bd0284</x:v>
      </x:c>
      <x:c r="B35" s="11" t="str">
        <x:v>L2</x:v>
      </x:c>
      <x:c r="C35" s="11" t="str">
        <x:v>应用与界面兼容</x:v>
      </x:c>
      <x:c r="D35" s="11" t="str">
        <x:v>test_clone_preserve_with_file</x:v>
      </x:c>
      <x:c r="E35" s="11" t="str">
        <x:v>Shell 测试函数</x:v>
      </x:c>
      <x:c r="F35" s="11" t="str">
        <x:v>待执行</x:v>
      </x:c>
      <x:c r="G35" s="11" t="str">
        <x:v>其他平台／集成；根据 workflow 条件选择</x:v>
      </x:c>
      <x:c r="H35" s="11" t="str">
        <x:v>.github/scripts/command/clone.sh:9</x:v>
      </x:c>
      <x:c r="I35" s="11" t="str">
        <x:v>https://github.com/juicedata/juicefs/blob/30190ca1094d26e85f19a979ca51b0ea19af1eaa/.github/scripts/command/clone.sh#L9</x:v>
      </x:c>
      <x:c r="J35" s="11" t="str">
        <x:v>未提升为 Windows 执行项</x:v>
      </x:c>
      <x:c r="K35" s="11" t="str">
        <x:v>见源文件及 CI 条件</x:v>
      </x:c>
      <x:c r="L35" s="11" t="str">
        <x:v>级别为源码目录初分，未执行项目不能计作通过</x:v>
      </x:c>
    </x:row>
    <x:row r="36" ht="42" customHeight="1">
      <x:c r="A36" s="10" t="str">
        <x:v>UP-1ea8a86fa001</x:v>
      </x:c>
      <x:c r="B36" s="10" t="str">
        <x:v>L2</x:v>
      </x:c>
      <x:c r="C36" s="10" t="str">
        <x:v>应用与界面兼容</x:v>
      </x:c>
      <x:c r="D36" s="10" t="str">
        <x:v>test_clone_preserve_with_dir</x:v>
      </x:c>
      <x:c r="E36" s="10" t="str">
        <x:v>Shell 测试函数</x:v>
      </x:c>
      <x:c r="F36" s="10" t="str">
        <x:v>待执行</x:v>
      </x:c>
      <x:c r="G36" s="10" t="str">
        <x:v>其他平台／集成；根据 workflow 条件选择</x:v>
      </x:c>
      <x:c r="H36" s="10" t="str">
        <x:v>.github/scripts/command/clone.sh:24</x:v>
      </x:c>
      <x:c r="I36" s="10" t="str">
        <x:v>https://github.com/juicedata/juicefs/blob/30190ca1094d26e85f19a979ca51b0ea19af1eaa/.github/scripts/command/clone.sh#L24</x:v>
      </x:c>
      <x:c r="J36" s="10" t="str">
        <x:v>未提升为 Windows 执行项</x:v>
      </x:c>
      <x:c r="K36" s="10" t="str">
        <x:v>见源文件及 CI 条件</x:v>
      </x:c>
      <x:c r="L36" s="10" t="str">
        <x:v>级别为源码目录初分，未执行项目不能计作通过</x:v>
      </x:c>
    </x:row>
    <x:row r="37" ht="42" customHeight="1">
      <x:c r="A37" s="11" t="str">
        <x:v>UP-adafa92281a3</x:v>
      </x:c>
      <x:c r="B37" s="11" t="str">
        <x:v>L2</x:v>
      </x:c>
      <x:c r="C37" s="11" t="str">
        <x:v>应用与界面兼容</x:v>
      </x:c>
      <x:c r="D37" s="11" t="str">
        <x:v>test_clone_with_jfs_source</x:v>
      </x:c>
      <x:c r="E37" s="11" t="str">
        <x:v>Shell 测试函数</x:v>
      </x:c>
      <x:c r="F37" s="11" t="str">
        <x:v>待执行</x:v>
      </x:c>
      <x:c r="G37" s="11" t="str">
        <x:v>其他平台／集成；根据 workflow 条件选择</x:v>
      </x:c>
      <x:c r="H37" s="11" t="str">
        <x:v>.github/scripts/command/clone.sh:39</x:v>
      </x:c>
      <x:c r="I37" s="11" t="str">
        <x:v>https://github.com/juicedata/juicefs/blob/30190ca1094d26e85f19a979ca51b0ea19af1eaa/.github/scripts/command/clone.sh#L39</x:v>
      </x:c>
      <x:c r="J37" s="11" t="str">
        <x:v>未提升为 Windows 执行项</x:v>
      </x:c>
      <x:c r="K37" s="11" t="str">
        <x:v>见源文件及 CI 条件</x:v>
      </x:c>
      <x:c r="L37" s="11" t="str">
        <x:v>级别为源码目录初分，未执行项目不能计作通过</x:v>
      </x:c>
    </x:row>
    <x:row r="38" ht="42" customHeight="1">
      <x:c r="A38" s="10" t="str">
        <x:v>UP-8f0dd2b514ce</x:v>
      </x:c>
      <x:c r="B38" s="10" t="str">
        <x:v>L2</x:v>
      </x:c>
      <x:c r="C38" s="10" t="str">
        <x:v>应用与界面兼容</x:v>
      </x:c>
      <x:c r="D38" s="10" t="str">
        <x:v>test_clone_with_big_file</x:v>
      </x:c>
      <x:c r="E38" s="10" t="str">
        <x:v>Shell 测试函数</x:v>
      </x:c>
      <x:c r="F38" s="10" t="str">
        <x:v>待执行</x:v>
      </x:c>
      <x:c r="G38" s="10" t="str">
        <x:v>其他平台／集成；根据 workflow 条件选择</x:v>
      </x:c>
      <x:c r="H38" s="10" t="str">
        <x:v>.github/scripts/command/clone.sh:74</x:v>
      </x:c>
      <x:c r="I38" s="10" t="str">
        <x:v>https://github.com/juicedata/juicefs/blob/30190ca1094d26e85f19a979ca51b0ea19af1eaa/.github/scripts/command/clone.sh#L74</x:v>
      </x:c>
      <x:c r="J38" s="10" t="str">
        <x:v>未提升为 Windows 执行项</x:v>
      </x:c>
      <x:c r="K38" s="10" t="str">
        <x:v>见源文件及 CI 条件</x:v>
      </x:c>
      <x:c r="L38" s="10" t="str">
        <x:v>级别为源码目录初分，未执行项目不能计作通过</x:v>
      </x:c>
    </x:row>
    <x:row r="39" ht="42" customHeight="1">
      <x:c r="A39" s="11" t="str">
        <x:v>UP-f35406bc8280</x:v>
      </x:c>
      <x:c r="B39" s="11" t="str">
        <x:v>L2</x:v>
      </x:c>
      <x:c r="C39" s="11" t="str">
        <x:v>应用与界面兼容</x:v>
      </x:c>
      <x:c r="D39" s="11" t="str">
        <x:v>test_clone_with_big_file2</x:v>
      </x:c>
      <x:c r="E39" s="11" t="str">
        <x:v>Shell 测试函数</x:v>
      </x:c>
      <x:c r="F39" s="11" t="str">
        <x:v>待执行</x:v>
      </x:c>
      <x:c r="G39" s="11" t="str">
        <x:v>其他平台／集成；根据 workflow 条件选择</x:v>
      </x:c>
      <x:c r="H39" s="11" t="str">
        <x:v>.github/scripts/command/clone.sh:85</x:v>
      </x:c>
      <x:c r="I39" s="11" t="str">
        <x:v>https://github.com/juicedata/juicefs/blob/30190ca1094d26e85f19a979ca51b0ea19af1eaa/.github/scripts/command/clone.sh#L85</x:v>
      </x:c>
      <x:c r="J39" s="11" t="str">
        <x:v>未提升为 Windows 执行项</x:v>
      </x:c>
      <x:c r="K39" s="11" t="str">
        <x:v>见源文件及 CI 条件</x:v>
      </x:c>
      <x:c r="L39" s="11" t="str">
        <x:v>级别为源码目录初分，未执行项目不能计作通过</x:v>
      </x:c>
    </x:row>
    <x:row r="40" ht="42" customHeight="1">
      <x:c r="A40" s="10" t="str">
        <x:v>UP-91f819242a56</x:v>
      </x:c>
      <x:c r="B40" s="10" t="str">
        <x:v>L1</x:v>
      </x:c>
      <x:c r="C40" s="10" t="str">
        <x:v>文件读写与完整性</x:v>
      </x:c>
      <x:c r="D40" s="10" t="str">
        <x:v>test_clone_with_random_write</x:v>
      </x:c>
      <x:c r="E40" s="10" t="str">
        <x:v>Shell 测试函数</x:v>
      </x:c>
      <x:c r="F40" s="10" t="str">
        <x:v>待执行</x:v>
      </x:c>
      <x:c r="G40" s="10" t="str">
        <x:v>其他平台／集成；根据 workflow 条件选择</x:v>
      </x:c>
      <x:c r="H40" s="10" t="str">
        <x:v>.github/scripts/command/clone.sh:98</x:v>
      </x:c>
      <x:c r="I40" s="10" t="str">
        <x:v>https://github.com/juicedata/juicefs/blob/30190ca1094d26e85f19a979ca51b0ea19af1eaa/.github/scripts/command/clone.sh#L98</x:v>
      </x:c>
      <x:c r="J40" s="10" t="str">
        <x:v>未提升为 Windows 执行项</x:v>
      </x:c>
      <x:c r="K40" s="10" t="str">
        <x:v>见源文件及 CI 条件</x:v>
      </x:c>
      <x:c r="L40" s="10" t="str">
        <x:v>级别为源码目录初分，未执行项目不能计作通过</x:v>
      </x:c>
    </x:row>
    <x:row r="41" ht="42" customHeight="1">
      <x:c r="A41" s="11" t="str">
        <x:v>UP-a274f92997e9</x:v>
      </x:c>
      <x:c r="B41" s="11" t="str">
        <x:v>L2</x:v>
      </x:c>
      <x:c r="C41" s="11" t="str">
        <x:v>应用与界面兼容</x:v>
      </x:c>
      <x:c r="D41" s="11" t="str">
        <x:v>test_clone_with_sparse_file</x:v>
      </x:c>
      <x:c r="E41" s="11" t="str">
        <x:v>Shell 测试函数</x:v>
      </x:c>
      <x:c r="F41" s="11" t="str">
        <x:v>待执行</x:v>
      </x:c>
      <x:c r="G41" s="11" t="str">
        <x:v>其他平台／集成；根据 workflow 条件选择</x:v>
      </x:c>
      <x:c r="H41" s="11" t="str">
        <x:v>.github/scripts/command/clone.sh:108</x:v>
      </x:c>
      <x:c r="I41" s="11" t="str">
        <x:v>https://github.com/juicedata/juicefs/blob/30190ca1094d26e85f19a979ca51b0ea19af1eaa/.github/scripts/command/clone.sh#L108</x:v>
      </x:c>
      <x:c r="J41" s="11" t="str">
        <x:v>未提升为 Windows 执行项</x:v>
      </x:c>
      <x:c r="K41" s="11" t="str">
        <x:v>见源文件及 CI 条件</x:v>
      </x:c>
      <x:c r="L41" s="11" t="str">
        <x:v>级别为源码目录初分，未执行项目不能计作通过</x:v>
      </x:c>
    </x:row>
    <x:row r="42" ht="42" customHeight="1">
      <x:c r="A42" s="10" t="str">
        <x:v>UP-950f1085e88f</x:v>
      </x:c>
      <x:c r="B42" s="10" t="str">
        <x:v>L2</x:v>
      </x:c>
      <x:c r="C42" s="10" t="str">
        <x:v>应用与界面兼容</x:v>
      </x:c>
      <x:c r="D42" s="10" t="str">
        <x:v>test_clone_with_sparse_file2</x:v>
      </x:c>
      <x:c r="E42" s="10" t="str">
        <x:v>Shell 测试函数</x:v>
      </x:c>
      <x:c r="F42" s="10" t="str">
        <x:v>待执行</x:v>
      </x:c>
      <x:c r="G42" s="10" t="str">
        <x:v>其他平台／集成；根据 workflow 条件选择</x:v>
      </x:c>
      <x:c r="H42" s="10" t="str">
        <x:v>.github/scripts/command/clone.sh:118</x:v>
      </x:c>
      <x:c r="I42" s="10" t="str">
        <x:v>https://github.com/juicedata/juicefs/blob/30190ca1094d26e85f19a979ca51b0ea19af1eaa/.github/scripts/command/clone.sh#L118</x:v>
      </x:c>
      <x:c r="J42" s="10" t="str">
        <x:v>未提升为 Windows 执行项</x:v>
      </x:c>
      <x:c r="K42" s="10" t="str">
        <x:v>见源文件及 CI 条件</x:v>
      </x:c>
      <x:c r="L42" s="10" t="str">
        <x:v>级别为源码目录初分，未执行项目不能计作通过</x:v>
      </x:c>
    </x:row>
    <x:row r="43" ht="42" customHeight="1">
      <x:c r="A43" s="11" t="str">
        <x:v>UP-ff635092e466</x:v>
      </x:c>
      <x:c r="B43" s="11" t="str">
        <x:v>L2</x:v>
      </x:c>
      <x:c r="C43" s="11" t="str">
        <x:v>应用与界面兼容</x:v>
      </x:c>
      <x:c r="D43" s="11" t="str">
        <x:v>test_clone_with_small_files</x:v>
      </x:c>
      <x:c r="E43" s="11" t="str">
        <x:v>Shell 测试函数</x:v>
      </x:c>
      <x:c r="F43" s="11" t="str">
        <x:v>待执行</x:v>
      </x:c>
      <x:c r="G43" s="11" t="str">
        <x:v>其他平台／集成；根据 workflow 条件选择</x:v>
      </x:c>
      <x:c r="H43" s="11" t="str">
        <x:v>.github/scripts/command/clone.sh:127</x:v>
      </x:c>
      <x:c r="I43" s="11" t="str">
        <x:v>https://github.com/juicedata/juicefs/blob/30190ca1094d26e85f19a979ca51b0ea19af1eaa/.github/scripts/command/clone.sh#L127</x:v>
      </x:c>
      <x:c r="J43" s="11" t="str">
        <x:v>未提升为 Windows 执行项</x:v>
      </x:c>
      <x:c r="K43" s="11" t="str">
        <x:v>见源文件及 CI 条件</x:v>
      </x:c>
      <x:c r="L43" s="11" t="str">
        <x:v>级别为源码目录初分，未执行项目不能计作通过</x:v>
      </x:c>
    </x:row>
    <x:row r="44" ht="42" customHeight="1">
      <x:c r="A44" s="10" t="str">
        <x:v>UP-4695f35450c3</x:v>
      </x:c>
      <x:c r="B44" s="10" t="str">
        <x:v>L2</x:v>
      </x:c>
      <x:c r="C44" s="10" t="str">
        <x:v>应用与界面兼容</x:v>
      </x:c>
      <x:c r="D44" s="10" t="str">
        <x:v>test_config_min_client_version</x:v>
      </x:c>
      <x:c r="E44" s="10" t="str">
        <x:v>Shell 测试函数</x:v>
      </x:c>
      <x:c r="F44" s="10" t="str">
        <x:v>待执行</x:v>
      </x:c>
      <x:c r="G44" s="10" t="str">
        <x:v>其他平台／集成；根据 workflow 条件选择</x:v>
      </x:c>
      <x:c r="H44" s="10" t="str">
        <x:v>.github/scripts/command/config.sh:22</x:v>
      </x:c>
      <x:c r="I44" s="10" t="str">
        <x:v>https://github.com/juicedata/juicefs/blob/30190ca1094d26e85f19a979ca51b0ea19af1eaa/.github/scripts/command/config.sh#L22</x:v>
      </x:c>
      <x:c r="J44" s="10" t="str">
        <x:v>未提升为 Windows 执行项</x:v>
      </x:c>
      <x:c r="K44" s="10" t="str">
        <x:v>见源文件及 CI 条件</x:v>
      </x:c>
      <x:c r="L44" s="10" t="str">
        <x:v>级别为源码目录初分，未执行项目不能计作通过</x:v>
      </x:c>
    </x:row>
    <x:row r="45" ht="42" customHeight="1">
      <x:c r="A45" s="11" t="str">
        <x:v>UP-500ee69ff296</x:v>
      </x:c>
      <x:c r="B45" s="11" t="str">
        <x:v>L2</x:v>
      </x:c>
      <x:c r="C45" s="11" t="str">
        <x:v>应用与界面兼容</x:v>
      </x:c>
      <x:c r="D45" s="11" t="str">
        <x:v>test_config_max_client_version</x:v>
      </x:c>
      <x:c r="E45" s="11" t="str">
        <x:v>Shell 测试函数</x:v>
      </x:c>
      <x:c r="F45" s="11" t="str">
        <x:v>待执行</x:v>
      </x:c>
      <x:c r="G45" s="11" t="str">
        <x:v>其他平台／集成；根据 workflow 条件选择</x:v>
      </x:c>
      <x:c r="H45" s="11" t="str">
        <x:v>.github/scripts/command/config.sh:34</x:v>
      </x:c>
      <x:c r="I45" s="11" t="str">
        <x:v>https://github.com/juicedata/juicefs/blob/30190ca1094d26e85f19a979ca51b0ea19af1eaa/.github/scripts/command/config.sh#L34</x:v>
      </x:c>
      <x:c r="J45" s="11" t="str">
        <x:v>未提升为 Windows 执行项</x:v>
      </x:c>
      <x:c r="K45" s="11" t="str">
        <x:v>见源文件及 CI 条件</x:v>
      </x:c>
      <x:c r="L45" s="11" t="str">
        <x:v>级别为源码目录初分，未执行项目不能计作通过</x:v>
      </x:c>
    </x:row>
    <x:row r="46" ht="42" customHeight="1">
      <x:c r="A46" s="10" t="str">
        <x:v>UP-a052a5849447</x:v>
      </x:c>
      <x:c r="B46" s="10" t="str">
        <x:v>L2</x:v>
      </x:c>
      <x:c r="C46" s="10" t="str">
        <x:v>应用与界面兼容</x:v>
      </x:c>
      <x:c r="D46" s="10" t="str">
        <x:v>test_config_secret_key</x:v>
      </x:c>
      <x:c r="E46" s="10" t="str">
        <x:v>Shell 测试函数</x:v>
      </x:c>
      <x:c r="F46" s="10" t="str">
        <x:v>待执行</x:v>
      </x:c>
      <x:c r="G46" s="10" t="str">
        <x:v>其他平台／集成；根据 workflow 条件选择</x:v>
      </x:c>
      <x:c r="H46" s="10" t="str">
        <x:v>.github/scripts/command/config.sh:46</x:v>
      </x:c>
      <x:c r="I46" s="10" t="str">
        <x:v>https://github.com/juicedata/juicefs/blob/30190ca1094d26e85f19a979ca51b0ea19af1eaa/.github/scripts/command/config.sh#L46</x:v>
      </x:c>
      <x:c r="J46" s="10" t="str">
        <x:v>未提升为 Windows 执行项</x:v>
      </x:c>
      <x:c r="K46" s="10" t="str">
        <x:v>见源文件及 CI 条件</x:v>
      </x:c>
      <x:c r="L46" s="10" t="str">
        <x:v>级别为源码目录初分，未执行项目不能计作通过</x:v>
      </x:c>
    </x:row>
    <x:row r="47" ht="42" customHeight="1">
      <x:c r="A47" s="11" t="str">
        <x:v>UP-b9e8cc301c54</x:v>
      </x:c>
      <x:c r="B47" s="11" t="str">
        <x:v>L2</x:v>
      </x:c>
      <x:c r="C47" s="11" t="str">
        <x:v>应用与界面兼容</x:v>
      </x:c>
      <x:c r="D47" s="11" t="str">
        <x:v>test_debug_juicefs</x:v>
      </x:c>
      <x:c r="E47" s="11" t="str">
        <x:v>Shell 测试函数</x:v>
      </x:c>
      <x:c r="F47" s="11" t="str">
        <x:v>待执行</x:v>
      </x:c>
      <x:c r="G47" s="11" t="str">
        <x:v>其他平台／集成；根据 workflow 条件选择</x:v>
      </x:c>
      <x:c r="H47" s="11" t="str">
        <x:v>.github/scripts/command/debug.sh:32</x:v>
      </x:c>
      <x:c r="I47" s="11" t="str">
        <x:v>https://github.com/juicedata/juicefs/blob/30190ca1094d26e85f19a979ca51b0ea19af1eaa/.github/scripts/command/debug.sh#L32</x:v>
      </x:c>
      <x:c r="J47" s="11" t="str">
        <x:v>未提升为 Windows 执行项</x:v>
      </x:c>
      <x:c r="K47" s="11" t="str">
        <x:v>见源文件及 CI 条件</x:v>
      </x:c>
      <x:c r="L47" s="11" t="str">
        <x:v>级别为源码目录初分，未执行项目不能计作通过</x:v>
      </x:c>
    </x:row>
    <x:row r="48" ht="42" customHeight="1">
      <x:c r="A48" s="10" t="str">
        <x:v>UP-1d287d857735</x:v>
      </x:c>
      <x:c r="B48" s="10" t="str">
        <x:v>L2</x:v>
      </x:c>
      <x:c r="C48" s="10" t="str">
        <x:v>应用与界面兼容</x:v>
      </x:c>
      <x:c r="D48" s="10" t="str">
        <x:v>test_debug_abnormal_juicefs</x:v>
      </x:c>
      <x:c r="E48" s="10" t="str">
        <x:v>Shell 测试函数</x:v>
      </x:c>
      <x:c r="F48" s="10" t="str">
        <x:v>待执行</x:v>
      </x:c>
      <x:c r="G48" s="10" t="str">
        <x:v>其他平台／集成；根据 workflow 条件选择</x:v>
      </x:c>
      <x:c r="H48" s="10" t="str">
        <x:v>.github/scripts/command/debug.sh:41</x:v>
      </x:c>
      <x:c r="I48" s="10" t="str">
        <x:v>https://github.com/juicedata/juicefs/blob/30190ca1094d26e85f19a979ca51b0ea19af1eaa/.github/scripts/command/debug.sh#L41</x:v>
      </x:c>
      <x:c r="J48" s="10" t="str">
        <x:v>未提升为 Windows 执行项</x:v>
      </x:c>
      <x:c r="K48" s="10" t="str">
        <x:v>见源文件及 CI 条件</x:v>
      </x:c>
      <x:c r="L48" s="10" t="str">
        <x:v>级别为源码目录初分，未执行项目不能计作通过</x:v>
      </x:c>
    </x:row>
    <x:row r="49" ht="42" customHeight="1">
      <x:c r="A49" s="11" t="str">
        <x:v>UP-e6e136e0bb27</x:v>
      </x:c>
      <x:c r="B49" s="11" t="str">
        <x:v>L1</x:v>
      </x:c>
      <x:c r="C49" s="11" t="str">
        <x:v>挂载与元数据生命周期</x:v>
      </x:c>
      <x:c r="D49" s="11" t="str">
        <x:v>test_dump_load_sustained_file</x:v>
      </x:c>
      <x:c r="E49" s="11" t="str">
        <x:v>Shell 测试函数</x:v>
      </x:c>
      <x:c r="F49" s="11" t="str">
        <x:v>待执行</x:v>
      </x:c>
      <x:c r="G49" s="11" t="str">
        <x:v>其他平台／集成；根据 workflow 条件选择</x:v>
      </x:c>
      <x:c r="H49" s="11" t="str">
        <x:v>.github/scripts/command/dump_load.sh:31</x:v>
      </x:c>
      <x:c r="I49" s="11" t="str">
        <x:v>https://github.com/juicedata/juicefs/blob/30190ca1094d26e85f19a979ca51b0ea19af1eaa/.github/scripts/command/dump_load.sh#L31</x:v>
      </x:c>
      <x:c r="J49" s="11" t="str">
        <x:v>未提升为 Windows 执行项</x:v>
      </x:c>
      <x:c r="K49" s="11" t="str">
        <x:v>见源文件及 CI 条件</x:v>
      </x:c>
      <x:c r="L49" s="11" t="str">
        <x:v>级别为源码目录初分，未执行项目不能计作通过</x:v>
      </x:c>
    </x:row>
    <x:row r="50" ht="42" customHeight="1">
      <x:c r="A50" s="10" t="str">
        <x:v>UP-2f69fda40302</x:v>
      </x:c>
      <x:c r="B50" s="10" t="str">
        <x:v>L1</x:v>
      </x:c>
      <x:c r="C50" s="10" t="str">
        <x:v>挂载与元数据生命周期</x:v>
      </x:c>
      <x:c r="D50" s="10" t="str">
        <x:v>test_dump_load_with_copy_file_range</x:v>
      </x:c>
      <x:c r="E50" s="10" t="str">
        <x:v>Shell 测试函数</x:v>
      </x:c>
      <x:c r="F50" s="10" t="str">
        <x:v>待执行</x:v>
      </x:c>
      <x:c r="G50" s="10" t="str">
        <x:v>其他平台／集成；根据 workflow 条件选择</x:v>
      </x:c>
      <x:c r="H50" s="10" t="str">
        <x:v>.github/scripts/command/dump_load.sh:62</x:v>
      </x:c>
      <x:c r="I50" s="10" t="str">
        <x:v>https://github.com/juicedata/juicefs/blob/30190ca1094d26e85f19a979ca51b0ea19af1eaa/.github/scripts/command/dump_load.sh#L62</x:v>
      </x:c>
      <x:c r="J50" s="10" t="str">
        <x:v>未提升为 Windows 执行项</x:v>
      </x:c>
      <x:c r="K50" s="10" t="str">
        <x:v>见源文件及 CI 条件</x:v>
      </x:c>
      <x:c r="L50" s="10" t="str">
        <x:v>级别为源码目录初分，未执行项目不能计作通过</x:v>
      </x:c>
    </x:row>
    <x:row r="51" ht="42" customHeight="1">
      <x:c r="A51" s="11" t="str">
        <x:v>UP-effec09c6f70</x:v>
      </x:c>
      <x:c r="B51" s="11" t="str">
        <x:v>L1</x:v>
      </x:c>
      <x:c r="C51" s="11" t="str">
        <x:v>崩溃与资源耗尽</x:v>
      </x:c>
      <x:c r="D51" s="11" t="str">
        <x:v>test_dump_load_with_quota</x:v>
      </x:c>
      <x:c r="E51" s="11" t="str">
        <x:v>Shell 测试函数</x:v>
      </x:c>
      <x:c r="F51" s="11" t="str">
        <x:v>待执行</x:v>
      </x:c>
      <x:c r="G51" s="11" t="str">
        <x:v>其他平台／集成；根据 workflow 条件选择</x:v>
      </x:c>
      <x:c r="H51" s="11" t="str">
        <x:v>.github/scripts/command/dump_load.sh:78</x:v>
      </x:c>
      <x:c r="I51" s="11" t="str">
        <x:v>https://github.com/juicedata/juicefs/blob/30190ca1094d26e85f19a979ca51b0ea19af1eaa/.github/scripts/command/dump_load.sh#L78</x:v>
      </x:c>
      <x:c r="J51" s="11" t="str">
        <x:v>未提升为 Windows 执行项</x:v>
      </x:c>
      <x:c r="K51" s="11" t="str">
        <x:v>见源文件及 CI 条件</x:v>
      </x:c>
      <x:c r="L51" s="11" t="str">
        <x:v>级别为源码目录初分，未执行项目不能计作通过</x:v>
      </x:c>
    </x:row>
    <x:row r="52" ht="42" customHeight="1">
      <x:c r="A52" s="10" t="str">
        <x:v>UP-bb9883027bb5</x:v>
      </x:c>
      <x:c r="B52" s="10" t="str">
        <x:v>L1</x:v>
      </x:c>
      <x:c r="C52" s="10" t="str">
        <x:v>挂载与元数据生命周期</x:v>
      </x:c>
      <x:c r="D52" s="10" t="str">
        <x:v>test_dump_load_with_iflag</x:v>
      </x:c>
      <x:c r="E52" s="10" t="str">
        <x:v>Shell 测试函数</x:v>
      </x:c>
      <x:c r="F52" s="10" t="str">
        <x:v>待执行</x:v>
      </x:c>
      <x:c r="G52" s="10" t="str">
        <x:v>其他平台／集成；根据 workflow 条件选择</x:v>
      </x:c>
      <x:c r="H52" s="10" t="str">
        <x:v>.github/scripts/command/dump_load.sh:96</x:v>
      </x:c>
      <x:c r="I52" s="10" t="str">
        <x:v>https://github.com/juicedata/juicefs/blob/30190ca1094d26e85f19a979ca51b0ea19af1eaa/.github/scripts/command/dump_load.sh#L96</x:v>
      </x:c>
      <x:c r="J52" s="10" t="str">
        <x:v>未提升为 Windows 执行项</x:v>
      </x:c>
      <x:c r="K52" s="10" t="str">
        <x:v>见源文件及 CI 条件</x:v>
      </x:c>
      <x:c r="L52" s="10" t="str">
        <x:v>级别为源码目录初分，未执行项目不能计作通过</x:v>
      </x:c>
    </x:row>
    <x:row r="53" ht="42" customHeight="1">
      <x:c r="A53" s="11" t="str">
        <x:v>UP-f0dbd31495c1</x:v>
      </x:c>
      <x:c r="B53" s="11" t="str">
        <x:v>L1</x:v>
      </x:c>
      <x:c r="C53" s="11" t="str">
        <x:v>挂载与元数据生命周期</x:v>
      </x:c>
      <x:c r="D53" s="11" t="str">
        <x:v>test_dump_load_with_keep_secret_key</x:v>
      </x:c>
      <x:c r="E53" s="11" t="str">
        <x:v>Shell 测试函数</x:v>
      </x:c>
      <x:c r="F53" s="11" t="str">
        <x:v>待执行</x:v>
      </x:c>
      <x:c r="G53" s="11" t="str">
        <x:v>其他平台／集成；根据 workflow 条件选择</x:v>
      </x:c>
      <x:c r="H53" s="11" t="str">
        <x:v>.github/scripts/command/dump_load.sh:113</x:v>
      </x:c>
      <x:c r="I53" s="11" t="str">
        <x:v>https://github.com/juicedata/juicefs/blob/30190ca1094d26e85f19a979ca51b0ea19af1eaa/.github/scripts/command/dump_load.sh#L113</x:v>
      </x:c>
      <x:c r="J53" s="11" t="str">
        <x:v>未提升为 Windows 执行项</x:v>
      </x:c>
      <x:c r="K53" s="11" t="str">
        <x:v>见源文件及 CI 条件</x:v>
      </x:c>
      <x:c r="L53" s="11" t="str">
        <x:v>级别为源码目录初分，未执行项目不能计作通过</x:v>
      </x:c>
    </x:row>
    <x:row r="54" ht="42" customHeight="1">
      <x:c r="A54" s="10" t="str">
        <x:v>UP-0c7180a6d936</x:v>
      </x:c>
      <x:c r="B54" s="10" t="str">
        <x:v>L1</x:v>
      </x:c>
      <x:c r="C54" s="10" t="str">
        <x:v>挂载与元数据生命周期</x:v>
      </x:c>
      <x:c r="D54" s="10" t="str">
        <x:v>test_load_encrypted_meta_backup</x:v>
      </x:c>
      <x:c r="E54" s="10" t="str">
        <x:v>Shell 测试函数</x:v>
      </x:c>
      <x:c r="F54" s="10" t="str">
        <x:v>待执行</x:v>
      </x:c>
      <x:c r="G54" s="10" t="str">
        <x:v>其他平台／集成；根据 workflow 条件选择</x:v>
      </x:c>
      <x:c r="H54" s="10" t="str">
        <x:v>.github/scripts/command/dump_load.sh:136</x:v>
      </x:c>
      <x:c r="I54" s="10" t="str">
        <x:v>https://github.com/juicedata/juicefs/blob/30190ca1094d26e85f19a979ca51b0ea19af1eaa/.github/scripts/command/dump_load.sh#L136</x:v>
      </x:c>
      <x:c r="J54" s="10" t="str">
        <x:v>未提升为 Windows 执行项</x:v>
      </x:c>
      <x:c r="K54" s="10" t="str">
        <x:v>见源文件及 CI 条件</x:v>
      </x:c>
      <x:c r="L54" s="10" t="str">
        <x:v>级别为源码目录初分，未执行项目不能计作通过</x:v>
      </x:c>
    </x:row>
    <x:row r="55" ht="42" customHeight="1">
      <x:c r="A55" s="11" t="str">
        <x:v>UP-0e456b1700ba</x:v>
      </x:c>
      <x:c r="B55" s="11" t="str">
        <x:v>L1</x:v>
      </x:c>
      <x:c r="C55" s="11" t="str">
        <x:v>挂载与元数据生命周期</x:v>
      </x:c>
      <x:c r="D55" s="11" t="str">
        <x:v>test_dump_load_with_random_test</x:v>
      </x:c>
      <x:c r="E55" s="11" t="str">
        <x:v>Shell 测试函数</x:v>
      </x:c>
      <x:c r="F55" s="11" t="str">
        <x:v>待执行</x:v>
      </x:c>
      <x:c r="G55" s="11" t="str">
        <x:v>其他平台／集成；根据 workflow 条件选择</x:v>
      </x:c>
      <x:c r="H55" s="11" t="str">
        <x:v>.github/scripts/command/dump_load.sh:158</x:v>
      </x:c>
      <x:c r="I55" s="11" t="str">
        <x:v>https://github.com/juicedata/juicefs/blob/30190ca1094d26e85f19a979ca51b0ea19af1eaa/.github/scripts/command/dump_load.sh#L158</x:v>
      </x:c>
      <x:c r="J55" s="11" t="str">
        <x:v>未提升为 Windows 执行项</x:v>
      </x:c>
      <x:c r="K55" s="11" t="str">
        <x:v>见源文件及 CI 条件</x:v>
      </x:c>
      <x:c r="L55" s="11" t="str">
        <x:v>级别为源码目录初分，未执行项目不能计作通过</x:v>
      </x:c>
    </x:row>
    <x:row r="56" ht="42" customHeight="1">
      <x:c r="A56" s="10" t="str">
        <x:v>UP-369628b77e59</x:v>
      </x:c>
      <x:c r="B56" s="10" t="str">
        <x:v>L1</x:v>
      </x:c>
      <x:c r="C56" s="10" t="str">
        <x:v>挂载与元数据生命周期</x:v>
      </x:c>
      <x:c r="D56" s="10" t="str">
        <x:v>test_dump_load_with_fsrand</x:v>
      </x:c>
      <x:c r="E56" s="10" t="str">
        <x:v>Shell 测试函数</x:v>
      </x:c>
      <x:c r="F56" s="10" t="str">
        <x:v>待执行</x:v>
      </x:c>
      <x:c r="G56" s="10" t="str">
        <x:v>其他平台／集成；根据 workflow 条件选择</x:v>
      </x:c>
      <x:c r="H56" s="10" t="str">
        <x:v>.github/scripts/command/dump_load.sh:177</x:v>
      </x:c>
      <x:c r="I56" s="10" t="str">
        <x:v>https://github.com/juicedata/juicefs/blob/30190ca1094d26e85f19a979ca51b0ea19af1eaa/.github/scripts/command/dump_load.sh#L177</x:v>
      </x:c>
      <x:c r="J56" s="10" t="str">
        <x:v>未提升为 Windows 执行项</x:v>
      </x:c>
      <x:c r="K56" s="10" t="str">
        <x:v>见源文件及 CI 条件</x:v>
      </x:c>
      <x:c r="L56" s="10" t="str">
        <x:v>级别为源码目录初分，未执行项目不能计作通过</x:v>
      </x:c>
    </x:row>
    <x:row r="57" ht="42" customHeight="1">
      <x:c r="A57" s="11" t="str">
        <x:v>UP-e9e5a027eab1</x:v>
      </x:c>
      <x:c r="B57" s="11" t="str">
        <x:v>L1</x:v>
      </x:c>
      <x:c r="C57" s="11" t="str">
        <x:v>挂载与元数据生命周期</x:v>
      </x:c>
      <x:c r="D57" s="11" t="str">
        <x:v>test_dump_load</x:v>
      </x:c>
      <x:c r="E57" s="11" t="str">
        <x:v>Shell 测试函数</x:v>
      </x:c>
      <x:c r="F57" s="11" t="str">
        <x:v>待执行</x:v>
      </x:c>
      <x:c r="G57" s="11" t="str">
        <x:v>其他平台／集成；根据 workflow 条件选择</x:v>
      </x:c>
      <x:c r="H57" s="11" t="str">
        <x:v>.github/scripts/command/dump_load_bench.sh:29</x:v>
      </x:c>
      <x:c r="I57" s="11" t="str">
        <x:v>https://github.com/juicedata/juicefs/blob/30190ca1094d26e85f19a979ca51b0ea19af1eaa/.github/scripts/command/dump_load_bench.sh#L29</x:v>
      </x:c>
      <x:c r="J57" s="11" t="str">
        <x:v>未提升为 Windows 执行项</x:v>
      </x:c>
      <x:c r="K57" s="11" t="str">
        <x:v>见源文件及 CI 条件</x:v>
      </x:c>
      <x:c r="L57" s="11" t="str">
        <x:v>级别为源码目录初分，未执行项目不能计作通过</x:v>
      </x:c>
    </x:row>
    <x:row r="58" ht="42" customHeight="1">
      <x:c r="A58" s="10" t="str">
        <x:v>UP-d3474f66d735</x:v>
      </x:c>
      <x:c r="B58" s="10" t="str">
        <x:v>L1</x:v>
      </x:c>
      <x:c r="C58" s="10" t="str">
        <x:v>挂载与元数据生命周期</x:v>
      </x:c>
      <x:c r="D58" s="10" t="str">
        <x:v>test_dump_load_fast</x:v>
      </x:c>
      <x:c r="E58" s="10" t="str">
        <x:v>Shell 测试函数</x:v>
      </x:c>
      <x:c r="F58" s="10" t="str">
        <x:v>待执行</x:v>
      </x:c>
      <x:c r="G58" s="10" t="str">
        <x:v>其他平台／集成；根据 workflow 条件选择</x:v>
      </x:c>
      <x:c r="H58" s="10" t="str">
        <x:v>.github/scripts/command/dump_load_bench.sh:33</x:v>
      </x:c>
      <x:c r="I58" s="10" t="str">
        <x:v>https://github.com/juicedata/juicefs/blob/30190ca1094d26e85f19a979ca51b0ea19af1eaa/.github/scripts/command/dump_load_bench.sh#L33</x:v>
      </x:c>
      <x:c r="J58" s="10" t="str">
        <x:v>未提升为 Windows 执行项</x:v>
      </x:c>
      <x:c r="K58" s="10" t="str">
        <x:v>见源文件及 CI 条件</x:v>
      </x:c>
      <x:c r="L58" s="10" t="str">
        <x:v>级别为源码目录初分，未执行项目不能计作通过</x:v>
      </x:c>
    </x:row>
    <x:row r="59" ht="42" customHeight="1">
      <x:c r="A59" s="11" t="str">
        <x:v>UP-11b4023b1c22</x:v>
      </x:c>
      <x:c r="B59" s="11" t="str">
        <x:v>L1</x:v>
      </x:c>
      <x:c r="C59" s="11" t="str">
        <x:v>挂载与元数据生命周期</x:v>
      </x:c>
      <x:c r="D59" s="11" t="str">
        <x:v>test_dump_load_in_binary</x:v>
      </x:c>
      <x:c r="E59" s="11" t="str">
        <x:v>Shell 测试函数</x:v>
      </x:c>
      <x:c r="F59" s="11" t="str">
        <x:v>待执行</x:v>
      </x:c>
      <x:c r="G59" s="11" t="str">
        <x:v>其他平台／集成；根据 workflow 条件选择</x:v>
      </x:c>
      <x:c r="H59" s="11" t="str">
        <x:v>.github/scripts/command/dump_load_bench.sh:37</x:v>
      </x:c>
      <x:c r="I59" s="11" t="str">
        <x:v>https://github.com/juicedata/juicefs/blob/30190ca1094d26e85f19a979ca51b0ea19af1eaa/.github/scripts/command/dump_load_bench.sh#L37</x:v>
      </x:c>
      <x:c r="J59" s="11" t="str">
        <x:v>未提升为 Windows 执行项</x:v>
      </x:c>
      <x:c r="K59" s="11" t="str">
        <x:v>见源文件及 CI 条件</x:v>
      </x:c>
      <x:c r="L59" s="11" t="str">
        <x:v>级别为源码目录初分，未执行项目不能计作通过</x:v>
      </x:c>
    </x:row>
    <x:row r="60" ht="42" customHeight="1">
      <x:c r="A60" s="10" t="str">
        <x:v>UP-9e7e110abe69</x:v>
      </x:c>
      <x:c r="B60" s="10" t="str">
        <x:v>L2</x:v>
      </x:c>
      <x:c r="C60" s="10" t="str">
        <x:v>网关与后端重试</x:v>
      </x:c>
      <x:c r="D60" s="10" t="str">
        <x:v>test_format_sftp_object</x:v>
      </x:c>
      <x:c r="E60" s="10" t="str">
        <x:v>Shell 测试函数</x:v>
      </x:c>
      <x:c r="F60" s="10" t="str">
        <x:v>待执行</x:v>
      </x:c>
      <x:c r="G60" s="10" t="str">
        <x:v>其他平台／集成；根据 workflow 条件选择</x:v>
      </x:c>
      <x:c r="H60" s="10" t="str">
        <x:v>.github/scripts/command/format.sh:31</x:v>
      </x:c>
      <x:c r="I60" s="10" t="str">
        <x:v>https://github.com/juicedata/juicefs/blob/30190ca1094d26e85f19a979ca51b0ea19af1eaa/.github/scripts/command/format.sh#L31</x:v>
      </x:c>
      <x:c r="J60" s="10" t="str">
        <x:v>未提升为 Windows 执行项</x:v>
      </x:c>
      <x:c r="K60" s="10" t="str">
        <x:v>见源文件及 CI 条件</x:v>
      </x:c>
      <x:c r="L60" s="10" t="str">
        <x:v>级别为源码目录初分，未执行项目不能计作通过</x:v>
      </x:c>
    </x:row>
    <x:row r="61" ht="42" customHeight="1">
      <x:c r="A61" s="11" t="str">
        <x:v>UP-582a0c0cdc1c</x:v>
      </x:c>
      <x:c r="B61" s="11" t="str">
        <x:v>L1</x:v>
      </x:c>
      <x:c r="C61" s="11" t="str">
        <x:v>挂载与元数据生命周期</x:v>
      </x:c>
      <x:c r="D61" s="11" t="str">
        <x:v>test_fix_nlink</x:v>
      </x:c>
      <x:c r="E61" s="11" t="str">
        <x:v>Shell 测试函数</x:v>
      </x:c>
      <x:c r="F61" s="11" t="str">
        <x:v>待执行</x:v>
      </x:c>
      <x:c r="G61" s="11" t="str">
        <x:v>其他平台／集成；根据 workflow 条件选择</x:v>
      </x:c>
      <x:c r="H61" s="11" t="str">
        <x:v>.github/scripts/command/fsck.sh:9</x:v>
      </x:c>
      <x:c r="I61" s="11" t="str">
        <x:v>https://github.com/juicedata/juicefs/blob/30190ca1094d26e85f19a979ca51b0ea19af1eaa/.github/scripts/command/fsck.sh#L9</x:v>
      </x:c>
      <x:c r="J61" s="11" t="str">
        <x:v>未提升为 Windows 执行项</x:v>
      </x:c>
      <x:c r="K61" s="11" t="str">
        <x:v>见源文件及 CI 条件</x:v>
      </x:c>
      <x:c r="L61" s="11" t="str">
        <x:v>级别为源码目录初分，未执行项目不能计作通过</x:v>
      </x:c>
    </x:row>
    <x:row r="62" ht="42" customHeight="1">
      <x:c r="A62" s="10" t="str">
        <x:v>UP-8286cfacf185</x:v>
      </x:c>
      <x:c r="B62" s="10" t="str">
        <x:v>L1</x:v>
      </x:c>
      <x:c r="C62" s="10" t="str">
        <x:v>挂载与元数据生命周期</x:v>
      </x:c>
      <x:c r="D62" s="10" t="str">
        <x:v>test_sync_dir_stat</x:v>
      </x:c>
      <x:c r="E62" s="10" t="str">
        <x:v>Shell 测试函数</x:v>
      </x:c>
      <x:c r="F62" s="10" t="str">
        <x:v>待执行</x:v>
      </x:c>
      <x:c r="G62" s="10" t="str">
        <x:v>其他平台／集成；根据 workflow 条件选择</x:v>
      </x:c>
      <x:c r="H62" s="10" t="str">
        <x:v>.github/scripts/command/fsck.sh:30</x:v>
      </x:c>
      <x:c r="I62" s="10" t="str">
        <x:v>https://github.com/juicedata/juicefs/blob/30190ca1094d26e85f19a979ca51b0ea19af1eaa/.github/scripts/command/fsck.sh#L30</x:v>
      </x:c>
      <x:c r="J62" s="10" t="str">
        <x:v>未提升为 Windows 执行项</x:v>
      </x:c>
      <x:c r="K62" s="10" t="str">
        <x:v>见源文件及 CI 条件</x:v>
      </x:c>
      <x:c r="L62" s="10" t="str">
        <x:v>级别为源码目录初分，未执行项目不能计作通过</x:v>
      </x:c>
    </x:row>
    <x:row r="63" ht="42" customHeight="1">
      <x:c r="A63" s="11" t="str">
        <x:v>UP-c0cb9a68a7a7</x:v>
      </x:c>
      <x:c r="B63" s="11" t="str">
        <x:v>L1</x:v>
      </x:c>
      <x:c r="C63" s="11" t="str">
        <x:v>挂载与元数据生命周期</x:v>
      </x:c>
      <x:c r="D63" s="11" t="str">
        <x:v>test_fsck_with_random_test</x:v>
      </x:c>
      <x:c r="E63" s="11" t="str">
        <x:v>Shell 测试函数</x:v>
      </x:c>
      <x:c r="F63" s="11" t="str">
        <x:v>待执行</x:v>
      </x:c>
      <x:c r="G63" s="11" t="str">
        <x:v>其他平台／集成；根据 workflow 条件选择</x:v>
      </x:c>
      <x:c r="H63" s="11" t="str">
        <x:v>.github/scripts/command/fsck.sh:52</x:v>
      </x:c>
      <x:c r="I63" s="11" t="str">
        <x:v>https://github.com/juicedata/juicefs/blob/30190ca1094d26e85f19a979ca51b0ea19af1eaa/.github/scripts/command/fsck.sh#L52</x:v>
      </x:c>
      <x:c r="J63" s="11" t="str">
        <x:v>未提升为 Windows 执行项</x:v>
      </x:c>
      <x:c r="K63" s="11" t="str">
        <x:v>见源文件及 CI 条件</x:v>
      </x:c>
      <x:c r="L63" s="11" t="str">
        <x:v>级别为源码目录初分，未执行项目不能计作通过</x:v>
      </x:c>
    </x:row>
    <x:row r="64" ht="42" customHeight="1">
      <x:c r="A64" s="10" t="str">
        <x:v>UP-750d92ee0c1e</x:v>
      </x:c>
      <x:c r="B64" s="10" t="str">
        <x:v>L2</x:v>
      </x:c>
      <x:c r="C64" s="10" t="str">
        <x:v>命名与目录</x:v>
      </x:c>
      <x:c r="D64" s="10" t="str">
        <x:v>test_fsck_delete_object</x:v>
      </x:c>
      <x:c r="E64" s="10" t="str">
        <x:v>Shell 测试函数</x:v>
      </x:c>
      <x:c r="F64" s="10" t="str">
        <x:v>待执行</x:v>
      </x:c>
      <x:c r="G64" s="10" t="str">
        <x:v>其他平台／集成；根据 workflow 条件选择</x:v>
      </x:c>
      <x:c r="H64" s="10" t="str">
        <x:v>.github/scripts/command/fsck.sh:64</x:v>
      </x:c>
      <x:c r="I64" s="10" t="str">
        <x:v>https://github.com/juicedata/juicefs/blob/30190ca1094d26e85f19a979ca51b0ea19af1eaa/.github/scripts/command/fsck.sh#L64</x:v>
      </x:c>
      <x:c r="J64" s="10" t="str">
        <x:v>未提升为 Windows 执行项</x:v>
      </x:c>
      <x:c r="K64" s="10" t="str">
        <x:v>见源文件及 CI 条件</x:v>
      </x:c>
      <x:c r="L64" s="10" t="str">
        <x:v>级别为源码目录初分，未执行项目不能计作通过</x:v>
      </x:c>
    </x:row>
    <x:row r="65" ht="42" customHeight="1">
      <x:c r="A65" s="11" t="str">
        <x:v>UP-ecc8157d805e</x:v>
      </x:c>
      <x:c r="B65" s="11" t="str">
        <x:v>L1</x:v>
      </x:c>
      <x:c r="C65" s="11" t="str">
        <x:v>挂载与元数据生命周期</x:v>
      </x:c>
      <x:c r="D65" s="11" t="str">
        <x:v>test_sync_dir_df</x:v>
      </x:c>
      <x:c r="E65" s="11" t="str">
        <x:v>Shell 测试函数</x:v>
      </x:c>
      <x:c r="F65" s="11" t="str">
        <x:v>待执行</x:v>
      </x:c>
      <x:c r="G65" s="11" t="str">
        <x:v>其他平台／集成；根据 workflow 条件选择</x:v>
      </x:c>
      <x:c r="H65" s="11" t="str">
        <x:v>.github/scripts/command/fsck.sh:83</x:v>
      </x:c>
      <x:c r="I65" s="11" t="str">
        <x:v>https://github.com/juicedata/juicefs/blob/30190ca1094d26e85f19a979ca51b0ea19af1eaa/.github/scripts/command/fsck.sh#L83</x:v>
      </x:c>
      <x:c r="J65" s="11" t="str">
        <x:v>未提升为 Windows 执行项</x:v>
      </x:c>
      <x:c r="K65" s="11" t="str">
        <x:v>见源文件及 CI 条件</x:v>
      </x:c>
      <x:c r="L65" s="11" t="str">
        <x:v>级别为源码目录初分，未执行项目不能计作通过</x:v>
      </x:c>
    </x:row>
    <x:row r="66" ht="42" customHeight="1">
      <x:c r="A66" s="10" t="str">
        <x:v>UP-c51939418b03</x:v>
      </x:c>
      <x:c r="B66" s="10" t="str">
        <x:v>L2</x:v>
      </x:c>
      <x:c r="C66" s="10" t="str">
        <x:v>网关与后端重试</x:v>
      </x:c>
      <x:c r="D66" s="10" t="str">
        <x:v>test_run_example</x:v>
      </x:c>
      <x:c r="E66" s="10" t="str">
        <x:v>Shell 测试函数</x:v>
      </x:c>
      <x:c r="F66" s="10" t="str">
        <x:v>待执行</x:v>
      </x:c>
      <x:c r="G66" s="10" t="str">
        <x:v>其他平台／集成；根据 workflow 条件选择</x:v>
      </x:c>
      <x:c r="H66" s="10" t="str">
        <x:v>.github/scripts/command/gateway-random.sh:49</x:v>
      </x:c>
      <x:c r="I66" s="10" t="str">
        <x:v>https://github.com/juicedata/juicefs/blob/30190ca1094d26e85f19a979ca51b0ea19af1eaa/.github/scripts/command/gateway-random.sh#L49</x:v>
      </x:c>
      <x:c r="J66" s="10" t="str">
        <x:v>未提升为 Windows 执行项</x:v>
      </x:c>
      <x:c r="K66" s="10" t="str">
        <x:v>见源文件及 CI 条件</x:v>
      </x:c>
      <x:c r="L66" s="10" t="str">
        <x:v>级别为源码目录初分，未执行项目不能计作通过</x:v>
      </x:c>
    </x:row>
    <x:row r="67" ht="42" customHeight="1">
      <x:c r="A67" s="11" t="str">
        <x:v>UP-4220e54f25c7</x:v>
      </x:c>
      <x:c r="B67" s="11" t="str">
        <x:v>L2</x:v>
      </x:c>
      <x:c r="C67" s="11" t="str">
        <x:v>网关与后端重试</x:v>
      </x:c>
      <x:c r="D67" s="11" t="str">
        <x:v>test_run_all</x:v>
      </x:c>
      <x:c r="E67" s="11" t="str">
        <x:v>Shell 测试函数</x:v>
      </x:c>
      <x:c r="F67" s="11" t="str">
        <x:v>待执行</x:v>
      </x:c>
      <x:c r="G67" s="11" t="str">
        <x:v>其他平台／集成；根据 workflow 条件选择</x:v>
      </x:c>
      <x:c r="H67" s="11" t="str">
        <x:v>.github/scripts/command/gateway-random.sh:55</x:v>
      </x:c>
      <x:c r="I67" s="11" t="str">
        <x:v>https://github.com/juicedata/juicefs/blob/30190ca1094d26e85f19a979ca51b0ea19af1eaa/.github/scripts/command/gateway-random.sh#L55</x:v>
      </x:c>
      <x:c r="J67" s="11" t="str">
        <x:v>未提升为 Windows 执行项</x:v>
      </x:c>
      <x:c r="K67" s="11" t="str">
        <x:v>见源文件及 CI 条件</x:v>
      </x:c>
      <x:c r="L67" s="11" t="str">
        <x:v>级别为源码目录初分，未执行项目不能计作通过</x:v>
      </x:c>
    </x:row>
    <x:row r="68" ht="42" customHeight="1">
      <x:c r="A68" s="10" t="str">
        <x:v>UP-4c15dbd2b766</x:v>
      </x:c>
      <x:c r="B68" s="10" t="str">
        <x:v>L2</x:v>
      </x:c>
      <x:c r="C68" s="10" t="str">
        <x:v>网关与后端重试</x:v>
      </x:c>
      <x:c r="D68" s="10" t="str">
        <x:v>test_user_management</x:v>
      </x:c>
      <x:c r="E68" s="10" t="str">
        <x:v>Shell 测试函数</x:v>
      </x:c>
      <x:c r="F68" s="10" t="str">
        <x:v>待执行</x:v>
      </x:c>
      <x:c r="G68" s="10" t="str">
        <x:v>其他平台／集成；根据 workflow 条件选择</x:v>
      </x:c>
      <x:c r="H68" s="10" t="str">
        <x:v>.github/scripts/command/gateway.sh:47</x:v>
      </x:c>
      <x:c r="I68" s="10" t="str">
        <x:v>https://github.com/juicedata/juicefs/blob/30190ca1094d26e85f19a979ca51b0ea19af1eaa/.github/scripts/command/gateway.sh#L47</x:v>
      </x:c>
      <x:c r="J68" s="10" t="str">
        <x:v>未提升为 Windows 执行项</x:v>
      </x:c>
      <x:c r="K68" s="10" t="str">
        <x:v>见源文件及 CI 条件</x:v>
      </x:c>
      <x:c r="L68" s="10" t="str">
        <x:v>级别为源码目录初分，未执行项目不能计作通过</x:v>
      </x:c>
    </x:row>
    <x:row r="69" ht="42" customHeight="1">
      <x:c r="A69" s="11" t="str">
        <x:v>UP-6dbdcebf1f20</x:v>
      </x:c>
      <x:c r="B69" s="11" t="str">
        <x:v>L2</x:v>
      </x:c>
      <x:c r="C69" s="11" t="str">
        <x:v>网关与后端重试</x:v>
      </x:c>
      <x:c r="D69" s="11" t="str">
        <x:v>test_group_management</x:v>
      </x:c>
      <x:c r="E69" s="11" t="str">
        <x:v>Shell 测试函数</x:v>
      </x:c>
      <x:c r="F69" s="11" t="str">
        <x:v>待执行</x:v>
      </x:c>
      <x:c r="G69" s="11" t="str">
        <x:v>其他平台／集成；根据 workflow 条件选择</x:v>
      </x:c>
      <x:c r="H69" s="11" t="str">
        <x:v>.github/scripts/command/gateway.sh:88</x:v>
      </x:c>
      <x:c r="I69" s="11" t="str">
        <x:v>https://github.com/juicedata/juicefs/blob/30190ca1094d26e85f19a979ca51b0ea19af1eaa/.github/scripts/command/gateway.sh#L88</x:v>
      </x:c>
      <x:c r="J69" s="11" t="str">
        <x:v>未提升为 Windows 执行项</x:v>
      </x:c>
      <x:c r="K69" s="11" t="str">
        <x:v>见源文件及 CI 条件</x:v>
      </x:c>
      <x:c r="L69" s="11" t="str">
        <x:v>级别为源码目录初分，未执行项目不能计作通过</x:v>
      </x:c>
    </x:row>
    <x:row r="70" ht="42" customHeight="1">
      <x:c r="A70" s="10" t="str">
        <x:v>UP-9aea4e5fe5d1</x:v>
      </x:c>
      <x:c r="B70" s="10" t="str">
        <x:v>L2</x:v>
      </x:c>
      <x:c r="C70" s="10" t="str">
        <x:v>网关与后端重试</x:v>
      </x:c>
      <x:c r="D70" s="10" t="str">
        <x:v>test_mult_gateways_set_group</x:v>
      </x:c>
      <x:c r="E70" s="10" t="str">
        <x:v>Shell 测试函数</x:v>
      </x:c>
      <x:c r="F70" s="10" t="str">
        <x:v>待执行</x:v>
      </x:c>
      <x:c r="G70" s="10" t="str">
        <x:v>其他平台／集成；根据 workflow 条件选择</x:v>
      </x:c>
      <x:c r="H70" s="10" t="str">
        <x:v>.github/scripts/command/gateway.sh:127</x:v>
      </x:c>
      <x:c r="I70" s="10" t="str">
        <x:v>https://github.com/juicedata/juicefs/blob/30190ca1094d26e85f19a979ca51b0ea19af1eaa/.github/scripts/command/gateway.sh#L127</x:v>
      </x:c>
      <x:c r="J70" s="10" t="str">
        <x:v>未提升为 Windows 执行项</x:v>
      </x:c>
      <x:c r="K70" s="10" t="str">
        <x:v>见源文件及 CI 条件</x:v>
      </x:c>
      <x:c r="L70" s="10" t="str">
        <x:v>级别为源码目录初分，未执行项目不能计作通过</x:v>
      </x:c>
    </x:row>
    <x:row r="71" ht="42" customHeight="1">
      <x:c r="A71" s="11" t="str">
        <x:v>UP-e486c51fdf73</x:v>
      </x:c>
      <x:c r="B71" s="11" t="str">
        <x:v>L2</x:v>
      </x:c>
      <x:c r="C71" s="11" t="str">
        <x:v>网关与后端重试</x:v>
      </x:c>
      <x:c r="D71" s="11" t="str">
        <x:v>test_user_svcacct_add</x:v>
      </x:c>
      <x:c r="E71" s="11" t="str">
        <x:v>Shell 测试函数</x:v>
      </x:c>
      <x:c r="F71" s="11" t="str">
        <x:v>待执行</x:v>
      </x:c>
      <x:c r="G71" s="11" t="str">
        <x:v>其他平台／集成；根据 workflow 条件选择</x:v>
      </x:c>
      <x:c r="H71" s="11" t="str">
        <x:v>.github/scripts/command/gateway.sh:157</x:v>
      </x:c>
      <x:c r="I71" s="11" t="str">
        <x:v>https://github.com/juicedata/juicefs/blob/30190ca1094d26e85f19a979ca51b0ea19af1eaa/.github/scripts/command/gateway.sh#L157</x:v>
      </x:c>
      <x:c r="J71" s="11" t="str">
        <x:v>未提升为 Windows 执行项</x:v>
      </x:c>
      <x:c r="K71" s="11" t="str">
        <x:v>见源文件及 CI 条件</x:v>
      </x:c>
      <x:c r="L71" s="11" t="str">
        <x:v>级别为源码目录初分，未执行项目不能计作通过</x:v>
      </x:c>
    </x:row>
    <x:row r="72" ht="42" customHeight="1">
      <x:c r="A72" s="10" t="str">
        <x:v>UP-d5ae9c3fab1c</x:v>
      </x:c>
      <x:c r="B72" s="10" t="str">
        <x:v>L2</x:v>
      </x:c>
      <x:c r="C72" s="10" t="str">
        <x:v>网关与后端重试</x:v>
      </x:c>
      <x:c r="D72" s="10" t="str">
        <x:v>test_user_admin_svcacct_add</x:v>
      </x:c>
      <x:c r="E72" s="10" t="str">
        <x:v>Shell 测试函数</x:v>
      </x:c>
      <x:c r="F72" s="10" t="str">
        <x:v>待执行</x:v>
      </x:c>
      <x:c r="G72" s="10" t="str">
        <x:v>其他平台／集成；根据 workflow 条件选择</x:v>
      </x:c>
      <x:c r="H72" s="10" t="str">
        <x:v>.github/scripts/command/gateway.sh:180</x:v>
      </x:c>
      <x:c r="I72" s="10" t="str">
        <x:v>https://github.com/juicedata/juicefs/blob/30190ca1094d26e85f19a979ca51b0ea19af1eaa/.github/scripts/command/gateway.sh#L180</x:v>
      </x:c>
      <x:c r="J72" s="10" t="str">
        <x:v>未提升为 Windows 执行项</x:v>
      </x:c>
      <x:c r="K72" s="10" t="str">
        <x:v>见源文件及 CI 条件</x:v>
      </x:c>
      <x:c r="L72" s="10" t="str">
        <x:v>级别为源码目录初分，未执行项目不能计作通过</x:v>
      </x:c>
    </x:row>
    <x:row r="73" ht="42" customHeight="1">
      <x:c r="A73" s="11" t="str">
        <x:v>UP-f39f282d618b</x:v>
      </x:c>
      <x:c r="B73" s="11" t="str">
        <x:v>L2</x:v>
      </x:c>
      <x:c r="C73" s="11" t="str">
        <x:v>网关与后端重试</x:v>
      </x:c>
      <x:c r="D73" s="11" t="str">
        <x:v>test_user_sts</x:v>
      </x:c>
      <x:c r="E73" s="11" t="str">
        <x:v>Shell 测试函数</x:v>
      </x:c>
      <x:c r="F73" s="11" t="str">
        <x:v>待执行</x:v>
      </x:c>
      <x:c r="G73" s="11" t="str">
        <x:v>其他平台／集成；根据 workflow 条件选择</x:v>
      </x:c>
      <x:c r="H73" s="11" t="str">
        <x:v>.github/scripts/command/gateway.sh:202</x:v>
      </x:c>
      <x:c r="I73" s="11" t="str">
        <x:v>https://github.com/juicedata/juicefs/blob/30190ca1094d26e85f19a979ca51b0ea19af1eaa/.github/scripts/command/gateway.sh#L202</x:v>
      </x:c>
      <x:c r="J73" s="11" t="str">
        <x:v>未提升为 Windows 执行项</x:v>
      </x:c>
      <x:c r="K73" s="11" t="str">
        <x:v>见源文件及 CI 条件</x:v>
      </x:c>
      <x:c r="L73" s="11" t="str">
        <x:v>级别为源码目录初分，未执行项目不能计作通过</x:v>
      </x:c>
    </x:row>
    <x:row r="74" ht="42" customHeight="1">
      <x:c r="A74" s="10" t="str">
        <x:v>UP-8b46d6f37d3d</x:v>
      </x:c>
      <x:c r="B74" s="10" t="str">
        <x:v>L2</x:v>
      </x:c>
      <x:c r="C74" s="10" t="str">
        <x:v>网关与后端重试</x:v>
      </x:c>
      <x:c r="D74" s="10" t="str">
        <x:v>test_change_credentials</x:v>
      </x:c>
      <x:c r="E74" s="10" t="str">
        <x:v>Shell 测试函数</x:v>
      </x:c>
      <x:c r="F74" s="10" t="str">
        <x:v>待执行</x:v>
      </x:c>
      <x:c r="G74" s="10" t="str">
        <x:v>其他平台／集成；根据 workflow 条件选择</x:v>
      </x:c>
      <x:c r="H74" s="10" t="str">
        <x:v>.github/scripts/command/gateway.sh:220</x:v>
      </x:c>
      <x:c r="I74" s="10" t="str">
        <x:v>https://github.com/juicedata/juicefs/blob/30190ca1094d26e85f19a979ca51b0ea19af1eaa/.github/scripts/command/gateway.sh#L220</x:v>
      </x:c>
      <x:c r="J74" s="10" t="str">
        <x:v>未提升为 Windows 执行项</x:v>
      </x:c>
      <x:c r="K74" s="10" t="str">
        <x:v>见源文件及 CI 条件</x:v>
      </x:c>
      <x:c r="L74" s="10" t="str">
        <x:v>级别为源码目录初分，未执行项目不能计作通过</x:v>
      </x:c>
    </x:row>
    <x:row r="75" ht="42" customHeight="1">
      <x:c r="A75" s="11" t="str">
        <x:v>UP-339884c0a5cd</x:v>
      </x:c>
      <x:c r="B75" s="11" t="str">
        <x:v>L2</x:v>
      </x:c>
      <x:c r="C75" s="11" t="str">
        <x:v>命名与目录</x:v>
      </x:c>
      <x:c r="D75" s="11" t="str">
        <x:v>test_delay_delete_slice_after_compaction</x:v>
      </x:c>
      <x:c r="E75" s="11" t="str">
        <x:v>Shell 测试函数</x:v>
      </x:c>
      <x:c r="F75" s="11" t="str">
        <x:v>待执行</x:v>
      </x:c>
      <x:c r="G75" s="11" t="str">
        <x:v>其他平台／集成；根据 workflow 条件选择</x:v>
      </x:c>
      <x:c r="H75" s="11" t="str">
        <x:v>.github/scripts/command/gc.sh:13</x:v>
      </x:c>
      <x:c r="I75" s="11" t="str">
        <x:v>https://github.com/juicedata/juicefs/blob/30190ca1094d26e85f19a979ca51b0ea19af1eaa/.github/scripts/command/gc.sh#L13</x:v>
      </x:c>
      <x:c r="J75" s="11" t="str">
        <x:v>未提升为 Windows 执行项</x:v>
      </x:c>
      <x:c r="K75" s="11" t="str">
        <x:v>见源文件及 CI 条件</x:v>
      </x:c>
      <x:c r="L75" s="11" t="str">
        <x:v>级别为源码目录初分，未执行项目不能计作通过</x:v>
      </x:c>
    </x:row>
    <x:row r="76" ht="42" customHeight="1">
      <x:c r="A76" s="10" t="str">
        <x:v>UP-78e07c502001</x:v>
      </x:c>
      <x:c r="B76" s="10" t="str">
        <x:v>L1</x:v>
      </x:c>
      <x:c r="C76" s="10" t="str">
        <x:v>挂载与元数据生命周期</x:v>
      </x:c>
      <x:c r="D76" s="10" t="str">
        <x:v>test_gc_trash_slices</x:v>
      </x:c>
      <x:c r="E76" s="10" t="str">
        <x:v>Shell 测试函数</x:v>
      </x:c>
      <x:c r="F76" s="10" t="str">
        <x:v>待执行</x:v>
      </x:c>
      <x:c r="G76" s="10" t="str">
        <x:v>其他平台／集成；根据 workflow 条件选择</x:v>
      </x:c>
      <x:c r="H76" s="10" t="str">
        <x:v>.github/scripts/command/gc.sh:31</x:v>
      </x:c>
      <x:c r="I76" s="10" t="str">
        <x:v>https://github.com/juicedata/juicefs/blob/30190ca1094d26e85f19a979ca51b0ea19af1eaa/.github/scripts/command/gc.sh#L31</x:v>
      </x:c>
      <x:c r="J76" s="10" t="str">
        <x:v>未提升为 Windows 执行项</x:v>
      </x:c>
      <x:c r="K76" s="10" t="str">
        <x:v>见源文件及 CI 条件</x:v>
      </x:c>
      <x:c r="L76" s="10" t="str">
        <x:v>级别为源码目录初分，未执行项目不能计作通过</x:v>
      </x:c>
    </x:row>
    <x:row r="77" ht="42" customHeight="1">
      <x:c r="A77" s="11" t="str">
        <x:v>UP-5e5c72ab332b</x:v>
      </x:c>
      <x:c r="B77" s="11" t="str">
        <x:v>L1</x:v>
      </x:c>
      <x:c r="C77" s="11" t="str">
        <x:v>挂载与元数据生命周期</x:v>
      </x:c>
      <x:c r="D77" s="11" t="str">
        <x:v>test_gc_trash_files</x:v>
      </x:c>
      <x:c r="E77" s="11" t="str">
        <x:v>Shell 测试函数</x:v>
      </x:c>
      <x:c r="F77" s="11" t="str">
        <x:v>待执行</x:v>
      </x:c>
      <x:c r="G77" s="11" t="str">
        <x:v>其他平台／集成；根据 workflow 条件选择</x:v>
      </x:c>
      <x:c r="H77" s="11" t="str">
        <x:v>.github/scripts/command/gc.sh:43</x:v>
      </x:c>
      <x:c r="I77" s="11" t="str">
        <x:v>https://github.com/juicedata/juicefs/blob/30190ca1094d26e85f19a979ca51b0ea19af1eaa/.github/scripts/command/gc.sh#L43</x:v>
      </x:c>
      <x:c r="J77" s="11" t="str">
        <x:v>未提升为 Windows 执行项</x:v>
      </x:c>
      <x:c r="K77" s="11" t="str">
        <x:v>见源文件及 CI 条件</x:v>
      </x:c>
      <x:c r="L77" s="11" t="str">
        <x:v>级别为源码目录初分，未执行项目不能计作通过</x:v>
      </x:c>
    </x:row>
    <x:row r="78" ht="42" customHeight="1">
      <x:c r="A78" s="10" t="str">
        <x:v>UP-3c5603db78b9</x:v>
      </x:c>
      <x:c r="B78" s="10" t="str">
        <x:v>L2</x:v>
      </x:c>
      <x:c r="C78" s="10" t="str">
        <x:v>应用与界面兼容</x:v>
      </x:c>
      <x:c r="D78" s="10" t="str">
        <x:v>test_kill_mount_process</x:v>
      </x:c>
      <x:c r="E78" s="10" t="str">
        <x:v>Shell 测试函数</x:v>
      </x:c>
      <x:c r="F78" s="10" t="str">
        <x:v>待执行</x:v>
      </x:c>
      <x:c r="G78" s="10" t="str">
        <x:v>其他平台／集成；根据 workflow 条件选择</x:v>
      </x:c>
      <x:c r="H78" s="10" t="str">
        <x:v>.github/scripts/command/graceful_upgrade.sh:24</x:v>
      </x:c>
      <x:c r="I78" s="10" t="str">
        <x:v>https://github.com/juicedata/juicefs/blob/30190ca1094d26e85f19a979ca51b0ea19af1eaa/.github/scripts/command/graceful_upgrade.sh#L24</x:v>
      </x:c>
      <x:c r="J78" s="10" t="str">
        <x:v>未提升为 Windows 执行项</x:v>
      </x:c>
      <x:c r="K78" s="10" t="str">
        <x:v>见源文件及 CI 条件</x:v>
      </x:c>
      <x:c r="L78" s="10" t="str">
        <x:v>级别为源码目录初分，未执行项目不能计作通过</x:v>
      </x:c>
    </x:row>
    <x:row r="79" ht="42" customHeight="1">
      <x:c r="A79" s="11" t="str">
        <x:v>UP-070f4e8bd195</x:v>
      </x:c>
      <x:c r="B79" s="11" t="str">
        <x:v>L2</x:v>
      </x:c>
      <x:c r="C79" s="11" t="str">
        <x:v>应用与界面兼容</x:v>
      </x:c>
      <x:c r="D79" s="11" t="str">
        <x:v>test_update_non_fuse_option</x:v>
      </x:c>
      <x:c r="E79" s="11" t="str">
        <x:v>Shell 测试函数</x:v>
      </x:c>
      <x:c r="F79" s="11" t="str">
        <x:v>待执行</x:v>
      </x:c>
      <x:c r="G79" s="11" t="str">
        <x:v>其他平台／集成；根据 workflow 条件选择</x:v>
      </x:c>
      <x:c r="H79" s="11" t="str">
        <x:v>.github/scripts/command/graceful_upgrade.sh:64</x:v>
      </x:c>
      <x:c r="I79" s="11" t="str">
        <x:v>https://github.com/juicedata/juicefs/blob/30190ca1094d26e85f19a979ca51b0ea19af1eaa/.github/scripts/command/graceful_upgrade.sh#L64</x:v>
      </x:c>
      <x:c r="J79" s="11" t="str">
        <x:v>未提升为 Windows 执行项</x:v>
      </x:c>
      <x:c r="K79" s="11" t="str">
        <x:v>见源文件及 CI 条件</x:v>
      </x:c>
      <x:c r="L79" s="11" t="str">
        <x:v>级别为源码目录初分，未执行项目不能计作通过</x:v>
      </x:c>
    </x:row>
    <x:row r="80" ht="42" customHeight="1">
      <x:c r="A80" s="10" t="str">
        <x:v>UP-575062854bc2</x:v>
      </x:c>
      <x:c r="B80" s="10" t="str">
        <x:v>L2</x:v>
      </x:c>
      <x:c r="C80" s="10" t="str">
        <x:v>应用与界面兼容</x:v>
      </x:c>
      <x:c r="D80" s="10" t="str">
        <x:v>test_update_on_failure</x:v>
      </x:c>
      <x:c r="E80" s="10" t="str">
        <x:v>Shell 测试函数</x:v>
      </x:c>
      <x:c r="F80" s="10" t="str">
        <x:v>待执行</x:v>
      </x:c>
      <x:c r="G80" s="10" t="str">
        <x:v>其他平台／集成；根据 workflow 条件选择</x:v>
      </x:c>
      <x:c r="H80" s="10" t="str">
        <x:v>.github/scripts/command/graceful_upgrade.sh:82</x:v>
      </x:c>
      <x:c r="I80" s="10" t="str">
        <x:v>https://github.com/juicedata/juicefs/blob/30190ca1094d26e85f19a979ca51b0ea19af1eaa/.github/scripts/command/graceful_upgrade.sh#L82</x:v>
      </x:c>
      <x:c r="J80" s="10" t="str">
        <x:v>未提升为 Windows 执行项</x:v>
      </x:c>
      <x:c r="K80" s="10" t="str">
        <x:v>见源文件及 CI 条件</x:v>
      </x:c>
      <x:c r="L80" s="10" t="str">
        <x:v>级别为源码目录初分，未执行项目不能计作通过</x:v>
      </x:c>
    </x:row>
    <x:row r="81" ht="42" customHeight="1">
      <x:c r="A81" s="11" t="str">
        <x:v>UP-dc6b7bb21070</x:v>
      </x:c>
      <x:c r="B81" s="11" t="str">
        <x:v>L2</x:v>
      </x:c>
      <x:c r="C81" s="11" t="str">
        <x:v>应用与界面兼容</x:v>
      </x:c>
      <x:c r="D81" s="11" t="str">
        <x:v>test_update_on_fio</x:v>
      </x:c>
      <x:c r="E81" s="11" t="str">
        <x:v>Shell 测试函数</x:v>
      </x:c>
      <x:c r="F81" s="11" t="str">
        <x:v>待执行</x:v>
      </x:c>
      <x:c r="G81" s="11" t="str">
        <x:v>其他平台／集成；根据 workflow 条件选择</x:v>
      </x:c>
      <x:c r="H81" s="11" t="str">
        <x:v>.github/scripts/command/graceful_upgrade.sh:98</x:v>
      </x:c>
      <x:c r="I81" s="11" t="str">
        <x:v>https://github.com/juicedata/juicefs/blob/30190ca1094d26e85f19a979ca51b0ea19af1eaa/.github/scripts/command/graceful_upgrade.sh#L98</x:v>
      </x:c>
      <x:c r="J81" s="11" t="str">
        <x:v>未提升为 Windows 执行项</x:v>
      </x:c>
      <x:c r="K81" s="11" t="str">
        <x:v>见源文件及 CI 条件</x:v>
      </x:c>
      <x:c r="L81" s="11" t="str">
        <x:v>级别为源码目录初分，未执行项目不能计作通过</x:v>
      </x:c>
    </x:row>
    <x:row r="82" ht="42" customHeight="1">
      <x:c r="A82" s="10" t="str">
        <x:v>UP-6bce9d386879</x:v>
      </x:c>
      <x:c r="B82" s="10" t="str">
        <x:v>L2</x:v>
      </x:c>
      <x:c r="C82" s="10" t="str">
        <x:v>应用与界面兼容</x:v>
      </x:c>
      <x:c r="D82" s="10" t="str">
        <x:v>test_update_fuse_option</x:v>
      </x:c>
      <x:c r="E82" s="10" t="str">
        <x:v>Shell 测试函数</x:v>
      </x:c>
      <x:c r="F82" s="10" t="str">
        <x:v>待执行</x:v>
      </x:c>
      <x:c r="G82" s="10" t="str">
        <x:v>其他平台／集成；根据 workflow 条件选择</x:v>
      </x:c>
      <x:c r="H82" s="10" t="str">
        <x:v>.github/scripts/command/graceful_upgrade.sh:119</x:v>
      </x:c>
      <x:c r="I82" s="10" t="str">
        <x:v>https://github.com/juicedata/juicefs/blob/30190ca1094d26e85f19a979ca51b0ea19af1eaa/.github/scripts/command/graceful_upgrade.sh#L119</x:v>
      </x:c>
      <x:c r="J82" s="10" t="str">
        <x:v>未提升为 Windows 执行项</x:v>
      </x:c>
      <x:c r="K82" s="10" t="str">
        <x:v>见源文件及 CI 条件</x:v>
      </x:c>
      <x:c r="L82" s="10" t="str">
        <x:v>级别为源码目录初分，未执行项目不能计作通过</x:v>
      </x:c>
    </x:row>
    <x:row r="83" ht="42" customHeight="1">
      <x:c r="A83" s="11" t="str">
        <x:v>UP-c4ad4104c818</x:v>
      </x:c>
      <x:c r="B83" s="11" t="str">
        <x:v>L2</x:v>
      </x:c>
      <x:c r="C83" s="11" t="str">
        <x:v>应用与界面兼容</x:v>
      </x:c>
      <x:c r="D83" s="11" t="str">
        <x:v>test_update_from_old_version</x:v>
      </x:c>
      <x:c r="E83" s="11" t="str">
        <x:v>Shell 测试函数</x:v>
      </x:c>
      <x:c r="F83" s="11" t="str">
        <x:v>待执行</x:v>
      </x:c>
      <x:c r="G83" s="11" t="str">
        <x:v>其他平台／集成；根据 workflow 条件选择</x:v>
      </x:c>
      <x:c r="H83" s="11" t="str">
        <x:v>.github/scripts/command/graceful_upgrade.sh:141</x:v>
      </x:c>
      <x:c r="I83" s="11" t="str">
        <x:v>https://github.com/juicedata/juicefs/blob/30190ca1094d26e85f19a979ca51b0ea19af1eaa/.github/scripts/command/graceful_upgrade.sh#L141</x:v>
      </x:c>
      <x:c r="J83" s="11" t="str">
        <x:v>未提升为 Windows 执行项</x:v>
      </x:c>
      <x:c r="K83" s="11" t="str">
        <x:v>见源文件及 CI 条件</x:v>
      </x:c>
      <x:c r="L83" s="11" t="str">
        <x:v>级别为源码目录初分，未执行项目不能计作通过</x:v>
      </x:c>
    </x:row>
    <x:row r="84" ht="42" customHeight="1">
      <x:c r="A84" s="10" t="str">
        <x:v>UP-807b6f0646f6</x:v>
      </x:c>
      <x:c r="B84" s="10" t="str">
        <x:v>L2</x:v>
      </x:c>
      <x:c r="C84" s="10" t="str">
        <x:v>应用与界面兼容</x:v>
      </x:c>
      <x:c r="D84" s="10" t="str">
        <x:v>test_update_on_fstab</x:v>
      </x:c>
      <x:c r="E84" s="10" t="str">
        <x:v>Shell 测试函数</x:v>
      </x:c>
      <x:c r="F84" s="10" t="str">
        <x:v>待执行</x:v>
      </x:c>
      <x:c r="G84" s="10" t="str">
        <x:v>其他平台／集成；根据 workflow 条件选择</x:v>
      </x:c>
      <x:c r="H84" s="10" t="str">
        <x:v>.github/scripts/command/graceful_upgrade.sh:163</x:v>
      </x:c>
      <x:c r="I84" s="10" t="str">
        <x:v>https://github.com/juicedata/juicefs/blob/30190ca1094d26e85f19a979ca51b0ea19af1eaa/.github/scripts/command/graceful_upgrade.sh#L163</x:v>
      </x:c>
      <x:c r="J84" s="10" t="str">
        <x:v>未提升为 Windows 执行项</x:v>
      </x:c>
      <x:c r="K84" s="10" t="str">
        <x:v>见源文件及 CI 条件</x:v>
      </x:c>
      <x:c r="L84" s="10" t="str">
        <x:v>级别为源码目录初分，未执行项目不能计作通过</x:v>
      </x:c>
    </x:row>
    <x:row r="85" ht="42" customHeight="1">
      <x:c r="A85" s="11" t="str">
        <x:v>UP-5e4177417557</x:v>
      </x:c>
      <x:c r="B85" s="11" t="str">
        <x:v>L2</x:v>
      </x:c>
      <x:c r="C85" s="11" t="str">
        <x:v>应用与界面兼容</x:v>
      </x:c>
      <x:c r="D85" s="11" t="str">
        <x:v>test_info_big_file</x:v>
      </x:c>
      <x:c r="E85" s="11" t="str">
        <x:v>Shell 测试函数</x:v>
      </x:c>
      <x:c r="F85" s="11" t="str">
        <x:v>待执行</x:v>
      </x:c>
      <x:c r="G85" s="11" t="str">
        <x:v>其他平台／集成；根据 workflow 条件选择</x:v>
      </x:c>
      <x:c r="H85" s="11" t="str">
        <x:v>.github/scripts/command/info.sh:11</x:v>
      </x:c>
      <x:c r="I85" s="11" t="str">
        <x:v>https://github.com/juicedata/juicefs/blob/30190ca1094d26e85f19a979ca51b0ea19af1eaa/.github/scripts/command/info.sh#L11</x:v>
      </x:c>
      <x:c r="J85" s="11" t="str">
        <x:v>未提升为 Windows 执行项</x:v>
      </x:c>
      <x:c r="K85" s="11" t="str">
        <x:v>见源文件及 CI 条件</x:v>
      </x:c>
      <x:c r="L85" s="11" t="str">
        <x:v>级别为源码目录初分，未执行项目不能计作通过</x:v>
      </x:c>
    </x:row>
    <x:row r="86" ht="42" customHeight="1">
      <x:c r="A86" s="10" t="str">
        <x:v>UP-6d7969cb1eac</x:v>
      </x:c>
      <x:c r="B86" s="10" t="str">
        <x:v>L2</x:v>
      </x:c>
      <x:c r="C86" s="10" t="str">
        <x:v>应用与界面兼容</x:v>
      </x:c>
      <x:c r="D86" s="10" t="str">
        <x:v>test_list_large_dir</x:v>
      </x:c>
      <x:c r="E86" s="10" t="str">
        <x:v>Shell 测试函数</x:v>
      </x:c>
      <x:c r="F86" s="10" t="str">
        <x:v>待执行</x:v>
      </x:c>
      <x:c r="G86" s="10" t="str">
        <x:v>其他平台／集成；根据 workflow 条件选择</x:v>
      </x:c>
      <x:c r="H86" s="10" t="str">
        <x:v>.github/scripts/command/interface.sh:9</x:v>
      </x:c>
      <x:c r="I86" s="10" t="str">
        <x:v>https://github.com/juicedata/juicefs/blob/30190ca1094d26e85f19a979ca51b0ea19af1eaa/.github/scripts/command/interface.sh#L9</x:v>
      </x:c>
      <x:c r="J86" s="10" t="str">
        <x:v>未提升为 Windows 执行项</x:v>
      </x:c>
      <x:c r="K86" s="10" t="str">
        <x:v>见源文件及 CI 条件</x:v>
      </x:c>
      <x:c r="L86" s="10" t="str">
        <x:v>级别为源码目录初分，未执行项目不能计作通过</x:v>
      </x:c>
    </x:row>
    <x:row r="87" ht="42" customHeight="1">
      <x:c r="A87" s="11" t="str">
        <x:v>UP-8434394fcef5</x:v>
      </x:c>
      <x:c r="B87" s="11" t="str">
        <x:v>L2</x:v>
      </x:c>
      <x:c r="C87" s="11" t="str">
        <x:v>应用与界面兼容</x:v>
      </x:c>
      <x:c r="D87" s="11" t="str">
        <x:v>test_deep_nested_dirs</x:v>
      </x:c>
      <x:c r="E87" s="11" t="str">
        <x:v>Shell 测试函数</x:v>
      </x:c>
      <x:c r="F87" s="11" t="str">
        <x:v>待执行</x:v>
      </x:c>
      <x:c r="G87" s="11" t="str">
        <x:v>其他平台／集成；根据 workflow 条件选择</x:v>
      </x:c>
      <x:c r="H87" s="11" t="str">
        <x:v>.github/scripts/command/interface.sh:29</x:v>
      </x:c>
      <x:c r="I87" s="11" t="str">
        <x:v>https://github.com/juicedata/juicefs/blob/30190ca1094d26e85f19a979ca51b0ea19af1eaa/.github/scripts/command/interface.sh#L29</x:v>
      </x:c>
      <x:c r="J87" s="11" t="str">
        <x:v>未提升为 Windows 执行项</x:v>
      </x:c>
      <x:c r="K87" s="11" t="str">
        <x:v>见源文件及 CI 条件</x:v>
      </x:c>
      <x:c r="L87" s="11" t="str">
        <x:v>级别为源码目录初分，未执行项目不能计作通过</x:v>
      </x:c>
    </x:row>
    <x:row r="88" ht="42" customHeight="1">
      <x:c r="A88" s="10" t="str">
        <x:v>UP-d1bc4798e439</x:v>
      </x:c>
      <x:c r="B88" s="10" t="str">
        <x:v>L2</x:v>
      </x:c>
      <x:c r="C88" s="10" t="str">
        <x:v>应用与界面兼容</x:v>
      </x:c>
      <x:c r="D88" s="10" t="str">
        <x:v>test_sort_dir</x:v>
      </x:c>
      <x:c r="E88" s="10" t="str">
        <x:v>Shell 测试函数</x:v>
      </x:c>
      <x:c r="F88" s="10" t="str">
        <x:v>待执行</x:v>
      </x:c>
      <x:c r="G88" s="10" t="str">
        <x:v>其他平台／集成；根据 workflow 条件选择</x:v>
      </x:c>
      <x:c r="H88" s="10" t="str">
        <x:v>.github/scripts/command/mount.sh:10</x:v>
      </x:c>
      <x:c r="I88" s="10" t="str">
        <x:v>https://github.com/juicedata/juicefs/blob/30190ca1094d26e85f19a979ca51b0ea19af1eaa/.github/scripts/command/mount.sh#L10</x:v>
      </x:c>
      <x:c r="J88" s="10" t="str">
        <x:v>未提升为 Windows 执行项</x:v>
      </x:c>
      <x:c r="K88" s="10" t="str">
        <x:v>见源文件及 CI 条件</x:v>
      </x:c>
      <x:c r="L88" s="10" t="str">
        <x:v>级别为源码目录初分，未执行项目不能计作通过</x:v>
      </x:c>
    </x:row>
    <x:row r="89" ht="42" customHeight="1">
      <x:c r="A89" s="11" t="str">
        <x:v>UP-27abf6181c7c</x:v>
      </x:c>
      <x:c r="B89" s="11" t="str">
        <x:v>L2</x:v>
      </x:c>
      <x:c r="C89" s="11" t="str">
        <x:v>应用与界面兼容</x:v>
      </x:c>
      <x:c r="D89" s="11" t="str">
        <x:v>test_negative_dir</x:v>
      </x:c>
      <x:c r="E89" s="11" t="str">
        <x:v>Shell 测试函数</x:v>
      </x:c>
      <x:c r="F89" s="11" t="str">
        <x:v>待执行</x:v>
      </x:c>
      <x:c r="G89" s="11" t="str">
        <x:v>其他平台／集成；根据 workflow 条件选择</x:v>
      </x:c>
      <x:c r="H89" s="11" t="str">
        <x:v>.github/scripts/command/mount.sh:47</x:v>
      </x:c>
      <x:c r="I89" s="11" t="str">
        <x:v>https://github.com/juicedata/juicefs/blob/30190ca1094d26e85f19a979ca51b0ea19af1eaa/.github/scripts/command/mount.sh#L47</x:v>
      </x:c>
      <x:c r="J89" s="11" t="str">
        <x:v>未提升为 Windows 执行项</x:v>
      </x:c>
      <x:c r="K89" s="11" t="str">
        <x:v>见源文件及 CI 条件</x:v>
      </x:c>
      <x:c r="L89" s="11" t="str">
        <x:v>级别为源码目录初分，未执行项目不能计作通过</x:v>
      </x:c>
    </x:row>
    <x:row r="90" ht="42" customHeight="1">
      <x:c r="A90" s="10" t="str">
        <x:v>UP-8fbd9d223040</x:v>
      </x:c>
      <x:c r="B90" s="10" t="str">
        <x:v>L2</x:v>
      </x:c>
      <x:c r="C90" s="10" t="str">
        <x:v>应用与界面兼容</x:v>
      </x:c>
      <x:c r="D90" s="10" t="str">
        <x:v>test_check_storage</x:v>
      </x:c>
      <x:c r="E90" s="10" t="str">
        <x:v>Shell 测试函数</x:v>
      </x:c>
      <x:c r="F90" s="10" t="str">
        <x:v>待执行</x:v>
      </x:c>
      <x:c r="G90" s="10" t="str">
        <x:v>其他平台／集成；根据 workflow 条件选择</x:v>
      </x:c>
      <x:c r="H90" s="10" t="str">
        <x:v>.github/scripts/command/mount.sh:83</x:v>
      </x:c>
      <x:c r="I90" s="10" t="str">
        <x:v>https://github.com/juicedata/juicefs/blob/30190ca1094d26e85f19a979ca51b0ea19af1eaa/.github/scripts/command/mount.sh#L83</x:v>
      </x:c>
      <x:c r="J90" s="10" t="str">
        <x:v>未提升为 Windows 执行项</x:v>
      </x:c>
      <x:c r="K90" s="10" t="str">
        <x:v>见源文件及 CI 条件</x:v>
      </x:c>
      <x:c r="L90" s="10" t="str">
        <x:v>级别为源码目录初分，未执行项目不能计作通过</x:v>
      </x:c>
    </x:row>
    <x:row r="91" ht="42" customHeight="1">
      <x:c r="A91" s="11" t="str">
        <x:v>UP-63db0f6c9fde</x:v>
      </x:c>
      <x:c r="B91" s="11" t="str">
        <x:v>L2</x:v>
      </x:c>
      <x:c r="C91" s="11" t="str">
        <x:v>应用与界面兼容</x:v>
      </x:c>
      <x:c r="D91" s="11" t="str">
        <x:v>test_capabilities</x:v>
      </x:c>
      <x:c r="E91" s="11" t="str">
        <x:v>Shell 测试函数</x:v>
      </x:c>
      <x:c r="F91" s="11" t="str">
        <x:v>待执行</x:v>
      </x:c>
      <x:c r="G91" s="11" t="str">
        <x:v>其他平台／集成；根据 workflow 条件选择</x:v>
      </x:c>
      <x:c r="H91" s="11" t="str">
        <x:v>.github/scripts/command/mount.sh:98</x:v>
      </x:c>
      <x:c r="I91" s="11" t="str">
        <x:v>https://github.com/juicedata/juicefs/blob/30190ca1094d26e85f19a979ca51b0ea19af1eaa/.github/scripts/command/mount.sh#L98</x:v>
      </x:c>
      <x:c r="J91" s="11" t="str">
        <x:v>未提升为 Windows 执行项</x:v>
      </x:c>
      <x:c r="K91" s="11" t="str">
        <x:v>见源文件及 CI 条件</x:v>
      </x:c>
      <x:c r="L91" s="11" t="str">
        <x:v>级别为源码目录初分，未执行项目不能计作通过</x:v>
      </x:c>
    </x:row>
    <x:row r="92" ht="42" customHeight="1">
      <x:c r="A92" s="10" t="str">
        <x:v>UP-b5e2e1cafbbb</x:v>
      </x:c>
      <x:c r="B92" s="10" t="str">
        <x:v>L2</x:v>
      </x:c>
      <x:c r="C92" s="10" t="str">
        <x:v>应用与界面兼容</x:v>
      </x:c>
      <x:c r="D92" s="10" t="str">
        <x:v>test_all_squash</x:v>
      </x:c>
      <x:c r="E92" s="10" t="str">
        <x:v>Shell 测试函数</x:v>
      </x:c>
      <x:c r="F92" s="10" t="str">
        <x:v>待执行</x:v>
      </x:c>
      <x:c r="G92" s="10" t="str">
        <x:v>其他平台／集成；根据 workflow 条件选择</x:v>
      </x:c>
      <x:c r="H92" s="10" t="str">
        <x:v>.github/scripts/command/mount.sh:135</x:v>
      </x:c>
      <x:c r="I92" s="10" t="str">
        <x:v>https://github.com/juicedata/juicefs/blob/30190ca1094d26e85f19a979ca51b0ea19af1eaa/.github/scripts/command/mount.sh#L135</x:v>
      </x:c>
      <x:c r="J92" s="10" t="str">
        <x:v>未提升为 Windows 执行项</x:v>
      </x:c>
      <x:c r="K92" s="10" t="str">
        <x:v>见源文件及 CI 条件</x:v>
      </x:c>
      <x:c r="L92" s="10" t="str">
        <x:v>级别为源码目录初分，未执行项目不能计作通过</x:v>
      </x:c>
    </x:row>
    <x:row r="93" ht="42" customHeight="1">
      <x:c r="A93" s="11" t="str">
        <x:v>UP-a93da312ad2f</x:v>
      </x:c>
      <x:c r="B93" s="11" t="str">
        <x:v>L2</x:v>
      </x:c>
      <x:c r="C93" s="11" t="str">
        <x:v>应用与界面兼容</x:v>
      </x:c>
      <x:c r="D93" s="11" t="str">
        <x:v>test_umask</x:v>
      </x:c>
      <x:c r="E93" s="11" t="str">
        <x:v>Shell 测试函数</x:v>
      </x:c>
      <x:c r="F93" s="11" t="str">
        <x:v>待执行</x:v>
      </x:c>
      <x:c r="G93" s="11" t="str">
        <x:v>其他平台／集成；根据 workflow 条件选择</x:v>
      </x:c>
      <x:c r="H93" s="11" t="str">
        <x:v>.github/scripts/command/mount.sh:152</x:v>
      </x:c>
      <x:c r="I93" s="11" t="str">
        <x:v>https://github.com/juicedata/juicefs/blob/30190ca1094d26e85f19a979ca51b0ea19af1eaa/.github/scripts/command/mount.sh#L152</x:v>
      </x:c>
      <x:c r="J93" s="11" t="str">
        <x:v>未提升为 Windows 执行项</x:v>
      </x:c>
      <x:c r="K93" s="11" t="str">
        <x:v>见源文件及 CI 条件</x:v>
      </x:c>
      <x:c r="L93" s="11" t="str">
        <x:v>级别为源码目录初分，未执行项目不能计作通过</x:v>
      </x:c>
    </x:row>
    <x:row r="94" ht="42" customHeight="1">
      <x:c r="A94" s="10" t="str">
        <x:v>UP-d0f6c64b865d</x:v>
      </x:c>
      <x:c r="B94" s="10" t="str">
        <x:v>L1</x:v>
      </x:c>
      <x:c r="C94" s="10" t="str">
        <x:v>崩溃与资源耗尽</x:v>
      </x:c>
      <x:c r="D94" s="10" t="str">
        <x:v>test_total_capacity</x:v>
      </x:c>
      <x:c r="E94" s="10" t="str">
        <x:v>Shell 测试函数</x:v>
      </x:c>
      <x:c r="F94" s="10" t="str">
        <x:v>待执行</x:v>
      </x:c>
      <x:c r="G94" s="10" t="str">
        <x:v>其他平台／集成；根据 workflow 条件选择</x:v>
      </x:c>
      <x:c r="H94" s="10" t="str">
        <x:v>.github/scripts/command/quota.sh:14</x:v>
      </x:c>
      <x:c r="I94" s="10" t="str">
        <x:v>https://github.com/juicedata/juicefs/blob/30190ca1094d26e85f19a979ca51b0ea19af1eaa/.github/scripts/command/quota.sh#L14</x:v>
      </x:c>
      <x:c r="J94" s="10" t="str">
        <x:v>未提升为 Windows 执行项</x:v>
      </x:c>
      <x:c r="K94" s="10" t="str">
        <x:v>见源文件及 CI 条件</x:v>
      </x:c>
      <x:c r="L94" s="10" t="str">
        <x:v>级别为源码目录初分，未执行项目不能计作通过</x:v>
      </x:c>
    </x:row>
    <x:row r="95" ht="42" customHeight="1">
      <x:c r="A95" s="11" t="str">
        <x:v>UP-3a00fc8b45ec</x:v>
      </x:c>
      <x:c r="B95" s="11" t="str">
        <x:v>L1</x:v>
      </x:c>
      <x:c r="C95" s="11" t="str">
        <x:v>崩溃与资源耗尽</x:v>
      </x:c>
      <x:c r="D95" s="11" t="str">
        <x:v>test_total_inodes</x:v>
      </x:c>
      <x:c r="E95" s="11" t="str">
        <x:v>Shell 测试函数</x:v>
      </x:c>
      <x:c r="F95" s="11" t="str">
        <x:v>待执行</x:v>
      </x:c>
      <x:c r="G95" s="11" t="str">
        <x:v>其他平台／集成；根据 workflow 条件选择</x:v>
      </x:c>
      <x:c r="H95" s="11" t="str">
        <x:v>.github/scripts/command/quota.sh:43</x:v>
      </x:c>
      <x:c r="I95" s="11" t="str">
        <x:v>https://github.com/juicedata/juicefs/blob/30190ca1094d26e85f19a979ca51b0ea19af1eaa/.github/scripts/command/quota.sh#L43</x:v>
      </x:c>
      <x:c r="J95" s="11" t="str">
        <x:v>未提升为 Windows 执行项</x:v>
      </x:c>
      <x:c r="K95" s="11" t="str">
        <x:v>见源文件及 CI 条件</x:v>
      </x:c>
      <x:c r="L95" s="11" t="str">
        <x:v>级别为源码目录初分，未执行项目不能计作通过</x:v>
      </x:c>
    </x:row>
    <x:row r="96" ht="42" customHeight="1">
      <x:c r="A96" s="10" t="str">
        <x:v>UP-476cc06327d1</x:v>
      </x:c>
      <x:c r="B96" s="10" t="str">
        <x:v>L1</x:v>
      </x:c>
      <x:c r="C96" s="10" t="str">
        <x:v>崩溃与资源耗尽</x:v>
      </x:c>
      <x:c r="D96" s="10" t="str">
        <x:v>test_nested_dir</x:v>
      </x:c>
      <x:c r="E96" s="10" t="str">
        <x:v>Shell 测试函数</x:v>
      </x:c>
      <x:c r="F96" s="10" t="str">
        <x:v>待执行</x:v>
      </x:c>
      <x:c r="G96" s="10" t="str">
        <x:v>其他平台／集成；根据 workflow 条件选择</x:v>
      </x:c>
      <x:c r="H96" s="10" t="str">
        <x:v>.github/scripts/command/quota.sh:66</x:v>
      </x:c>
      <x:c r="I96" s="10" t="str">
        <x:v>https://github.com/juicedata/juicefs/blob/30190ca1094d26e85f19a979ca51b0ea19af1eaa/.github/scripts/command/quota.sh#L66</x:v>
      </x:c>
      <x:c r="J96" s="10" t="str">
        <x:v>未提升为 Windows 执行项</x:v>
      </x:c>
      <x:c r="K96" s="10" t="str">
        <x:v>见源文件及 CI 条件</x:v>
      </x:c>
      <x:c r="L96" s="10" t="str">
        <x:v>级别为源码目录初分，未执行项目不能计作通过</x:v>
      </x:c>
    </x:row>
    <x:row r="97" ht="42" customHeight="1">
      <x:c r="A97" s="11" t="str">
        <x:v>UP-def5ef8caa26</x:v>
      </x:c>
      <x:c r="B97" s="11" t="str">
        <x:v>L1</x:v>
      </x:c>
      <x:c r="C97" s="11" t="str">
        <x:v>崩溃与资源耗尽</x:v>
      </x:c>
      <x:c r="D97" s="11" t="str">
        <x:v>test_remove_and_restore</x:v>
      </x:c>
      <x:c r="E97" s="11" t="str">
        <x:v>Shell 测试函数</x:v>
      </x:c>
      <x:c r="F97" s="11" t="str">
        <x:v>待执行</x:v>
      </x:c>
      <x:c r="G97" s="11" t="str">
        <x:v>其他平台／集成；根据 workflow 条件选择</x:v>
      </x:c>
      <x:c r="H97" s="11" t="str">
        <x:v>.github/scripts/command/quota.sh:91</x:v>
      </x:c>
      <x:c r="I97" s="11" t="str">
        <x:v>https://github.com/juicedata/juicefs/blob/30190ca1094d26e85f19a979ca51b0ea19af1eaa/.github/scripts/command/quota.sh#L91</x:v>
      </x:c>
      <x:c r="J97" s="11" t="str">
        <x:v>未提升为 Windows 执行项</x:v>
      </x:c>
      <x:c r="K97" s="11" t="str">
        <x:v>见源文件及 CI 条件</x:v>
      </x:c>
      <x:c r="L97" s="11" t="str">
        <x:v>级别为源码目录初分，未执行项目不能计作通过</x:v>
      </x:c>
    </x:row>
    <x:row r="98" ht="42" customHeight="1">
      <x:c r="A98" s="10" t="str">
        <x:v>UP-6d416a658c20</x:v>
      </x:c>
      <x:c r="B98" s="10" t="str">
        <x:v>L1</x:v>
      </x:c>
      <x:c r="C98" s="10" t="str">
        <x:v>崩溃与资源耗尽</x:v>
      </x:c>
      <x:c r="D98" s="10" t="str">
        <x:v>test_dir_capacity</x:v>
      </x:c>
      <x:c r="E98" s="10" t="str">
        <x:v>Shell 测试函数</x:v>
      </x:c>
      <x:c r="F98" s="10" t="str">
        <x:v>待执行</x:v>
      </x:c>
      <x:c r="G98" s="10" t="str">
        <x:v>其他平台／集成；根据 workflow 条件选择</x:v>
      </x:c>
      <x:c r="H98" s="10" t="str">
        <x:v>.github/scripts/command/quota.sh:128</x:v>
      </x:c>
      <x:c r="I98" s="10" t="str">
        <x:v>https://github.com/juicedata/juicefs/blob/30190ca1094d26e85f19a979ca51b0ea19af1eaa/.github/scripts/command/quota.sh#L128</x:v>
      </x:c>
      <x:c r="J98" s="10" t="str">
        <x:v>未提升为 Windows 执行项</x:v>
      </x:c>
      <x:c r="K98" s="10" t="str">
        <x:v>见源文件及 CI 条件</x:v>
      </x:c>
      <x:c r="L98" s="10" t="str">
        <x:v>级别为源码目录初分，未执行项目不能计作通过</x:v>
      </x:c>
    </x:row>
    <x:row r="99" ht="42" customHeight="1">
      <x:c r="A99" s="11" t="str">
        <x:v>UP-17658191d7cc</x:v>
      </x:c>
      <x:c r="B99" s="11" t="str">
        <x:v>L1</x:v>
      </x:c>
      <x:c r="C99" s="11" t="str">
        <x:v>崩溃与资源耗尽</x:v>
      </x:c>
      <x:c r="D99" s="11" t="str">
        <x:v>test_dir_inodes</x:v>
      </x:c>
      <x:c r="E99" s="11" t="str">
        <x:v>Shell 测试函数</x:v>
      </x:c>
      <x:c r="F99" s="11" t="str">
        <x:v>待执行</x:v>
      </x:c>
      <x:c r="G99" s="11" t="str">
        <x:v>其他平台／集成；根据 workflow 条件选择</x:v>
      </x:c>
      <x:c r="H99" s="11" t="str">
        <x:v>.github/scripts/command/quota.sh:158</x:v>
      </x:c>
      <x:c r="I99" s="11" t="str">
        <x:v>https://github.com/juicedata/juicefs/blob/30190ca1094d26e85f19a979ca51b0ea19af1eaa/.github/scripts/command/quota.sh#L158</x:v>
      </x:c>
      <x:c r="J99" s="11" t="str">
        <x:v>未提升为 Windows 执行项</x:v>
      </x:c>
      <x:c r="K99" s="11" t="str">
        <x:v>见源文件及 CI 条件</x:v>
      </x:c>
      <x:c r="L99" s="11" t="str">
        <x:v>级别为源码目录初分，未执行项目不能计作通过</x:v>
      </x:c>
    </x:row>
    <x:row r="100" ht="42" customHeight="1">
      <x:c r="A100" s="10" t="str">
        <x:v>UP-a241b6bbf17e</x:v>
      </x:c>
      <x:c r="B100" s="10" t="str">
        <x:v>L1</x:v>
      </x:c>
      <x:c r="C100" s="10" t="str">
        <x:v>崩溃与资源耗尽</x:v>
      </x:c>
      <x:c r="D100" s="10" t="str">
        <x:v>test_sub_dir</x:v>
      </x:c>
      <x:c r="E100" s="10" t="str">
        <x:v>Shell 测试函数</x:v>
      </x:c>
      <x:c r="F100" s="10" t="str">
        <x:v>待执行</x:v>
      </x:c>
      <x:c r="G100" s="10" t="str">
        <x:v>其他平台／集成；根据 workflow 条件选择</x:v>
      </x:c>
      <x:c r="H100" s="10" t="str">
        <x:v>.github/scripts/command/quota.sh:191</x:v>
      </x:c>
      <x:c r="I100" s="10" t="str">
        <x:v>https://github.com/juicedata/juicefs/blob/30190ca1094d26e85f19a979ca51b0ea19af1eaa/.github/scripts/command/quota.sh#L191</x:v>
      </x:c>
      <x:c r="J100" s="10" t="str">
        <x:v>未提升为 Windows 执行项</x:v>
      </x:c>
      <x:c r="K100" s="10" t="str">
        <x:v>见源文件及 CI 条件</x:v>
      </x:c>
      <x:c r="L100" s="10" t="str">
        <x:v>级别为源码目录初分，未执行项目不能计作通过</x:v>
      </x:c>
    </x:row>
    <x:row r="101" ht="42" customHeight="1">
      <x:c r="A101" s="11" t="str">
        <x:v>UP-d93052c0186e</x:v>
      </x:c>
      <x:c r="B101" s="11" t="str">
        <x:v>L1</x:v>
      </x:c>
      <x:c r="C101" s="11" t="str">
        <x:v>崩溃与资源耗尽</x:v>
      </x:c>
      <x:c r="D101" s="11" t="str">
        <x:v>test_dump_load</x:v>
      </x:c>
      <x:c r="E101" s="11" t="str">
        <x:v>Shell 测试函数</x:v>
      </x:c>
      <x:c r="F101" s="11" t="str">
        <x:v>待执行</x:v>
      </x:c>
      <x:c r="G101" s="11" t="str">
        <x:v>其他平台／集成；根据 workflow 条件选择</x:v>
      </x:c>
      <x:c r="H101" s="11" t="str">
        <x:v>.github/scripts/command/quota.sh:221</x:v>
      </x:c>
      <x:c r="I101" s="11" t="str">
        <x:v>https://github.com/juicedata/juicefs/blob/30190ca1094d26e85f19a979ca51b0ea19af1eaa/.github/scripts/command/quota.sh#L221</x:v>
      </x:c>
      <x:c r="J101" s="11" t="str">
        <x:v>未提升为 Windows 执行项</x:v>
      </x:c>
      <x:c r="K101" s="11" t="str">
        <x:v>见源文件及 CI 条件</x:v>
      </x:c>
      <x:c r="L101" s="11" t="str">
        <x:v>级别为源码目录初分，未执行项目不能计作通过</x:v>
      </x:c>
    </x:row>
    <x:row r="102" ht="42" customHeight="1">
      <x:c r="A102" s="10" t="str">
        <x:v>UP-9b605e59f5d0</x:v>
      </x:c>
      <x:c r="B102" s="10" t="str">
        <x:v>L1</x:v>
      </x:c>
      <x:c r="C102" s="10" t="str">
        <x:v>崩溃与资源耗尽</x:v>
      </x:c>
      <x:c r="D102" s="10" t="str">
        <x:v>test_hard_link</x:v>
      </x:c>
      <x:c r="E102" s="10" t="str">
        <x:v>Shell 测试函数</x:v>
      </x:c>
      <x:c r="F102" s="10" t="str">
        <x:v>待执行</x:v>
      </x:c>
      <x:c r="G102" s="10" t="str">
        <x:v>其他平台／集成；根据 workflow 条件选择</x:v>
      </x:c>
      <x:c r="H102" s="10" t="str">
        <x:v>.github/scripts/command/quota.sh:250</x:v>
      </x:c>
      <x:c r="I102" s="10" t="str">
        <x:v>https://github.com/juicedata/juicefs/blob/30190ca1094d26e85f19a979ca51b0ea19af1eaa/.github/scripts/command/quota.sh#L250</x:v>
      </x:c>
      <x:c r="J102" s="10" t="str">
        <x:v>未提升为 Windows 执行项</x:v>
      </x:c>
      <x:c r="K102" s="10" t="str">
        <x:v>见源文件及 CI 条件</x:v>
      </x:c>
      <x:c r="L102" s="10" t="str">
        <x:v>级别为源码目录初分，未执行项目不能计作通过</x:v>
      </x:c>
    </x:row>
    <x:row r="103" ht="42" customHeight="1">
      <x:c r="A103" s="11" t="str">
        <x:v>UP-590d5d46f798</x:v>
      </x:c>
      <x:c r="B103" s="11" t="str">
        <x:v>L1</x:v>
      </x:c>
      <x:c r="C103" s="11" t="str">
        <x:v>崩溃与资源耗尽</x:v>
      </x:c>
      <x:c r="D103" s="11" t="str">
        <x:v>test_check_and_repair_quota</x:v>
      </x:c>
      <x:c r="E103" s="11" t="str">
        <x:v>Shell 测试函数</x:v>
      </x:c>
      <x:c r="F103" s="11" t="str">
        <x:v>待执行</x:v>
      </x:c>
      <x:c r="G103" s="11" t="str">
        <x:v>其他平台／集成；根据 workflow 条件选择</x:v>
      </x:c>
      <x:c r="H103" s="11" t="str">
        <x:v>.github/scripts/command/quota.sh:268</x:v>
      </x:c>
      <x:c r="I103" s="11" t="str">
        <x:v>https://github.com/juicedata/juicefs/blob/30190ca1094d26e85f19a979ca51b0ea19af1eaa/.github/scripts/command/quota.sh#L268</x:v>
      </x:c>
      <x:c r="J103" s="11" t="str">
        <x:v>未提升为 Windows 执行项</x:v>
      </x:c>
      <x:c r="K103" s="11" t="str">
        <x:v>见源文件及 CI 条件</x:v>
      </x:c>
      <x:c r="L103" s="11" t="str">
        <x:v>级别为源码目录初分，未执行项目不能计作通过</x:v>
      </x:c>
    </x:row>
    <x:row r="104" ht="42" customHeight="1">
      <x:c r="A104" s="10" t="str">
        <x:v>UP-6f50692bf444</x:v>
      </x:c>
      <x:c r="B104" s="10" t="str">
        <x:v>L2</x:v>
      </x:c>
      <x:c r="C104" s="10" t="str">
        <x:v>应用与界面兼容</x:v>
      </x:c>
      <x:c r="D104" s="10" t="str">
        <x:v>test_run_examples</x:v>
      </x:c>
      <x:c r="E104" s="10" t="str">
        <x:v>Shell 测试函数</x:v>
      </x:c>
      <x:c r="F104" s="10" t="str">
        <x:v>待执行</x:v>
      </x:c>
      <x:c r="G104" s="10" t="str">
        <x:v>其他平台／集成；根据 workflow 条件选择</x:v>
      </x:c>
      <x:c r="H104" s="10" t="str">
        <x:v>.github/scripts/command/random.sh:31</x:v>
      </x:c>
      <x:c r="I104" s="10" t="str">
        <x:v>https://github.com/juicedata/juicefs/blob/30190ca1094d26e85f19a979ca51b0ea19af1eaa/.github/scripts/command/random.sh#L31</x:v>
      </x:c>
      <x:c r="J104" s="10" t="str">
        <x:v>未提升为 Windows 执行项</x:v>
      </x:c>
      <x:c r="K104" s="10" t="str">
        <x:v>见源文件及 CI 条件</x:v>
      </x:c>
      <x:c r="L104" s="10" t="str">
        <x:v>级别为源码目录初分，未执行项目不能计作通过</x:v>
      </x:c>
    </x:row>
    <x:row r="105" ht="42" customHeight="1">
      <x:c r="A105" s="11" t="str">
        <x:v>UP-ba709b86bcb7</x:v>
      </x:c>
      <x:c r="B105" s="11" t="str">
        <x:v>L2</x:v>
      </x:c>
      <x:c r="C105" s="11" t="str">
        <x:v>应用与界面兼容</x:v>
      </x:c>
      <x:c r="D105" s="11" t="str">
        <x:v>test_run_all</x:v>
      </x:c>
      <x:c r="E105" s="11" t="str">
        <x:v>Shell 测试函数</x:v>
      </x:c>
      <x:c r="F105" s="11" t="str">
        <x:v>待执行</x:v>
      </x:c>
      <x:c r="G105" s="11" t="str">
        <x:v>其他平台／集成；根据 workflow 条件选择</x:v>
      </x:c>
      <x:c r="H105" s="11" t="str">
        <x:v>.github/scripts/command/random.sh:38</x:v>
      </x:c>
      <x:c r="I105" s="11" t="str">
        <x:v>https://github.com/juicedata/juicefs/blob/30190ca1094d26e85f19a979ca51b0ea19af1eaa/.github/scripts/command/random.sh#L38</x:v>
      </x:c>
      <x:c r="J105" s="11" t="str">
        <x:v>未提升为 Windows 执行项</x:v>
      </x:c>
      <x:c r="K105" s="11" t="str">
        <x:v>见源文件及 CI 条件</x:v>
      </x:c>
      <x:c r="L105" s="11" t="str">
        <x:v>级别为源码目录初分，未执行项目不能计作通过</x:v>
      </x:c>
    </x:row>
    <x:row r="106" ht="42" customHeight="1">
      <x:c r="A106" s="10" t="str">
        <x:v>UP-de95a58434b4</x:v>
      </x:c>
      <x:c r="B106" s="10" t="str">
        <x:v>L2</x:v>
      </x:c>
      <x:c r="C106" s="10" t="str">
        <x:v>挂载与元数据生命周期</x:v>
      </x:c>
      <x:c r="D106" s="10" t="str">
        <x:v>test_modify_acl_config</x:v>
      </x:c>
      <x:c r="E106" s="10" t="str">
        <x:v>Shell 测试函数</x:v>
      </x:c>
      <x:c r="F106" s="10" t="str">
        <x:v>已跳过</x:v>
      </x:c>
      <x:c r="G106" s="10" t="str">
        <x:v>官方 Windows 工作流</x:v>
      </x:c>
      <x:c r="H106" s="10" t="str">
        <x:v>.github/scripts/command-win/acl.sh:6</x:v>
      </x:c>
      <x:c r="I106" s="10" t="str">
        <x:v>https://github.com/juicedata/juicefs/blob/30190ca1094d26e85f19a979ca51b0ea19af1eaa/.github/scripts/command-win/acl.sh#L6</x:v>
      </x:c>
      <x:c r="J106" s="10" t="str">
        <x:v>JFS-CLI-01</x:v>
      </x:c>
      <x:c r="K106" s="10" t="str">
        <x:v>见源文件及 CI 条件</x:v>
      </x:c>
      <x:c r="L106" s="10" t="str">
        <x:v>级别为源码目录初分，未执行项目不能计作通过</x:v>
      </x:c>
    </x:row>
    <x:row r="107" ht="42" customHeight="1">
      <x:c r="A107" s="11" t="str">
        <x:v>UP-8b4b6835b76b</x:v>
      </x:c>
      <x:c r="B107" s="11" t="str">
        <x:v>L2</x:v>
      </x:c>
      <x:c r="C107" s="11" t="str">
        <x:v>挂载与元数据生命周期</x:v>
      </x:c>
      <x:c r="D107" s="11" t="str">
        <x:v>test_clone_with_jfs_source</x:v>
      </x:c>
      <x:c r="E107" s="11" t="str">
        <x:v>Shell 测试函数</x:v>
      </x:c>
      <x:c r="F107" s="11" t="str">
        <x:v>待执行</x:v>
      </x:c>
      <x:c r="G107" s="11" t="str">
        <x:v>官方 Windows 工作流</x:v>
      </x:c>
      <x:c r="H107" s="11" t="str">
        <x:v>.github/scripts/command-win/clone.sh:7</x:v>
      </x:c>
      <x:c r="I107" s="11" t="str">
        <x:v>https://github.com/juicedata/juicefs/blob/30190ca1094d26e85f19a979ca51b0ea19af1eaa/.github/scripts/command-win/clone.sh#L7</x:v>
      </x:c>
      <x:c r="J107" s="11" t="str">
        <x:v>JFS-CLI-02</x:v>
      </x:c>
      <x:c r="K107" s="11" t="str">
        <x:v>见源文件及 CI 条件</x:v>
      </x:c>
      <x:c r="L107" s="11" t="str">
        <x:v>级别为源码目录初分，未执行项目不能计作通过</x:v>
      </x:c>
    </x:row>
    <x:row r="108" ht="42" customHeight="1">
      <x:c r="A108" s="10" t="str">
        <x:v>UP-ac0c59f5590c</x:v>
      </x:c>
      <x:c r="B108" s="10" t="str">
        <x:v>L2</x:v>
      </x:c>
      <x:c r="C108" s="10" t="str">
        <x:v>挂载与元数据生命周期</x:v>
      </x:c>
      <x:c r="D108" s="10" t="str">
        <x:v>test_clone_with_small_files</x:v>
      </x:c>
      <x:c r="E108" s="10" t="str">
        <x:v>Shell 测试函数</x:v>
      </x:c>
      <x:c r="F108" s="10" t="str">
        <x:v>待执行</x:v>
      </x:c>
      <x:c r="G108" s="10" t="str">
        <x:v>官方 Windows 工作流</x:v>
      </x:c>
      <x:c r="H108" s="10" t="str">
        <x:v>.github/scripts/command-win/clone.sh:39</x:v>
      </x:c>
      <x:c r="I108" s="10" t="str">
        <x:v>https://github.com/juicedata/juicefs/blob/30190ca1094d26e85f19a979ca51b0ea19af1eaa/.github/scripts/command-win/clone.sh#L39</x:v>
      </x:c>
      <x:c r="J108" s="10" t="str">
        <x:v>JFS-CLI-03</x:v>
      </x:c>
      <x:c r="K108" s="10" t="str">
        <x:v>见源文件及 CI 条件</x:v>
      </x:c>
      <x:c r="L108" s="10" t="str">
        <x:v>级别为源码目录初分，未执行项目不能计作通过</x:v>
      </x:c>
    </x:row>
    <x:row r="109" ht="42" customHeight="1">
      <x:c r="A109" s="11" t="str">
        <x:v>UP-1fbaf3651031</x:v>
      </x:c>
      <x:c r="B109" s="11" t="str">
        <x:v>L2</x:v>
      </x:c>
      <x:c r="C109" s="11" t="str">
        <x:v>挂载与元数据生命周期</x:v>
      </x:c>
      <x:c r="D109" s="11" t="str">
        <x:v>test_debug_juicefs</x:v>
      </x:c>
      <x:c r="E109" s="11" t="str">
        <x:v>Shell 测试函数</x:v>
      </x:c>
      <x:c r="F109" s="11" t="str">
        <x:v>待执行</x:v>
      </x:c>
      <x:c r="G109" s="11" t="str">
        <x:v>官方 Windows 工作流</x:v>
      </x:c>
      <x:c r="H109" s="11" t="str">
        <x:v>.github/scripts/command-win/debug.sh:29</x:v>
      </x:c>
      <x:c r="I109" s="11" t="str">
        <x:v>https://github.com/juicedata/juicefs/blob/30190ca1094d26e85f19a979ca51b0ea19af1eaa/.github/scripts/command-win/debug.sh#L29</x:v>
      </x:c>
      <x:c r="J109" s="11" t="str">
        <x:v>JFS-CLI-04</x:v>
      </x:c>
      <x:c r="K109" s="11" t="str">
        <x:v>见源文件及 CI 条件</x:v>
      </x:c>
      <x:c r="L109" s="11" t="str">
        <x:v>级别为源码目录初分，未执行项目不能计作通过</x:v>
      </x:c>
    </x:row>
    <x:row r="110" ht="42" customHeight="1">
      <x:c r="A110" s="10" t="str">
        <x:v>UP-f4d3c12fab36</x:v>
      </x:c>
      <x:c r="B110" s="10" t="str">
        <x:v>L2</x:v>
      </x:c>
      <x:c r="C110" s="10" t="str">
        <x:v>挂载与元数据生命周期</x:v>
      </x:c>
      <x:c r="D110" s="10" t="str">
        <x:v>test_debug_abnormal_juicefs</x:v>
      </x:c>
      <x:c r="E110" s="10" t="str">
        <x:v>Shell 测试函数</x:v>
      </x:c>
      <x:c r="F110" s="10" t="str">
        <x:v>待执行</x:v>
      </x:c>
      <x:c r="G110" s="10" t="str">
        <x:v>官方 Windows 工作流</x:v>
      </x:c>
      <x:c r="H110" s="10" t="str">
        <x:v>.github/scripts/command-win/debug.sh:40</x:v>
      </x:c>
      <x:c r="I110" s="10" t="str">
        <x:v>https://github.com/juicedata/juicefs/blob/30190ca1094d26e85f19a979ca51b0ea19af1eaa/.github/scripts/command-win/debug.sh#L40</x:v>
      </x:c>
      <x:c r="J110" s="10" t="str">
        <x:v>JFS-CLI-05</x:v>
      </x:c>
      <x:c r="K110" s="10" t="str">
        <x:v>见源文件及 CI 条件</x:v>
      </x:c>
      <x:c r="L110" s="10" t="str">
        <x:v>级别为源码目录初分，未执行项目不能计作通过</x:v>
      </x:c>
    </x:row>
    <x:row r="111" ht="42" customHeight="1">
      <x:c r="A111" s="11" t="str">
        <x:v>UP-2d3a64454ed7</x:v>
      </x:c>
      <x:c r="B111" s="11" t="str">
        <x:v>L1</x:v>
      </x:c>
      <x:c r="C111" s="11" t="str">
        <x:v>挂载与元数据生命周期</x:v>
      </x:c>
      <x:c r="D111" s="11" t="str">
        <x:v>test_dump_load_sustained_file</x:v>
      </x:c>
      <x:c r="E111" s="11" t="str">
        <x:v>Shell 测试函数</x:v>
      </x:c>
      <x:c r="F111" s="11" t="str">
        <x:v>待执行</x:v>
      </x:c>
      <x:c r="G111" s="11" t="str">
        <x:v>官方 Windows 工作流</x:v>
      </x:c>
      <x:c r="H111" s="11" t="str">
        <x:v>.github/scripts/command-win/dump_load.sh:14</x:v>
      </x:c>
      <x:c r="I111" s="11" t="str">
        <x:v>https://github.com/juicedata/juicefs/blob/30190ca1094d26e85f19a979ca51b0ea19af1eaa/.github/scripts/command-win/dump_load.sh#L14</x:v>
      </x:c>
      <x:c r="J111" s="11" t="str">
        <x:v>JFS-CLI-06</x:v>
      </x:c>
      <x:c r="K111" s="11" t="str">
        <x:v>见源文件及 CI 条件</x:v>
      </x:c>
      <x:c r="L111" s="11" t="str">
        <x:v>级别为源码目录初分，未执行项目不能计作通过</x:v>
      </x:c>
    </x:row>
    <x:row r="112" ht="42" customHeight="1">
      <x:c r="A112" s="10" t="str">
        <x:v>UP-da7a48fe8492</x:v>
      </x:c>
      <x:c r="B112" s="10" t="str">
        <x:v>L1</x:v>
      </x:c>
      <x:c r="C112" s="10" t="str">
        <x:v>挂载与元数据生命周期</x:v>
      </x:c>
      <x:c r="D112" s="10" t="str">
        <x:v>test_dump_load_with_copy_file_range</x:v>
      </x:c>
      <x:c r="E112" s="10" t="str">
        <x:v>Shell 测试函数</x:v>
      </x:c>
      <x:c r="F112" s="10" t="str">
        <x:v>待执行</x:v>
      </x:c>
      <x:c r="G112" s="10" t="str">
        <x:v>官方 Windows 工作流</x:v>
      </x:c>
      <x:c r="H112" s="10" t="str">
        <x:v>.github/scripts/command-win/dump_load.sh:43</x:v>
      </x:c>
      <x:c r="I112" s="10" t="str">
        <x:v>https://github.com/juicedata/juicefs/blob/30190ca1094d26e85f19a979ca51b0ea19af1eaa/.github/scripts/command-win/dump_load.sh#L43</x:v>
      </x:c>
      <x:c r="J112" s="10" t="str">
        <x:v>JFS-CLI-07</x:v>
      </x:c>
      <x:c r="K112" s="10" t="str">
        <x:v>见源文件及 CI 条件</x:v>
      </x:c>
      <x:c r="L112" s="10" t="str">
        <x:v>级别为源码目录初分，未执行项目不能计作通过</x:v>
      </x:c>
    </x:row>
    <x:row r="113" ht="42" customHeight="1">
      <x:c r="A113" s="11" t="str">
        <x:v>UP-996b0607d40d</x:v>
      </x:c>
      <x:c r="B113" s="11" t="str">
        <x:v>L1</x:v>
      </x:c>
      <x:c r="C113" s="11" t="str">
        <x:v>挂载与元数据生命周期</x:v>
      </x:c>
      <x:c r="D113" s="11" t="str">
        <x:v>test_dump_load_with_quota</x:v>
      </x:c>
      <x:c r="E113" s="11" t="str">
        <x:v>Shell 测试函数</x:v>
      </x:c>
      <x:c r="F113" s="11" t="str">
        <x:v>待执行</x:v>
      </x:c>
      <x:c r="G113" s="11" t="str">
        <x:v>官方 Windows 工作流</x:v>
      </x:c>
      <x:c r="H113" s="11" t="str">
        <x:v>.github/scripts/command-win/dump_load.sh:59</x:v>
      </x:c>
      <x:c r="I113" s="11" t="str">
        <x:v>https://github.com/juicedata/juicefs/blob/30190ca1094d26e85f19a979ca51b0ea19af1eaa/.github/scripts/command-win/dump_load.sh#L59</x:v>
      </x:c>
      <x:c r="J113" s="11" t="str">
        <x:v>JFS-CLI-08</x:v>
      </x:c>
      <x:c r="K113" s="11" t="str">
        <x:v>见源文件及 CI 条件</x:v>
      </x:c>
      <x:c r="L113" s="11" t="str">
        <x:v>级别为源码目录初分，未执行项目不能计作通过</x:v>
      </x:c>
    </x:row>
    <x:row r="114" ht="42" customHeight="1">
      <x:c r="A114" s="10" t="str">
        <x:v>UP-7ed6d043682d</x:v>
      </x:c>
      <x:c r="B114" s="10" t="str">
        <x:v>L2</x:v>
      </x:c>
      <x:c r="C114" s="10" t="str">
        <x:v>挂载与元数据生命周期</x:v>
      </x:c>
      <x:c r="D114" s="10" t="str">
        <x:v>test_sync_dir_stat</x:v>
      </x:c>
      <x:c r="E114" s="10" t="str">
        <x:v>Shell 测试函数</x:v>
      </x:c>
      <x:c r="F114" s="10" t="str">
        <x:v>待执行</x:v>
      </x:c>
      <x:c r="G114" s="10" t="str">
        <x:v>官方 Windows 工作流</x:v>
      </x:c>
      <x:c r="H114" s="10" t="str">
        <x:v>.github/scripts/command-win/fsck.sh:8</x:v>
      </x:c>
      <x:c r="I114" s="10" t="str">
        <x:v>https://github.com/juicedata/juicefs/blob/30190ca1094d26e85f19a979ca51b0ea19af1eaa/.github/scripts/command-win/fsck.sh#L8</x:v>
      </x:c>
      <x:c r="J114" s="10" t="str">
        <x:v>JFS-CLI-09</x:v>
      </x:c>
      <x:c r="K114" s="10" t="str">
        <x:v>见源文件及 CI 条件</x:v>
      </x:c>
      <x:c r="L114" s="10" t="str">
        <x:v>级别为源码目录初分，未执行项目不能计作通过</x:v>
      </x:c>
    </x:row>
    <x:row r="115" ht="42" customHeight="1">
      <x:c r="A115" s="11" t="str">
        <x:v>UP-d1004b083119</x:v>
      </x:c>
      <x:c r="B115" s="11" t="str">
        <x:v>L5</x:v>
      </x:c>
      <x:c r="C115" s="11" t="str">
        <x:v>网关与后端重试</x:v>
      </x:c>
      <x:c r="D115" s="11" t="str">
        <x:v>test_user_management</x:v>
      </x:c>
      <x:c r="E115" s="11" t="str">
        <x:v>Shell 测试函数</x:v>
      </x:c>
      <x:c r="F115" s="11" t="str">
        <x:v>不适用</x:v>
      </x:c>
      <x:c r="G115" s="11" t="str">
        <x:v>官方 Windows 工作流</x:v>
      </x:c>
      <x:c r="H115" s="11" t="str">
        <x:v>.github/scripts/command-win/gateway.sh:44</x:v>
      </x:c>
      <x:c r="I115" s="11" t="str">
        <x:v>https://github.com/juicedata/juicefs/blob/30190ca1094d26e85f19a979ca51b0ea19af1eaa/.github/scripts/command-win/gateway.sh#L44</x:v>
      </x:c>
      <x:c r="J115" s="11" t="str">
        <x:v>JFS-CLI-10</x:v>
      </x:c>
      <x:c r="K115" s="11" t="str">
        <x:v>见源文件及 CI 条件</x:v>
      </x:c>
      <x:c r="L115" s="11" t="str">
        <x:v>级别为源码目录初分，未执行项目不能计作通过</x:v>
      </x:c>
    </x:row>
    <x:row r="116" ht="42" customHeight="1">
      <x:c r="A116" s="10" t="str">
        <x:v>UP-ccc8dacb95d2</x:v>
      </x:c>
      <x:c r="B116" s="10" t="str">
        <x:v>L5</x:v>
      </x:c>
      <x:c r="C116" s="10" t="str">
        <x:v>网关与后端重试</x:v>
      </x:c>
      <x:c r="D116" s="10" t="str">
        <x:v>test_group_management</x:v>
      </x:c>
      <x:c r="E116" s="10" t="str">
        <x:v>Shell 测试函数</x:v>
      </x:c>
      <x:c r="F116" s="10" t="str">
        <x:v>不适用</x:v>
      </x:c>
      <x:c r="G116" s="10" t="str">
        <x:v>官方 Windows 工作流</x:v>
      </x:c>
      <x:c r="H116" s="10" t="str">
        <x:v>.github/scripts/command-win/gateway.sh:85</x:v>
      </x:c>
      <x:c r="I116" s="10" t="str">
        <x:v>https://github.com/juicedata/juicefs/blob/30190ca1094d26e85f19a979ca51b0ea19af1eaa/.github/scripts/command-win/gateway.sh#L85</x:v>
      </x:c>
      <x:c r="J116" s="10" t="str">
        <x:v>JFS-CLI-11</x:v>
      </x:c>
      <x:c r="K116" s="10" t="str">
        <x:v>见源文件及 CI 条件</x:v>
      </x:c>
      <x:c r="L116" s="10" t="str">
        <x:v>级别为源码目录初分，未执行项目不能计作通过</x:v>
      </x:c>
    </x:row>
    <x:row r="117" ht="42" customHeight="1">
      <x:c r="A117" s="11" t="str">
        <x:v>UP-6999045c8b20</x:v>
      </x:c>
      <x:c r="B117" s="11" t="str">
        <x:v>L5</x:v>
      </x:c>
      <x:c r="C117" s="11" t="str">
        <x:v>网关与后端重试</x:v>
      </x:c>
      <x:c r="D117" s="11" t="str">
        <x:v>test_mult_gateways_set_group</x:v>
      </x:c>
      <x:c r="E117" s="11" t="str">
        <x:v>Shell 测试函数</x:v>
      </x:c>
      <x:c r="F117" s="11" t="str">
        <x:v>不适用</x:v>
      </x:c>
      <x:c r="G117" s="11" t="str">
        <x:v>官方 Windows 工作流</x:v>
      </x:c>
      <x:c r="H117" s="11" t="str">
        <x:v>.github/scripts/command-win/gateway.sh:124</x:v>
      </x:c>
      <x:c r="I117" s="11" t="str">
        <x:v>https://github.com/juicedata/juicefs/blob/30190ca1094d26e85f19a979ca51b0ea19af1eaa/.github/scripts/command-win/gateway.sh#L124</x:v>
      </x:c>
      <x:c r="J117" s="11" t="str">
        <x:v>JFS-CLI-12</x:v>
      </x:c>
      <x:c r="K117" s="11" t="str">
        <x:v>见源文件及 CI 条件</x:v>
      </x:c>
      <x:c r="L117" s="11" t="str">
        <x:v>级别为源码目录初分，未执行项目不能计作通过</x:v>
      </x:c>
    </x:row>
    <x:row r="118" ht="42" customHeight="1">
      <x:c r="A118" s="10" t="str">
        <x:v>UP-c07ca83046cb</x:v>
      </x:c>
      <x:c r="B118" s="10" t="str">
        <x:v>L5</x:v>
      </x:c>
      <x:c r="C118" s="10" t="str">
        <x:v>网关与后端重试</x:v>
      </x:c>
      <x:c r="D118" s="10" t="str">
        <x:v>test_user_svcacct_add</x:v>
      </x:c>
      <x:c r="E118" s="10" t="str">
        <x:v>Shell 测试函数</x:v>
      </x:c>
      <x:c r="F118" s="10" t="str">
        <x:v>不适用</x:v>
      </x:c>
      <x:c r="G118" s="10" t="str">
        <x:v>官方 Windows 工作流</x:v>
      </x:c>
      <x:c r="H118" s="10" t="str">
        <x:v>.github/scripts/command-win/gateway.sh:154</x:v>
      </x:c>
      <x:c r="I118" s="10" t="str">
        <x:v>https://github.com/juicedata/juicefs/blob/30190ca1094d26e85f19a979ca51b0ea19af1eaa/.github/scripts/command-win/gateway.sh#L154</x:v>
      </x:c>
      <x:c r="J118" s="10" t="str">
        <x:v>JFS-CLI-13</x:v>
      </x:c>
      <x:c r="K118" s="10" t="str">
        <x:v>见源文件及 CI 条件</x:v>
      </x:c>
      <x:c r="L118" s="10" t="str">
        <x:v>级别为源码目录初分，未执行项目不能计作通过</x:v>
      </x:c>
    </x:row>
    <x:row r="119" ht="42" customHeight="1">
      <x:c r="A119" s="11" t="str">
        <x:v>UP-6d1ca990930a</x:v>
      </x:c>
      <x:c r="B119" s="11" t="str">
        <x:v>L5</x:v>
      </x:c>
      <x:c r="C119" s="11" t="str">
        <x:v>网关与后端重试</x:v>
      </x:c>
      <x:c r="D119" s="11" t="str">
        <x:v>test_user_admin_svcacct_add</x:v>
      </x:c>
      <x:c r="E119" s="11" t="str">
        <x:v>Shell 测试函数</x:v>
      </x:c>
      <x:c r="F119" s="11" t="str">
        <x:v>不适用</x:v>
      </x:c>
      <x:c r="G119" s="11" t="str">
        <x:v>官方 Windows 工作流</x:v>
      </x:c>
      <x:c r="H119" s="11" t="str">
        <x:v>.github/scripts/command-win/gateway.sh:177</x:v>
      </x:c>
      <x:c r="I119" s="11" t="str">
        <x:v>https://github.com/juicedata/juicefs/blob/30190ca1094d26e85f19a979ca51b0ea19af1eaa/.github/scripts/command-win/gateway.sh#L177</x:v>
      </x:c>
      <x:c r="J119" s="11" t="str">
        <x:v>JFS-CLI-14</x:v>
      </x:c>
      <x:c r="K119" s="11" t="str">
        <x:v>见源文件及 CI 条件</x:v>
      </x:c>
      <x:c r="L119" s="11" t="str">
        <x:v>级别为源码目录初分，未执行项目不能计作通过</x:v>
      </x:c>
    </x:row>
    <x:row r="120" ht="42" customHeight="1">
      <x:c r="A120" s="10" t="str">
        <x:v>UP-42a86c37a5f7</x:v>
      </x:c>
      <x:c r="B120" s="10" t="str">
        <x:v>L5</x:v>
      </x:c>
      <x:c r="C120" s="10" t="str">
        <x:v>网关与后端重试</x:v>
      </x:c>
      <x:c r="D120" s="10" t="str">
        <x:v>test_user_sts</x:v>
      </x:c>
      <x:c r="E120" s="10" t="str">
        <x:v>Shell 测试函数</x:v>
      </x:c>
      <x:c r="F120" s="10" t="str">
        <x:v>不适用</x:v>
      </x:c>
      <x:c r="G120" s="10" t="str">
        <x:v>官方 Windows 工作流</x:v>
      </x:c>
      <x:c r="H120" s="10" t="str">
        <x:v>.github/scripts/command-win/gateway.sh:199</x:v>
      </x:c>
      <x:c r="I120" s="10" t="str">
        <x:v>https://github.com/juicedata/juicefs/blob/30190ca1094d26e85f19a979ca51b0ea19af1eaa/.github/scripts/command-win/gateway.sh#L199</x:v>
      </x:c>
      <x:c r="J120" s="10" t="str">
        <x:v>JFS-CLI-15</x:v>
      </x:c>
      <x:c r="K120" s="10" t="str">
        <x:v>见源文件及 CI 条件</x:v>
      </x:c>
      <x:c r="L120" s="10" t="str">
        <x:v>级别为源码目录初分，未执行项目不能计作通过</x:v>
      </x:c>
    </x:row>
    <x:row r="121" ht="42" customHeight="1">
      <x:c r="A121" s="11" t="str">
        <x:v>UP-9ed5525e2a27</x:v>
      </x:c>
      <x:c r="B121" s="11" t="str">
        <x:v>L5</x:v>
      </x:c>
      <x:c r="C121" s="11" t="str">
        <x:v>网关与后端重试</x:v>
      </x:c>
      <x:c r="D121" s="11" t="str">
        <x:v>test_change_credentials</x:v>
      </x:c>
      <x:c r="E121" s="11" t="str">
        <x:v>Shell 测试函数</x:v>
      </x:c>
      <x:c r="F121" s="11" t="str">
        <x:v>不适用</x:v>
      </x:c>
      <x:c r="G121" s="11" t="str">
        <x:v>官方 Windows 工作流</x:v>
      </x:c>
      <x:c r="H121" s="11" t="str">
        <x:v>.github/scripts/command-win/gateway.sh:217</x:v>
      </x:c>
      <x:c r="I121" s="11" t="str">
        <x:v>https://github.com/juicedata/juicefs/blob/30190ca1094d26e85f19a979ca51b0ea19af1eaa/.github/scripts/command-win/gateway.sh#L217</x:v>
      </x:c>
      <x:c r="J121" s="11" t="str">
        <x:v>JFS-CLI-16</x:v>
      </x:c>
      <x:c r="K121" s="11" t="str">
        <x:v>见源文件及 CI 条件</x:v>
      </x:c>
      <x:c r="L121" s="11" t="str">
        <x:v>级别为源码目录初分，未执行项目不能计作通过</x:v>
      </x:c>
    </x:row>
    <x:row r="122" ht="42" customHeight="1">
      <x:c r="A122" s="10" t="str">
        <x:v>UP-fa86f077446c</x:v>
      </x:c>
      <x:c r="B122" s="10" t="str">
        <x:v>L1</x:v>
      </x:c>
      <x:c r="C122" s="10" t="str">
        <x:v>挂载与元数据生命周期</x:v>
      </x:c>
      <x:c r="D122" s="10" t="str">
        <x:v>test_delay_delete_slice_after_compaction</x:v>
      </x:c>
      <x:c r="E122" s="10" t="str">
        <x:v>Shell 测试函数</x:v>
      </x:c>
      <x:c r="F122" s="10" t="str">
        <x:v>待执行</x:v>
      </x:c>
      <x:c r="G122" s="10" t="str">
        <x:v>官方 Windows 工作流</x:v>
      </x:c>
      <x:c r="H122" s="10" t="str">
        <x:v>.github/scripts/command-win/gc.sh:7</x:v>
      </x:c>
      <x:c r="I122" s="10" t="str">
        <x:v>https://github.com/juicedata/juicefs/blob/30190ca1094d26e85f19a979ca51b0ea19af1eaa/.github/scripts/command-win/gc.sh#L7</x:v>
      </x:c>
      <x:c r="J122" s="10" t="str">
        <x:v>JFS-CLI-17</x:v>
      </x:c>
      <x:c r="K122" s="10" t="str">
        <x:v>见源文件及 CI 条件</x:v>
      </x:c>
      <x:c r="L122" s="10" t="str">
        <x:v>级别为源码目录初分，未执行项目不能计作通过</x:v>
      </x:c>
    </x:row>
    <x:row r="123" ht="42" customHeight="1">
      <x:c r="A123" s="11" t="str">
        <x:v>UP-7dc668a7d17e</x:v>
      </x:c>
      <x:c r="B123" s="11" t="str">
        <x:v>L1</x:v>
      </x:c>
      <x:c r="C123" s="11" t="str">
        <x:v>挂载与元数据生命周期</x:v>
      </x:c>
      <x:c r="D123" s="11" t="str">
        <x:v>test_gc_trash_slices</x:v>
      </x:c>
      <x:c r="E123" s="11" t="str">
        <x:v>Shell 测试函数</x:v>
      </x:c>
      <x:c r="F123" s="11" t="str">
        <x:v>待执行</x:v>
      </x:c>
      <x:c r="G123" s="11" t="str">
        <x:v>官方 Windows 工作流</x:v>
      </x:c>
      <x:c r="H123" s="11" t="str">
        <x:v>.github/scripts/command-win/gc.sh:22</x:v>
      </x:c>
      <x:c r="I123" s="11" t="str">
        <x:v>https://github.com/juicedata/juicefs/blob/30190ca1094d26e85f19a979ca51b0ea19af1eaa/.github/scripts/command-win/gc.sh#L22</x:v>
      </x:c>
      <x:c r="J123" s="11" t="str">
        <x:v>JFS-CLI-18</x:v>
      </x:c>
      <x:c r="K123" s="11" t="str">
        <x:v>见源文件及 CI 条件</x:v>
      </x:c>
      <x:c r="L123" s="11" t="str">
        <x:v>级别为源码目录初分，未执行项目不能计作通过</x:v>
      </x:c>
    </x:row>
    <x:row r="124" ht="42" customHeight="1">
      <x:c r="A124" s="10" t="str">
        <x:v>UP-bb4eb86c4eba</x:v>
      </x:c>
      <x:c r="B124" s="10" t="str">
        <x:v>L4</x:v>
      </x:c>
      <x:c r="C124" s="10" t="str">
        <x:v>挂载与元数据生命周期</x:v>
      </x:c>
      <x:c r="D124" s="10" t="str">
        <x:v>test_profile</x:v>
      </x:c>
      <x:c r="E124" s="10" t="str">
        <x:v>Shell 测试函数</x:v>
      </x:c>
      <x:c r="F124" s="10" t="str">
        <x:v>待执行</x:v>
      </x:c>
      <x:c r="G124" s="10" t="str">
        <x:v>官方 Windows 工作流</x:v>
      </x:c>
      <x:c r="H124" s="10" t="str">
        <x:v>.github/scripts/command-win/profile.sh:8</x:v>
      </x:c>
      <x:c r="I124" s="10" t="str">
        <x:v>https://github.com/juicedata/juicefs/blob/30190ca1094d26e85f19a979ca51b0ea19af1eaa/.github/scripts/command-win/profile.sh#L8</x:v>
      </x:c>
      <x:c r="J124" s="10" t="str">
        <x:v>JFS-CLI-19</x:v>
      </x:c>
      <x:c r="K124" s="10" t="str">
        <x:v>见源文件及 CI 条件</x:v>
      </x:c>
      <x:c r="L124" s="10" t="str">
        <x:v>级别为源码目录初分，未执行项目不能计作通过</x:v>
      </x:c>
    </x:row>
    <x:row r="125" ht="42" customHeight="1">
      <x:c r="A125" s="11" t="str">
        <x:v>UP-9e88581bd974</x:v>
      </x:c>
      <x:c r="B125" s="11" t="str">
        <x:v>L2</x:v>
      </x:c>
      <x:c r="C125" s="11" t="str">
        <x:v>崩溃与资源耗尽</x:v>
      </x:c>
      <x:c r="D125" s="11" t="str">
        <x:v>test_total_capacity</x:v>
      </x:c>
      <x:c r="E125" s="11" t="str">
        <x:v>Shell 测试函数</x:v>
      </x:c>
      <x:c r="F125" s="11" t="str">
        <x:v>待执行</x:v>
      </x:c>
      <x:c r="G125" s="11" t="str">
        <x:v>官方 Windows 工作流</x:v>
      </x:c>
      <x:c r="H125" s="11" t="str">
        <x:v>.github/scripts/command-win/quota.sh:11</x:v>
      </x:c>
      <x:c r="I125" s="11" t="str">
        <x:v>https://github.com/juicedata/juicefs/blob/30190ca1094d26e85f19a979ca51b0ea19af1eaa/.github/scripts/command-win/quota.sh#L11</x:v>
      </x:c>
      <x:c r="J125" s="11" t="str">
        <x:v>JFS-CLI-20</x:v>
      </x:c>
      <x:c r="K125" s="11" t="str">
        <x:v>见源文件及 CI 条件</x:v>
      </x:c>
      <x:c r="L125" s="11" t="str">
        <x:v>级别为源码目录初分，未执行项目不能计作通过</x:v>
      </x:c>
    </x:row>
    <x:row r="126" ht="42" customHeight="1">
      <x:c r="A126" s="10" t="str">
        <x:v>UP-57f57fcb1577</x:v>
      </x:c>
      <x:c r="B126" s="10" t="str">
        <x:v>L2</x:v>
      </x:c>
      <x:c r="C126" s="10" t="str">
        <x:v>崩溃与资源耗尽</x:v>
      </x:c>
      <x:c r="D126" s="10" t="str">
        <x:v>test_total_inodes</x:v>
      </x:c>
      <x:c r="E126" s="10" t="str">
        <x:v>Shell 测试函数</x:v>
      </x:c>
      <x:c r="F126" s="10" t="str">
        <x:v>待执行</x:v>
      </x:c>
      <x:c r="G126" s="10" t="str">
        <x:v>官方 Windows 工作流</x:v>
      </x:c>
      <x:c r="H126" s="10" t="str">
        <x:v>.github/scripts/command-win/quota.sh:25</x:v>
      </x:c>
      <x:c r="I126" s="10" t="str">
        <x:v>https://github.com/juicedata/juicefs/blob/30190ca1094d26e85f19a979ca51b0ea19af1eaa/.github/scripts/command-win/quota.sh#L25</x:v>
      </x:c>
      <x:c r="J126" s="10" t="str">
        <x:v>JFS-CLI-21</x:v>
      </x:c>
      <x:c r="K126" s="10" t="str">
        <x:v>见源文件及 CI 条件</x:v>
      </x:c>
      <x:c r="L126" s="10" t="str">
        <x:v>级别为源码目录初分，未执行项目不能计作通过</x:v>
      </x:c>
    </x:row>
    <x:row r="127" ht="42" customHeight="1">
      <x:c r="A127" s="11" t="str">
        <x:v>UP-03872a717084</x:v>
      </x:c>
      <x:c r="B127" s="11" t="str">
        <x:v>L2</x:v>
      </x:c>
      <x:c r="C127" s="11" t="str">
        <x:v>崩溃与资源耗尽</x:v>
      </x:c>
      <x:c r="D127" s="11" t="str">
        <x:v>test_remove_and_restore</x:v>
      </x:c>
      <x:c r="E127" s="11" t="str">
        <x:v>Shell 测试函数</x:v>
      </x:c>
      <x:c r="F127" s="11" t="str">
        <x:v>待执行</x:v>
      </x:c>
      <x:c r="G127" s="11" t="str">
        <x:v>官方 Windows 工作流</x:v>
      </x:c>
      <x:c r="H127" s="11" t="str">
        <x:v>.github/scripts/command-win/quota.sh:48</x:v>
      </x:c>
      <x:c r="I127" s="11" t="str">
        <x:v>https://github.com/juicedata/juicefs/blob/30190ca1094d26e85f19a979ca51b0ea19af1eaa/.github/scripts/command-win/quota.sh#L48</x:v>
      </x:c>
      <x:c r="J127" s="11" t="str">
        <x:v>JFS-CLI-22</x:v>
      </x:c>
      <x:c r="K127" s="11" t="str">
        <x:v>见源文件及 CI 条件</x:v>
      </x:c>
      <x:c r="L127" s="11" t="str">
        <x:v>级别为源码目录初分，未执行项目不能计作通过</x:v>
      </x:c>
    </x:row>
    <x:row r="128" ht="42" customHeight="1">
      <x:c r="A128" s="10" t="str">
        <x:v>UP-91ab652e54d6</x:v>
      </x:c>
      <x:c r="B128" s="10" t="str">
        <x:v>L2</x:v>
      </x:c>
      <x:c r="C128" s="10" t="str">
        <x:v>崩溃与资源耗尽</x:v>
      </x:c>
      <x:c r="D128" s="10" t="str">
        <x:v>test_dir_capacity</x:v>
      </x:c>
      <x:c r="E128" s="10" t="str">
        <x:v>Shell 测试函数</x:v>
      </x:c>
      <x:c r="F128" s="10" t="str">
        <x:v>待执行</x:v>
      </x:c>
      <x:c r="G128" s="10" t="str">
        <x:v>官方 Windows 工作流</x:v>
      </x:c>
      <x:c r="H128" s="10" t="str">
        <x:v>.github/scripts/command-win/quota.sh:77</x:v>
      </x:c>
      <x:c r="I128" s="10" t="str">
        <x:v>https://github.com/juicedata/juicefs/blob/30190ca1094d26e85f19a979ca51b0ea19af1eaa/.github/scripts/command-win/quota.sh#L77</x:v>
      </x:c>
      <x:c r="J128" s="10" t="str">
        <x:v>JFS-CLI-23</x:v>
      </x:c>
      <x:c r="K128" s="10" t="str">
        <x:v>见源文件及 CI 条件</x:v>
      </x:c>
      <x:c r="L128" s="10" t="str">
        <x:v>级别为源码目录初分，未执行项目不能计作通过</x:v>
      </x:c>
    </x:row>
    <x:row r="129" ht="42" customHeight="1">
      <x:c r="A129" s="11" t="str">
        <x:v>UP-bd9ee383fc29</x:v>
      </x:c>
      <x:c r="B129" s="11" t="str">
        <x:v>L2</x:v>
      </x:c>
      <x:c r="C129" s="11" t="str">
        <x:v>崩溃与资源耗尽</x:v>
      </x:c>
      <x:c r="D129" s="11" t="str">
        <x:v>test_dir_inodes</x:v>
      </x:c>
      <x:c r="E129" s="11" t="str">
        <x:v>Shell 测试函数</x:v>
      </x:c>
      <x:c r="F129" s="11" t="str">
        <x:v>待执行</x:v>
      </x:c>
      <x:c r="G129" s="11" t="str">
        <x:v>官方 Windows 工作流</x:v>
      </x:c>
      <x:c r="H129" s="11" t="str">
        <x:v>.github/scripts/command-win/quota.sh:105</x:v>
      </x:c>
      <x:c r="I129" s="11" t="str">
        <x:v>https://github.com/juicedata/juicefs/blob/30190ca1094d26e85f19a979ca51b0ea19af1eaa/.github/scripts/command-win/quota.sh#L105</x:v>
      </x:c>
      <x:c r="J129" s="11" t="str">
        <x:v>JFS-CLI-24</x:v>
      </x:c>
      <x:c r="K129" s="11" t="str">
        <x:v>见源文件及 CI 条件</x:v>
      </x:c>
      <x:c r="L129" s="11" t="str">
        <x:v>级别为源码目录初分，未执行项目不能计作通过</x:v>
      </x:c>
    </x:row>
    <x:row r="130" ht="42" customHeight="1">
      <x:c r="A130" s="10" t="str">
        <x:v>UP-8f9648525810</x:v>
      </x:c>
      <x:c r="B130" s="10" t="str">
        <x:v>L3</x:v>
      </x:c>
      <x:c r="C130" s="10" t="str">
        <x:v>应用与界面兼容</x:v>
      </x:c>
      <x:c r="D130" s="10" t="str">
        <x:v>文件入口</x:v>
      </x:c>
      <x:c r="E130" s="10" t="str">
        <x:v>配置或辅助文件</x:v>
      </x:c>
      <x:c r="F130" s="10" t="str">
        <x:v>辅助文件</x:v>
      </x:c>
      <x:c r="G130" s="10" t="str">
        <x:v>其他平台／集成；根据 workflow 条件选择</x:v>
      </x:c>
      <x:c r="H130" s="10" t="str">
        <x:v>.github/scripts/common/common.sh:1</x:v>
      </x:c>
      <x:c r="I130" s="10" t="str">
        <x:v>https://github.com/juicedata/juicefs/blob/30190ca1094d26e85f19a979ca51b0ea19af1eaa/.github/scripts/common/common.sh#L1</x:v>
      </x:c>
      <x:c r="J130" s="10" t="str">
        <x:v>未提升为 Windows 执行项</x:v>
      </x:c>
      <x:c r="K130" s="10" t="str">
        <x:v>见源文件及 CI 条件</x:v>
      </x:c>
      <x:c r="L130" s="10" t="str">
        <x:v>无可静态枚举的命名测试函数；保留文件范围，不推定已执行；级别为源码目录初分，未执行项目不能计作通过</x:v>
      </x:c>
    </x:row>
    <x:row r="131" ht="42" customHeight="1">
      <x:c r="A131" s="11" t="str">
        <x:v>UP-7c3d5dc85df8</x:v>
      </x:c>
      <x:c r="B131" s="11" t="str">
        <x:v>L2</x:v>
      </x:c>
      <x:c r="C131" s="11" t="str">
        <x:v>应用与界面兼容</x:v>
      </x:c>
      <x:c r="D131" s="11" t="str">
        <x:v>文件入口</x:v>
      </x:c>
      <x:c r="E131" s="11" t="str">
        <x:v>配置或辅助文件</x:v>
      </x:c>
      <x:c r="F131" s="11" t="str">
        <x:v>辅助文件</x:v>
      </x:c>
      <x:c r="G131" s="11" t="str">
        <x:v>其他平台／集成；根据 workflow 条件选择</x:v>
      </x:c>
      <x:c r="H131" s="11" t="str">
        <x:v>.github/scripts/common/common_win.sh:1</x:v>
      </x:c>
      <x:c r="I131" s="11" t="str">
        <x:v>https://github.com/juicedata/juicefs/blob/30190ca1094d26e85f19a979ca51b0ea19af1eaa/.github/scripts/common/common_win.sh#L1</x:v>
      </x:c>
      <x:c r="J131" s="11" t="str">
        <x:v>未提升为 Windows 执行项</x:v>
      </x:c>
      <x:c r="K131" s="11" t="str">
        <x:v>见源文件及 CI 条件</x:v>
      </x:c>
      <x:c r="L131" s="11" t="str">
        <x:v>无可静态枚举的命名测试函数；保留文件范围，不推定已执行；级别为源码目录初分，未执行项目不能计作通过</x:v>
      </x:c>
    </x:row>
    <x:row r="132" ht="42" customHeight="1">
      <x:c r="A132" s="10" t="str">
        <x:v>UP-a74c2d1610da</x:v>
      </x:c>
      <x:c r="B132" s="10" t="str">
        <x:v>L3</x:v>
      </x:c>
      <x:c r="C132" s="10" t="str">
        <x:v>应用与界面兼容</x:v>
      </x:c>
      <x:c r="D132" s="10" t="str">
        <x:v>文件入口</x:v>
      </x:c>
      <x:c r="E132" s="10" t="str">
        <x:v>配置或辅助文件</x:v>
      </x:c>
      <x:c r="F132" s="10" t="str">
        <x:v>辅助文件</x:v>
      </x:c>
      <x:c r="G132" s="10" t="str">
        <x:v>其他平台／集成；根据 workflow 条件选择</x:v>
      </x:c>
      <x:c r="H132" s="10" t="str">
        <x:v>.github/scripts/common/run_test.sh:1</x:v>
      </x:c>
      <x:c r="I132" s="10" t="str">
        <x:v>https://github.com/juicedata/juicefs/blob/30190ca1094d26e85f19a979ca51b0ea19af1eaa/.github/scripts/common/run_test.sh#L1</x:v>
      </x:c>
      <x:c r="J132" s="10" t="str">
        <x:v>未提升为 Windows 执行项</x:v>
      </x:c>
      <x:c r="K132" s="10" t="str">
        <x:v>见源文件及 CI 条件</x:v>
      </x:c>
      <x:c r="L132" s="10" t="str">
        <x:v>无可静态枚举的命名测试函数；保留文件范围，不推定已执行；级别为源码目录初分，未执行项目不能计作通过</x:v>
      </x:c>
    </x:row>
    <x:row r="133" ht="42" customHeight="1">
      <x:c r="A133" s="11" t="str">
        <x:v>UP-cc59ee1a5455</x:v>
      </x:c>
      <x:c r="B133" s="11" t="str">
        <x:v>L3</x:v>
      </x:c>
      <x:c r="C133" s="11" t="str">
        <x:v>应用与界面兼容</x:v>
      </x:c>
      <x:c r="D133" s="11" t="str">
        <x:v>文件入口</x:v>
      </x:c>
      <x:c r="E133" s="11" t="str">
        <x:v>脚本／文件入口</x:v>
      </x:c>
      <x:c r="F133" s="11" t="str">
        <x:v>待执行</x:v>
      </x:c>
      <x:c r="G133" s="11" t="str">
        <x:v>其他平台／集成；根据 workflow 条件选择</x:v>
      </x:c>
      <x:c r="H133" s="11" t="str">
        <x:v>.github/scripts/copyFile.js:1</x:v>
      </x:c>
      <x:c r="I133" s="11" t="str">
        <x:v>https://github.com/juicedata/juicefs/blob/30190ca1094d26e85f19a979ca51b0ea19af1eaa/.github/scripts/copyFile.js#L1</x:v>
      </x:c>
      <x:c r="J133" s="11" t="str">
        <x:v>未提升为 Windows 执行项</x:v>
      </x:c>
      <x:c r="K133" s="11" t="str">
        <x:v>见源文件及 CI 条件</x:v>
      </x:c>
      <x:c r="L133" s="11" t="str">
        <x:v>无可静态枚举的命名测试函数；保留文件范围，不推定已执行；级别为源码目录初分，未执行项目不能计作通过</x:v>
      </x:c>
    </x:row>
    <x:row r="134" ht="42" customHeight="1">
      <x:c r="A134" s="10" t="str">
        <x:v>UP-a37a609c5358</x:v>
      </x:c>
      <x:c r="B134" s="10" t="str">
        <x:v>L3</x:v>
      </x:c>
      <x:c r="C134" s="10" t="str">
        <x:v>应用与界面兼容</x:v>
      </x:c>
      <x:c r="D134" s="10" t="str">
        <x:v>文件入口</x:v>
      </x:c>
      <x:c r="E134" s="10" t="str">
        <x:v>脚本／文件入口</x:v>
      </x:c>
      <x:c r="F134" s="10" t="str">
        <x:v>待执行</x:v>
      </x:c>
      <x:c r="G134" s="10" t="str">
        <x:v>其他平台／集成；根据 workflow 条件选择</x:v>
      </x:c>
      <x:c r="H134" s="10" t="str">
        <x:v>.github/scripts/fio.sh:1</x:v>
      </x:c>
      <x:c r="I134" s="10" t="str">
        <x:v>https://github.com/juicedata/juicefs/blob/30190ca1094d26e85f19a979ca51b0ea19af1eaa/.github/scripts/fio.sh#L1</x:v>
      </x:c>
      <x:c r="J134" s="10" t="str">
        <x:v>未提升为 Windows 执行项</x:v>
      </x:c>
      <x:c r="K134" s="10" t="str">
        <x:v>见源文件及 CI 条件</x:v>
      </x:c>
      <x:c r="L134" s="10" t="str">
        <x:v>无可静态枚举的命名测试函数；保留文件范围，不推定已执行；级别为源码目录初分，未执行项目不能计作通过</x:v>
      </x:c>
    </x:row>
    <x:row r="135" ht="42" customHeight="1">
      <x:c r="A135" s="11" t="str">
        <x:v>UP-03c935bacbd0</x:v>
      </x:c>
      <x:c r="B135" s="11" t="str">
        <x:v>L1</x:v>
      </x:c>
      <x:c r="C135" s="11" t="str">
        <x:v>刷新与一致性</x:v>
      </x:c>
      <x:c r="D135" s="11" t="str">
        <x:v>文件入口</x:v>
      </x:c>
      <x:c r="E135" s="11" t="str">
        <x:v>脚本／文件入口</x:v>
      </x:c>
      <x:c r="F135" s="11" t="str">
        <x:v>待执行</x:v>
      </x:c>
      <x:c r="G135" s="11" t="str">
        <x:v>其他平台／集成；根据 workflow 条件选择</x:v>
      </x:c>
      <x:c r="H135" s="11" t="str">
        <x:v>.github/scripts/flush_meta.py:1</x:v>
      </x:c>
      <x:c r="I135" s="11" t="str">
        <x:v>https://github.com/juicedata/juicefs/blob/30190ca1094d26e85f19a979ca51b0ea19af1eaa/.github/scripts/flush_meta.py#L1</x:v>
      </x:c>
      <x:c r="J135" s="11" t="str">
        <x:v>未提升为 Windows 执行项</x:v>
      </x:c>
      <x:c r="K135" s="11" t="str">
        <x:v>见源文件及 CI 条件</x:v>
      </x:c>
      <x:c r="L135" s="11" t="str">
        <x:v>无可静态枚举的命名测试函数；保留文件范围，不推定已执行；级别为源码目录初分，未执行项目不能计作通过</x:v>
      </x:c>
    </x:row>
    <x:row r="136" ht="42" customHeight="1">
      <x:c r="A136" s="10" t="str">
        <x:v>UP-d57c7c80924d</x:v>
      </x:c>
      <x:c r="B136" s="10" t="str">
        <x:v>L3</x:v>
      </x:c>
      <x:c r="C136" s="10" t="str">
        <x:v>应用与界面兼容</x:v>
      </x:c>
      <x:c r="D136" s="10" t="str">
        <x:v>文件入口</x:v>
      </x:c>
      <x:c r="E136" s="10" t="str">
        <x:v>脚本／文件入口</x:v>
      </x:c>
      <x:c r="F136" s="10" t="str">
        <x:v>待执行</x:v>
      </x:c>
      <x:c r="G136" s="10" t="str">
        <x:v>其他平台／集成；根据 workflow 条件选择</x:v>
      </x:c>
      <x:c r="H136" s="10" t="str">
        <x:v>.github/scripts/fsrand.py:1</x:v>
      </x:c>
      <x:c r="I136" s="10" t="str">
        <x:v>https://github.com/juicedata/juicefs/blob/30190ca1094d26e85f19a979ca51b0ea19af1eaa/.github/scripts/fsrand.py#L1</x:v>
      </x:c>
      <x:c r="J136" s="10" t="str">
        <x:v>未提升为 Windows 执行项</x:v>
      </x:c>
      <x:c r="K136" s="10" t="str">
        <x:v>见源文件及 CI 条件</x:v>
      </x:c>
      <x:c r="L136" s="10" t="str">
        <x:v>无可静态枚举的命名测试函数；保留文件范围，不推定已执行；级别为源码目录初分，未执行项目不能计作通过</x:v>
      </x:c>
    </x:row>
    <x:row r="137" ht="58" customHeight="1">
      <x:c r="A137" s="11" t="str">
        <x:v>UP-6568e176dad9</x:v>
      </x:c>
      <x:c r="B137" s="11" t="str">
        <x:v>L2</x:v>
      </x:c>
      <x:c r="C137" s="11" t="str">
        <x:v>应用与界面兼容</x:v>
      </x:c>
      <x:c r="D137" s="11" t="str">
        <x:v>JuicefsCommandMachine.info</x:v>
      </x:c>
      <x:c r="E137" s="11" t="str">
        <x:v>Python 状态机规则</x:v>
      </x:c>
      <x:c r="F137" s="11" t="str">
        <x:v>待执行</x:v>
      </x:c>
      <x:c r="G137" s="11" t="str">
        <x:v>其他平台／集成；根据 workflow 条件选择</x:v>
      </x:c>
      <x:c r="H137" s="11" t="str">
        <x:v>.github/scripts/hypo/command.py:101</x:v>
      </x:c>
      <x:c r="I137" s="11" t="str">
        <x:v>https://github.com/juicedata/juicefs/blob/30190ca1094d26e85f19a979ca51b0ea19af1eaa/.github/scripts/hypo/command.py#L101</x:v>
      </x:c>
      <x:c r="J137" s="11" t="str">
        <x:v>未提升为 Windows 执行项</x:v>
      </x:c>
      <x:c r="K137" s="11" t="str">
        <x:v>rule(entry=Entries.filter(lambda x: x != multiple()), raw=st.just(True), recuisive=st.booleans(), strict=st.just(True), user=st_sudo_user); precondition(lambda self: self.should_run('info'))</x:v>
      </x:c>
      <x:c r="L137" s="11" t="str">
        <x:v>状态机运行序列按运行参数生成，未在此展开；级别为源码目录初分，未执行项目不能计作通过</x:v>
      </x:c>
    </x:row>
    <x:row r="138" ht="42" customHeight="1">
      <x:c r="A138" s="10" t="str">
        <x:v>UP-22ebaf101e3f</x:v>
      </x:c>
      <x:c r="B138" s="10" t="str">
        <x:v>L2</x:v>
      </x:c>
      <x:c r="C138" s="10" t="str">
        <x:v>应用与界面兼容</x:v>
      </x:c>
      <x:c r="D138" s="10" t="str">
        <x:v>JuicefsCommandMachine.rmr</x:v>
      </x:c>
      <x:c r="E138" s="10" t="str">
        <x:v>Python 状态机规则</x:v>
      </x:c>
      <x:c r="F138" s="10" t="str">
        <x:v>待执行</x:v>
      </x:c>
      <x:c r="G138" s="10" t="str">
        <x:v>其他平台／集成；根据 workflow 条件选择</x:v>
      </x:c>
      <x:c r="H138" s="10" t="str">
        <x:v>.github/scripts/hypo/command.py:110</x:v>
      </x:c>
      <x:c r="I138" s="10" t="str">
        <x:v>https://github.com/juicedata/juicefs/blob/30190ca1094d26e85f19a979ca51b0ea19af1eaa/.github/scripts/hypo/command.py#L110</x:v>
      </x:c>
      <x:c r="J138" s="10" t="str">
        <x:v>未提升为 Windows 执行项</x:v>
      </x:c>
      <x:c r="K138" s="10" t="str">
        <x:v>rule(entry=Entries.filter(lambda x: x != multiple()), user=st_sudo_user); precondition(lambda self: self.should_run('rmr'))</x:v>
      </x:c>
      <x:c r="L138" s="10" t="str">
        <x:v>状态机运行序列按运行参数生成，未在此展开；级别为源码目录初分，未执行项目不能计作通过</x:v>
      </x:c>
    </x:row>
    <x:row r="139" ht="42" customHeight="1">
      <x:c r="A139" s="11" t="str">
        <x:v>UP-20d518c8c545</x:v>
      </x:c>
      <x:c r="B139" s="11" t="str">
        <x:v>L2</x:v>
      </x:c>
      <x:c r="C139" s="11" t="str">
        <x:v>应用与界面兼容</x:v>
      </x:c>
      <x:c r="D139" s="11" t="str">
        <x:v>JuicefsCommandMachine.status</x:v>
      </x:c>
      <x:c r="E139" s="11" t="str">
        <x:v>Python 状态机规则</x:v>
      </x:c>
      <x:c r="F139" s="11" t="str">
        <x:v>待执行</x:v>
      </x:c>
      <x:c r="G139" s="11" t="str">
        <x:v>其他平台／集成；根据 workflow 条件选择</x:v>
      </x:c>
      <x:c r="H139" s="11" t="str">
        <x:v>.github/scripts/hypo/command.py:118</x:v>
      </x:c>
      <x:c r="I139" s="11" t="str">
        <x:v>https://github.com/juicedata/juicefs/blob/30190ca1094d26e85f19a979ca51b0ea19af1eaa/.github/scripts/hypo/command.py#L118</x:v>
      </x:c>
      <x:c r="J139" s="11" t="str">
        <x:v>未提升为 Windows 执行项</x:v>
      </x:c>
      <x:c r="K139" s="11" t="str">
        <x:v>rule(); precondition(lambda self: self.should_run('status'))</x:v>
      </x:c>
      <x:c r="L139" s="11" t="str">
        <x:v>状态机运行序列按运行参数生成，未在此展开；级别为源码目录初分，未执行项目不能计作通过</x:v>
      </x:c>
    </x:row>
    <x:row r="140" ht="42" customHeight="1">
      <x:c r="A140" s="10" t="str">
        <x:v>UP-7197432aaeeb</x:v>
      </x:c>
      <x:c r="B140" s="10" t="str">
        <x:v>L2</x:v>
      </x:c>
      <x:c r="C140" s="10" t="str">
        <x:v>缓存与后台上传</x:v>
      </x:c>
      <x:c r="D140" s="10" t="str">
        <x:v>JuicefsCommandMachine.warmup</x:v>
      </x:c>
      <x:c r="E140" s="10" t="str">
        <x:v>Python 状态机规则</x:v>
      </x:c>
      <x:c r="F140" s="10" t="str">
        <x:v>待执行</x:v>
      </x:c>
      <x:c r="G140" s="10" t="str">
        <x:v>其他平台／集成；根据 workflow 条件选择</x:v>
      </x:c>
      <x:c r="H140" s="10" t="str">
        <x:v>.github/scripts/hypo/command.py:127</x:v>
      </x:c>
      <x:c r="I140" s="10" t="str">
        <x:v>https://github.com/juicedata/juicefs/blob/30190ca1094d26e85f19a979ca51b0ea19af1eaa/.github/scripts/hypo/command.py#L127</x:v>
      </x:c>
      <x:c r="J140" s="10" t="str">
        <x:v>未提升为 Windows 执行项</x:v>
      </x:c>
      <x:c r="K140" s="10" t="str">
        <x:v>rule(entry=Entries.filter(lambda x: x != multiple()), user=st_sudo_user); precondition(lambda self: self.should_run('warmup'))</x:v>
      </x:c>
      <x:c r="L140" s="10" t="str">
        <x:v>状态机运行序列按运行参数生成，未在此展开；级别为源码目录初分，未执行项目不能计作通过</x:v>
      </x:c>
    </x:row>
    <x:row r="141" ht="42" customHeight="1">
      <x:c r="A141" s="11" t="str">
        <x:v>UP-8b0c2419a786</x:v>
      </x:c>
      <x:c r="B141" s="11" t="str">
        <x:v>L1</x:v>
      </x:c>
      <x:c r="C141" s="11" t="str">
        <x:v>挂载与元数据生命周期</x:v>
      </x:c>
      <x:c r="D141" s="11" t="str">
        <x:v>JuicefsCommandMachine.gc</x:v>
      </x:c>
      <x:c r="E141" s="11" t="str">
        <x:v>Python 状态机规则</x:v>
      </x:c>
      <x:c r="F141" s="11" t="str">
        <x:v>待执行</x:v>
      </x:c>
      <x:c r="G141" s="11" t="str">
        <x:v>其他平台／集成；根据 workflow 条件选择</x:v>
      </x:c>
      <x:c r="H141" s="11" t="str">
        <x:v>.github/scripts/hypo/command.py:138</x:v>
      </x:c>
      <x:c r="I141" s="11" t="str">
        <x:v>https://github.com/juicedata/juicefs/blob/30190ca1094d26e85f19a979ca51b0ea19af1eaa/.github/scripts/hypo/command.py#L138</x:v>
      </x:c>
      <x:c r="J141" s="11" t="str">
        <x:v>未提升为 Windows 执行项</x:v>
      </x:c>
      <x:c r="K141" s="11" t="str">
        <x:v>rule(compact=st.booleans(), delete=st.booleans(), user=st.just('root')); precondition(lambda self: self.should_run('gc'))</x:v>
      </x:c>
      <x:c r="L141" s="11" t="str">
        <x:v>状态机运行序列按运行参数生成，未在此展开；级别为源码目录初分，未执行项目不能计作通过</x:v>
      </x:c>
    </x:row>
    <x:row r="142" ht="58" customHeight="1">
      <x:c r="A142" s="10" t="str">
        <x:v>UP-0f0887605920</x:v>
      </x:c>
      <x:c r="B142" s="10" t="str">
        <x:v>L1</x:v>
      </x:c>
      <x:c r="C142" s="10" t="str">
        <x:v>挂载与元数据生命周期</x:v>
      </x:c>
      <x:c r="D142" s="10" t="str">
        <x:v>JuicefsCommandMachine.fsck</x:v>
      </x:c>
      <x:c r="E142" s="10" t="str">
        <x:v>Python 状态机规则</x:v>
      </x:c>
      <x:c r="F142" s="10" t="str">
        <x:v>待执行</x:v>
      </x:c>
      <x:c r="G142" s="10" t="str">
        <x:v>其他平台／集成；根据 workflow 条件选择</x:v>
      </x:c>
      <x:c r="H142" s="10" t="str">
        <x:v>.github/scripts/hypo/command.py:150</x:v>
      </x:c>
      <x:c r="I142" s="10" t="str">
        <x:v>https://github.com/juicedata/juicefs/blob/30190ca1094d26e85f19a979ca51b0ea19af1eaa/.github/scripts/hypo/command.py#L150</x:v>
      </x:c>
      <x:c r="J142" s="10" t="str">
        <x:v>未提升为 Windows 执行项</x:v>
      </x:c>
      <x:c r="K142" s="10" t="str">
        <x:v>rule(entry=Entries.filter(lambda x: x != multiple()), repair=st.booleans(), recuisive=st.booleans(), user=st_sudo_user); precondition(lambda self: self.should_run('fsck'))</x:v>
      </x:c>
      <x:c r="L142" s="10" t="str">
        <x:v>状态机运行序列按运行参数生成，未在此展开；级别为源码目录初分，未执行项目不能计作通过</x:v>
      </x:c>
    </x:row>
    <x:row r="143" ht="58" customHeight="1">
      <x:c r="A143" s="11" t="str">
        <x:v>UP-4c13ca204481</x:v>
      </x:c>
      <x:c r="B143" s="11" t="str">
        <x:v>L2</x:v>
      </x:c>
      <x:c r="C143" s="11" t="str">
        <x:v>应用与界面兼容</x:v>
      </x:c>
      <x:c r="D143" s="11" t="str">
        <x:v>JuicefsCommandMachine.clone</x:v>
      </x:c>
      <x:c r="E143" s="11" t="str">
        <x:v>Python 状态机规则</x:v>
      </x:c>
      <x:c r="F143" s="11" t="str">
        <x:v>待执行</x:v>
      </x:c>
      <x:c r="G143" s="11" t="str">
        <x:v>其他平台／集成；根据 workflow 条件选择</x:v>
      </x:c>
      <x:c r="H143" s="11" t="str">
        <x:v>.github/scripts/hypo/command.py:163</x:v>
      </x:c>
      <x:c r="I143" s="11" t="str">
        <x:v>https://github.com/juicedata/juicefs/blob/30190ca1094d26e85f19a979ca51b0ea19af1eaa/.github/scripts/hypo/command.py#L163</x:v>
      </x:c>
      <x:c r="J143" s="11" t="str">
        <x:v>未提升为 Windows 执行项</x:v>
      </x:c>
      <x:c r="K143" s="11" t="str">
        <x:v>rule(entry=Entries.filter(lambda x: x != multiple()), parent=Folders.filter(lambda x: x != multiple()), new_entry_name=st_file_name, user=st_sudo_user, preserve=st.booleans()); precondition(lambda self: self.should_run('clone'))</x:v>
      </x:c>
      <x:c r="L143" s="11" t="str">
        <x:v>状态机运行序列按运行参数生成，未在此展开；级别为源码目录初分，未执行项目不能计作通过</x:v>
      </x:c>
    </x:row>
    <x:row r="144" ht="74" customHeight="1">
      <x:c r="A144" s="10" t="str">
        <x:v>UP-fb3efc24c13d</x:v>
      </x:c>
      <x:c r="B144" s="10" t="str">
        <x:v>L1</x:v>
      </x:c>
      <x:c r="C144" s="10" t="str">
        <x:v>挂载与元数据生命周期</x:v>
      </x:c>
      <x:c r="D144" s="10" t="str">
        <x:v>JuicefsCommandMachine.dump</x:v>
      </x:c>
      <x:c r="E144" s="10" t="str">
        <x:v>Python 状态机规则</x:v>
      </x:c>
      <x:c r="F144" s="10" t="str">
        <x:v>待执行</x:v>
      </x:c>
      <x:c r="G144" s="10" t="str">
        <x:v>其他平台／集成；根据 workflow 条件选择</x:v>
      </x:c>
      <x:c r="H144" s="10" t="str">
        <x:v>.github/scripts/hypo/command.py:176</x:v>
      </x:c>
      <x:c r="I144" s="10" t="str">
        <x:v>https://github.com/juicedata/juicefs/blob/30190ca1094d26e85f19a979ca51b0ea19af1eaa/.github/scripts/hypo/command.py#L176</x:v>
      </x:c>
      <x:c r="J144" s="10" t="str">
        <x:v>未提升为 Windows 执行项</x:v>
      </x:c>
      <x:c r="K144" s="10" t="str">
        <x:v>rule(folder=Folders.filter(lambda x: x != multiple()), fast=st.booleans(), skip_trash=st.booleans(), threads=st.integers(min_value=1, max_value=10), keep_secret_key=st.booleans(), user=st.just('root')); precondition(lambda self: self.should_run('dump'))</x:v>
      </x:c>
      <x:c r="L144" s="10" t="str">
        <x:v>状态机运行序列按运行参数生成，未在此展开；级别为源码目录初分，未执行项目不能计作通过</x:v>
      </x:c>
    </x:row>
    <x:row r="145" ht="58" customHeight="1">
      <x:c r="A145" s="11" t="str">
        <x:v>UP-0cee825213eb</x:v>
      </x:c>
      <x:c r="B145" s="11" t="str">
        <x:v>L1</x:v>
      </x:c>
      <x:c r="C145" s="11" t="str">
        <x:v>挂载与元数据生命周期</x:v>
      </x:c>
      <x:c r="D145" s="11" t="str">
        <x:v>JuicefsCommandMachine.dump_load_dump</x:v>
      </x:c>
      <x:c r="E145" s="11" t="str">
        <x:v>Python 状态机规则</x:v>
      </x:c>
      <x:c r="F145" s="11" t="str">
        <x:v>待执行</x:v>
      </x:c>
      <x:c r="G145" s="11" t="str">
        <x:v>其他平台／集成；根据 workflow 条件选择</x:v>
      </x:c>
      <x:c r="H145" s="11" t="str">
        <x:v>.github/scripts/hypo/command.py:192</x:v>
      </x:c>
      <x:c r="I145" s="11" t="str">
        <x:v>https://github.com/juicedata/juicefs/blob/30190ca1094d26e85f19a979ca51b0ea19af1eaa/.github/scripts/hypo/command.py#L192</x:v>
      </x:c>
      <x:c r="J145" s="11" t="str">
        <x:v>未提升为 Windows 执行项</x:v>
      </x:c>
      <x:c r="K145" s="11" t="str">
        <x:v>rule(folder=st.just(''), fast=st.booleans(), skip_trash=st.booleans(), threads=st.integers(min_value=1, max_value=10), keep_secret_key=st.booleans(), user=st.just('root')); precondition(lambda self: self.should_run('dump_load_dump'))</x:v>
      </x:c>
      <x:c r="L145" s="11" t="str">
        <x:v>状态机运行序列按运行参数生成，未在此展开；级别为源码目录初分，未执行项目不能计作通过</x:v>
      </x:c>
    </x:row>
    <x:row r="146" ht="42" customHeight="1">
      <x:c r="A146" s="10" t="str">
        <x:v>UP-62adade27abe</x:v>
      </x:c>
      <x:c r="B146" s="10" t="str">
        <x:v>L2</x:v>
      </x:c>
      <x:c r="C146" s="10" t="str">
        <x:v>应用与界面兼容</x:v>
      </x:c>
      <x:c r="D146" s="10" t="str">
        <x:v>JuicefsCommandMachine.trash_list</x:v>
      </x:c>
      <x:c r="E146" s="10" t="str">
        <x:v>Python 状态机规则</x:v>
      </x:c>
      <x:c r="F146" s="10" t="str">
        <x:v>待执行</x:v>
      </x:c>
      <x:c r="G146" s="10" t="str">
        <x:v>其他平台／集成；根据 workflow 条件选择</x:v>
      </x:c>
      <x:c r="H146" s="10" t="str">
        <x:v>.github/scripts/hypo/command.py:209</x:v>
      </x:c>
      <x:c r="I146" s="10" t="str">
        <x:v>https://github.com/juicedata/juicefs/blob/30190ca1094d26e85f19a979ca51b0ea19af1eaa/.github/scripts/hypo/command.py#L209</x:v>
      </x:c>
      <x:c r="J146" s="10" t="str">
        <x:v>未提升为 Windows 执行项</x:v>
      </x:c>
      <x:c r="K146" s="10" t="str">
        <x:v>rule(user=st_sudo_user); precondition(lambda self: self.should_run('trash_list') and False)</x:v>
      </x:c>
      <x:c r="L146" s="10" t="str">
        <x:v>状态机运行序列按运行参数生成，未在此展开；级别为源码目录初分，未执行项目不能计作通过</x:v>
      </x:c>
    </x:row>
    <x:row r="147" ht="42" customHeight="1">
      <x:c r="A147" s="11" t="str">
        <x:v>UP-aaa2580de3a8</x:v>
      </x:c>
      <x:c r="B147" s="11" t="str">
        <x:v>L2</x:v>
      </x:c>
      <x:c r="C147" s="11" t="str">
        <x:v>应用与界面兼容</x:v>
      </x:c>
      <x:c r="D147" s="11" t="str">
        <x:v>JuicefsCommandMachine.restore</x:v>
      </x:c>
      <x:c r="E147" s="11" t="str">
        <x:v>Python 状态机规则</x:v>
      </x:c>
      <x:c r="F147" s="11" t="str">
        <x:v>待执行</x:v>
      </x:c>
      <x:c r="G147" s="11" t="str">
        <x:v>其他平台／集成；根据 workflow 条件选择</x:v>
      </x:c>
      <x:c r="H147" s="11" t="str">
        <x:v>.github/scripts/hypo/command.py:220</x:v>
      </x:c>
      <x:c r="I147" s="11" t="str">
        <x:v>https://github.com/juicedata/juicefs/blob/30190ca1094d26e85f19a979ca51b0ea19af1eaa/.github/scripts/hypo/command.py#L220</x:v>
      </x:c>
      <x:c r="J147" s="11" t="str">
        <x:v>未提升为 Windows 执行项</x:v>
      </x:c>
      <x:c r="K147" s="11" t="str">
        <x:v>rule(put_back=st.booleans(), threads=st.integers(min_value=1, max_value=10), user=st_sudo_user); precondition(lambda self: self.should_run('restore') and False)</x:v>
      </x:c>
      <x:c r="L147" s="11" t="str">
        <x:v>状态机运行序列按运行参数生成，未在此展开；级别为源码目录初分，未执行项目不能计作通过</x:v>
      </x:c>
    </x:row>
    <x:row r="148" ht="58" customHeight="1">
      <x:c r="A148" s="10" t="str">
        <x:v>UP-9d99a4803966</x:v>
      </x:c>
      <x:c r="B148" s="10" t="str">
        <x:v>L2</x:v>
      </x:c>
      <x:c r="C148" s="10" t="str">
        <x:v>应用与界面兼容</x:v>
      </x:c>
      <x:c r="D148" s="10" t="str">
        <x:v>JuicefsCommandMachine.compact</x:v>
      </x:c>
      <x:c r="E148" s="10" t="str">
        <x:v>Python 状态机规则</x:v>
      </x:c>
      <x:c r="F148" s="10" t="str">
        <x:v>待执行</x:v>
      </x:c>
      <x:c r="G148" s="10" t="str">
        <x:v>其他平台／集成；根据 workflow 条件选择</x:v>
      </x:c>
      <x:c r="H148" s="10" t="str">
        <x:v>.github/scripts/hypo/command.py:231</x:v>
      </x:c>
      <x:c r="I148" s="10" t="str">
        <x:v>https://github.com/juicedata/juicefs/blob/30190ca1094d26e85f19a979ca51b0ea19af1eaa/.github/scripts/hypo/command.py#L231</x:v>
      </x:c>
      <x:c r="J148" s="10" t="str">
        <x:v>未提升为 Windows 执行项</x:v>
      </x:c>
      <x:c r="K148" s="10" t="str">
        <x:v>rule(entry=Entries.filter(lambda x: x != multiple()), threads=st.integers(min_value=1, max_value=10), user=st_sudo_user); precondition(lambda self: self.should_run('compact'))</x:v>
      </x:c>
      <x:c r="L148" s="10" t="str">
        <x:v>状态机运行序列按运行参数生成，未在此展开；级别为源码目录初分，未执行项目不能计作通过</x:v>
      </x:c>
    </x:row>
    <x:row r="149" ht="90" customHeight="1">
      <x:c r="A149" s="11" t="str">
        <x:v>UP-e80bb69715b5</x:v>
      </x:c>
      <x:c r="B149" s="11" t="str">
        <x:v>L2</x:v>
      </x:c>
      <x:c r="C149" s="11" t="str">
        <x:v>应用与界面兼容</x:v>
      </x:c>
      <x:c r="D149" s="11" t="str">
        <x:v>JuicefsCommandMachine.config</x:v>
      </x:c>
      <x:c r="E149" s="11" t="str">
        <x:v>Python 状态机规则</x:v>
      </x:c>
      <x:c r="F149" s="11" t="str">
        <x:v>待执行</x:v>
      </x:c>
      <x:c r="G149" s="11" t="str">
        <x:v>其他平台／集成；根据 workflow 条件选择</x:v>
      </x:c>
      <x:c r="H149" s="11" t="str">
        <x:v>.github/scripts/hypo/command.py:247</x:v>
      </x:c>
      <x:c r="I149" s="11" t="str">
        <x:v>https://github.com/juicedata/juicefs/blob/30190ca1094d26e85f19a979ca51b0ea19af1eaa/.github/scripts/hypo/command.py#L247</x:v>
      </x:c>
      <x:c r="J149" s="11" t="str">
        <x:v>未提升为 Windows 执行项</x:v>
      </x:c>
      <x:c r="K149" s="11" t="str">
        <x:v>rule(capacity=st.integers(min_value=1, max_value=2), inodes=st.one_of(st.just(0), st.integers(min_value=50, max_value=100)), trash_days=st.integers(min_value=0, max_value=1), enable_acl=st.booleans(), encrypt_secret=st.booleans(), force=st.booleans(), yes=st.just(True), user=st_sudo_user); precondition(lambda self: self.should_run('config'))</x:v>
      </x:c>
      <x:c r="L149" s="11" t="str">
        <x:v>状态机运行序列按运行参数生成，未在此展开；级别为源码目录初分，未执行项目不能计作通过</x:v>
      </x:c>
    </x:row>
    <x:row r="150" ht="42" customHeight="1">
      <x:c r="A150" s="10" t="str">
        <x:v>UP-d54069ebf5c5</x:v>
      </x:c>
      <x:c r="B150" s="10" t="str">
        <x:v>L2</x:v>
      </x:c>
      <x:c r="C150" s="10" t="str">
        <x:v>应用与界面兼容</x:v>
      </x:c>
      <x:c r="D150" s="10" t="str">
        <x:v>文件入口</x:v>
      </x:c>
      <x:c r="E150" s="10" t="str">
        <x:v>脚本／文件入口</x:v>
      </x:c>
      <x:c r="F150" s="10" t="str">
        <x:v>待执行</x:v>
      </x:c>
      <x:c r="G150" s="10" t="str">
        <x:v>其他平台／集成；根据 workflow 条件选择</x:v>
      </x:c>
      <x:c r="H150" s="10" t="str">
        <x:v>.github/scripts/hypo/command_op.py:1</x:v>
      </x:c>
      <x:c r="I150" s="10" t="str">
        <x:v>https://github.com/juicedata/juicefs/blob/30190ca1094d26e85f19a979ca51b0ea19af1eaa/.github/scripts/hypo/command_op.py#L1</x:v>
      </x:c>
      <x:c r="J150" s="10" t="str">
        <x:v>未提升为 Windows 执行项</x:v>
      </x:c>
      <x:c r="K150" s="10" t="str">
        <x:v>见源文件及 CI 条件</x:v>
      </x:c>
      <x:c r="L150" s="10" t="str">
        <x:v>无可静态枚举的命名测试函数；保留文件范围，不推定已执行；级别为源码目录初分，未执行项目不能计作通过</x:v>
      </x:c>
    </x:row>
    <x:row r="151" ht="42" customHeight="1">
      <x:c r="A151" s="11" t="str">
        <x:v>UP-31a5a00636b5</x:v>
      </x:c>
      <x:c r="B151" s="11" t="str">
        <x:v>L1</x:v>
      </x:c>
      <x:c r="C151" s="11" t="str">
        <x:v>挂载与元数据生命周期</x:v>
      </x:c>
      <x:c r="D151" s="11" t="str">
        <x:v>TestCommand.test_dump</x:v>
      </x:c>
      <x:c r="E151" s="11" t="str">
        <x:v>Python 测试</x:v>
      </x:c>
      <x:c r="F151" s="11" t="str">
        <x:v>待执行</x:v>
      </x:c>
      <x:c r="G151" s="11" t="str">
        <x:v>其他平台／集成；根据 workflow 条件选择</x:v>
      </x:c>
      <x:c r="H151" s="11" t="str">
        <x:v>.github/scripts/hypo/command_test.py:5</x:v>
      </x:c>
      <x:c r="I151" s="11" t="str">
        <x:v>https://github.com/juicedata/juicefs/blob/30190ca1094d26e85f19a979ca51b0ea19af1eaa/.github/scripts/hypo/command_test.py#L5</x:v>
      </x:c>
      <x:c r="J151" s="11" t="str">
        <x:v>未提升为 Windows 执行项</x:v>
      </x:c>
      <x:c r="K151" s="11" t="str">
        <x:v>见源文件及 CI 条件</x:v>
      </x:c>
      <x:c r="L151" s="11" t="str">
        <x:v>状态机运行序列按运行参数生成，未在此展开；级别为源码目录初分，未执行项目不能计作通过</x:v>
      </x:c>
    </x:row>
    <x:row r="152" ht="42" customHeight="1">
      <x:c r="A152" s="10" t="str">
        <x:v>UP-68713099551e</x:v>
      </x:c>
      <x:c r="B152" s="10" t="str">
        <x:v>L2</x:v>
      </x:c>
      <x:c r="C152" s="10" t="str">
        <x:v>应用与界面兼容</x:v>
      </x:c>
      <x:c r="D152" s="10" t="str">
        <x:v>TestCommand.test_clone</x:v>
      </x:c>
      <x:c r="E152" s="10" t="str">
        <x:v>Python 测试</x:v>
      </x:c>
      <x:c r="F152" s="10" t="str">
        <x:v>待执行</x:v>
      </x:c>
      <x:c r="G152" s="10" t="str">
        <x:v>其他平台／集成；根据 workflow 条件选择</x:v>
      </x:c>
      <x:c r="H152" s="10" t="str">
        <x:v>.github/scripts/hypo/command_test.py:24</x:v>
      </x:c>
      <x:c r="I152" s="10" t="str">
        <x:v>https://github.com/juicedata/juicefs/blob/30190ca1094d26e85f19a979ca51b0ea19af1eaa/.github/scripts/hypo/command_test.py#L24</x:v>
      </x:c>
      <x:c r="J152" s="10" t="str">
        <x:v>未提升为 Windows 执行项</x:v>
      </x:c>
      <x:c r="K152" s="10" t="str">
        <x:v>见源文件及 CI 条件</x:v>
      </x:c>
      <x:c r="L152" s="10" t="str">
        <x:v>状态机运行序列按运行参数生成，未在此展开；级别为源码目录初分，未执行项目不能计作通过</x:v>
      </x:c>
    </x:row>
    <x:row r="153" ht="42" customHeight="1">
      <x:c r="A153" s="11" t="str">
        <x:v>UP-c2fb3a3804db</x:v>
      </x:c>
      <x:c r="B153" s="11" t="str">
        <x:v>L2</x:v>
      </x:c>
      <x:c r="C153" s="11" t="str">
        <x:v>应用与界面兼容</x:v>
      </x:c>
      <x:c r="D153" s="11" t="str">
        <x:v>TestCommand.test_config</x:v>
      </x:c>
      <x:c r="E153" s="11" t="str">
        <x:v>Python 测试</x:v>
      </x:c>
      <x:c r="F153" s="11" t="str">
        <x:v>待执行</x:v>
      </x:c>
      <x:c r="G153" s="11" t="str">
        <x:v>其他平台／集成；根据 workflow 条件选择</x:v>
      </x:c>
      <x:c r="H153" s="11" t="str">
        <x:v>.github/scripts/hypo/command_test.py:32</x:v>
      </x:c>
      <x:c r="I153" s="11" t="str">
        <x:v>https://github.com/juicedata/juicefs/blob/30190ca1094d26e85f19a979ca51b0ea19af1eaa/.github/scripts/hypo/command_test.py#L32</x:v>
      </x:c>
      <x:c r="J153" s="11" t="str">
        <x:v>未提升为 Windows 执行项</x:v>
      </x:c>
      <x:c r="K153" s="11" t="str">
        <x:v>见源文件及 CI 条件</x:v>
      </x:c>
      <x:c r="L153" s="11" t="str">
        <x:v>状态机运行序列按运行参数生成，未在此展开；级别为源码目录初分，未执行项目不能计作通过</x:v>
      </x:c>
    </x:row>
    <x:row r="154" ht="42" customHeight="1">
      <x:c r="A154" s="10" t="str">
        <x:v>UP-6a4ee9cba8c1</x:v>
      </x:c>
      <x:c r="B154" s="10" t="str">
        <x:v>L2</x:v>
      </x:c>
      <x:c r="C154" s="10" t="str">
        <x:v>应用与界面兼容</x:v>
      </x:c>
      <x:c r="D154" s="10" t="str">
        <x:v>TestCommand.test_clone_4834</x:v>
      </x:c>
      <x:c r="E154" s="10" t="str">
        <x:v>Python 测试</x:v>
      </x:c>
      <x:c r="F154" s="10" t="str">
        <x:v>待执行</x:v>
      </x:c>
      <x:c r="G154" s="10" t="str">
        <x:v>其他平台／集成；根据 workflow 条件选择</x:v>
      </x:c>
      <x:c r="H154" s="10" t="str">
        <x:v>.github/scripts/hypo/command_test.py:38</x:v>
      </x:c>
      <x:c r="I154" s="10" t="str">
        <x:v>https://github.com/juicedata/juicefs/blob/30190ca1094d26e85f19a979ca51b0ea19af1eaa/.github/scripts/hypo/command_test.py#L38</x:v>
      </x:c>
      <x:c r="J154" s="10" t="str">
        <x:v>未提升为 Windows 执行项</x:v>
      </x:c>
      <x:c r="K154" s="10" t="str">
        <x:v>见源文件及 CI 条件</x:v>
      </x:c>
      <x:c r="L154" s="10" t="str">
        <x:v>状态机运行序列按运行参数生成，未在此展开；级别为源码目录初分，未执行项目不能计作通过</x:v>
      </x:c>
    </x:row>
    <x:row r="155" ht="42" customHeight="1">
      <x:c r="A155" s="11" t="str">
        <x:v>UP-39e5b724c7ae</x:v>
      </x:c>
      <x:c r="B155" s="11" t="str">
        <x:v>L3</x:v>
      </x:c>
      <x:c r="C155" s="11" t="str">
        <x:v>应用与界面兼容</x:v>
      </x:c>
      <x:c r="D155" s="11" t="str">
        <x:v>文件入口</x:v>
      </x:c>
      <x:c r="E155" s="11" t="str">
        <x:v>脚本／文件入口</x:v>
      </x:c>
      <x:c r="F155" s="11" t="str">
        <x:v>待执行</x:v>
      </x:c>
      <x:c r="G155" s="11" t="str">
        <x:v>其他平台／集成；根据 workflow 条件选择</x:v>
      </x:c>
      <x:c r="H155" s="11" t="str">
        <x:v>.github/scripts/hypo/common.py:1</x:v>
      </x:c>
      <x:c r="I155" s="11" t="str">
        <x:v>https://github.com/juicedata/juicefs/blob/30190ca1094d26e85f19a979ca51b0ea19af1eaa/.github/scripts/hypo/common.py#L1</x:v>
      </x:c>
      <x:c r="J155" s="11" t="str">
        <x:v>未提升为 Windows 执行项</x:v>
      </x:c>
      <x:c r="K155" s="11" t="str">
        <x:v>见源文件及 CI 条件</x:v>
      </x:c>
      <x:c r="L155" s="11" t="str">
        <x:v>无可静态枚举的命名测试函数；保留文件范围，不推定已执行；级别为源码目录初分，未执行项目不能计作通过</x:v>
      </x:c>
    </x:row>
    <x:row r="156" ht="42" customHeight="1">
      <x:c r="A156" s="10" t="str">
        <x:v>UP-53380a6ba083</x:v>
      </x:c>
      <x:c r="B156" s="10" t="str">
        <x:v>L3</x:v>
      </x:c>
      <x:c r="C156" s="10" t="str">
        <x:v>应用与界面兼容</x:v>
      </x:c>
      <x:c r="D156" s="10" t="str">
        <x:v>文件入口</x:v>
      </x:c>
      <x:c r="E156" s="10" t="str">
        <x:v>脚本／文件入口</x:v>
      </x:c>
      <x:c r="F156" s="10" t="str">
        <x:v>待执行</x:v>
      </x:c>
      <x:c r="G156" s="10" t="str">
        <x:v>其他平台／集成；根据 workflow 条件选择</x:v>
      </x:c>
      <x:c r="H156" s="10" t="str">
        <x:v>.github/scripts/hypo/context.py:1</x:v>
      </x:c>
      <x:c r="I156" s="10" t="str">
        <x:v>https://github.com/juicedata/juicefs/blob/30190ca1094d26e85f19a979ca51b0ea19af1eaa/.github/scripts/hypo/context.py#L1</x:v>
      </x:c>
      <x:c r="J156" s="10" t="str">
        <x:v>未提升为 Windows 执行项</x:v>
      </x:c>
      <x:c r="K156" s="10" t="str">
        <x:v>见源文件及 CI 条件</x:v>
      </x:c>
      <x:c r="L156" s="10" t="str">
        <x:v>无可静态枚举的命名测试函数；保留文件范围，不推定已执行；级别为源码目录初分，未执行项目不能计作通过</x:v>
      </x:c>
    </x:row>
    <x:row r="157" ht="42" customHeight="1">
      <x:c r="A157" s="11" t="str">
        <x:v>UP-86785d9b1a71</x:v>
      </x:c>
      <x:c r="B157" s="11" t="str">
        <x:v>L3</x:v>
      </x:c>
      <x:c r="C157" s="11" t="str">
        <x:v>应用与界面兼容</x:v>
      </x:c>
      <x:c r="D157" s="11" t="str">
        <x:v>JuicefsDataMachine.init_folders</x:v>
      </x:c>
      <x:c r="E157" s="11" t="str">
        <x:v>Python 状态机规则</x:v>
      </x:c>
      <x:c r="F157" s="11" t="str">
        <x:v>待执行</x:v>
      </x:c>
      <x:c r="G157" s="11" t="str">
        <x:v>其他平台／集成；根据 workflow 条件选择</x:v>
      </x:c>
      <x:c r="H157" s="11" t="str">
        <x:v>.github/scripts/hypo/file.py:80</x:v>
      </x:c>
      <x:c r="I157" s="11" t="str">
        <x:v>https://github.com/juicedata/juicefs/blob/30190ca1094d26e85f19a979ca51b0ea19af1eaa/.github/scripts/hypo/file.py#L80</x:v>
      </x:c>
      <x:c r="J157" s="11" t="str">
        <x:v>未提升为 Windows 执行项</x:v>
      </x:c>
      <x:c r="K157" s="11" t="str">
        <x:v>initialize(target=fds)</x:v>
      </x:c>
      <x:c r="L157" s="11" t="str">
        <x:v>状态机运行序列按运行参数生成，未在此展开；级别为源码目录初分，未执行项目不能计作通过</x:v>
      </x:c>
    </x:row>
    <x:row r="158" ht="42" customHeight="1">
      <x:c r="A158" s="10" t="str">
        <x:v>UP-2493c75812bc</x:v>
      </x:c>
      <x:c r="B158" s="10" t="str">
        <x:v>L1</x:v>
      </x:c>
      <x:c r="C158" s="10" t="str">
        <x:v>文件读写与完整性</x:v>
      </x:c>
      <x:c r="D158" s="10" t="str">
        <x:v>JuicefsDataMachine.read</x:v>
      </x:c>
      <x:c r="E158" s="10" t="str">
        <x:v>Python 状态机规则</x:v>
      </x:c>
      <x:c r="F158" s="10" t="str">
        <x:v>待执行</x:v>
      </x:c>
      <x:c r="G158" s="10" t="str">
        <x:v>其他平台／集成；根据 workflow 条件选择</x:v>
      </x:c>
      <x:c r="H158" s="10" t="str">
        <x:v>.github/scripts/hypo/file.py:92</x:v>
      </x:c>
      <x:c r="I158" s="10" t="str">
        <x:v>https://github.com/juicedata/juicefs/blob/30190ca1094d26e85f19a979ca51b0ea19af1eaa/.github/scripts/hypo/file.py#L92</x:v>
      </x:c>
      <x:c r="J158" s="10" t="str">
        <x:v>未提升为 Windows 执行项</x:v>
      </x:c>
      <x:c r="K158" s="10" t="str">
        <x:v>rule(fd=fds.filter(lambda x: x != multiple()), length=st.integers(min_value=0, max_value=MAX_FILE_SIZE)); precondition(lambda self: self.should_run('read'))</x:v>
      </x:c>
      <x:c r="L158" s="10" t="str">
        <x:v>状态机运行序列按运行参数生成，未在此展开；级别为源码目录初分，未执行项目不能计作通过</x:v>
      </x:c>
    </x:row>
    <x:row r="159" ht="42" customHeight="1">
      <x:c r="A159" s="11" t="str">
        <x:v>UP-9af8bee7b770</x:v>
      </x:c>
      <x:c r="B159" s="11" t="str">
        <x:v>L1</x:v>
      </x:c>
      <x:c r="C159" s="11" t="str">
        <x:v>文件读写与完整性</x:v>
      </x:c>
      <x:c r="D159" s="11" t="str">
        <x:v>JuicefsDataMachine.write</x:v>
      </x:c>
      <x:c r="E159" s="11" t="str">
        <x:v>Python 状态机规则</x:v>
      </x:c>
      <x:c r="F159" s="11" t="str">
        <x:v>待执行</x:v>
      </x:c>
      <x:c r="G159" s="11" t="str">
        <x:v>其他平台／集成；根据 workflow 条件选择</x:v>
      </x:c>
      <x:c r="H159" s="11" t="str">
        <x:v>.github/scripts/hypo/file.py:102</x:v>
      </x:c>
      <x:c r="I159" s="11" t="str">
        <x:v>https://github.com/juicedata/juicefs/blob/30190ca1094d26e85f19a979ca51b0ea19af1eaa/.github/scripts/hypo/file.py#L102</x:v>
      </x:c>
      <x:c r="J159" s="11" t="str">
        <x:v>未提升为 Windows 执行项</x:v>
      </x:c>
      <x:c r="K159" s="11" t="str">
        <x:v>rule(fd=fds.filter(lambda x: x != multiple()), content=st_content); precondition(lambda self: self.should_run('write'))</x:v>
      </x:c>
      <x:c r="L159" s="11" t="str">
        <x:v>状态机运行序列按运行参数生成，未在此展开；级别为源码目录初分，未执行项目不能计作通过</x:v>
      </x:c>
    </x:row>
    <x:row r="160" ht="42" customHeight="1">
      <x:c r="A160" s="10" t="str">
        <x:v>UP-34d14b48d584</x:v>
      </x:c>
      <x:c r="B160" s="10" t="str">
        <x:v>L1</x:v>
      </x:c>
      <x:c r="C160" s="10" t="str">
        <x:v>文件读写与完整性</x:v>
      </x:c>
      <x:c r="D160" s="10" t="str">
        <x:v>JuicefsDataMachine.writelines</x:v>
      </x:c>
      <x:c r="E160" s="10" t="str">
        <x:v>Python 状态机规则</x:v>
      </x:c>
      <x:c r="F160" s="10" t="str">
        <x:v>待执行</x:v>
      </x:c>
      <x:c r="G160" s="10" t="str">
        <x:v>其他平台／集成；根据 workflow 条件选择</x:v>
      </x:c>
      <x:c r="H160" s="10" t="str">
        <x:v>.github/scripts/hypo/file.py:111</x:v>
      </x:c>
      <x:c r="I160" s="10" t="str">
        <x:v>https://github.com/juicedata/juicefs/blob/30190ca1094d26e85f19a979ca51b0ea19af1eaa/.github/scripts/hypo/file.py#L111</x:v>
      </x:c>
      <x:c r="J160" s="10" t="str">
        <x:v>未提升为 Windows 执行项</x:v>
      </x:c>
      <x:c r="K160" s="10" t="str">
        <x:v>rule(fd=fds.filter(lambda x: x != multiple()), lines=st_lines); precondition(lambda self: self.should_run('writelines'))</x:v>
      </x:c>
      <x:c r="L160" s="10" t="str">
        <x:v>状态机运行序列按运行参数生成，未在此展开；级别为源码目录初分，未执行项目不能计作通过</x:v>
      </x:c>
    </x:row>
    <x:row r="161" ht="42" customHeight="1">
      <x:c r="A161" s="11" t="str">
        <x:v>UP-2af648221423</x:v>
      </x:c>
      <x:c r="B161" s="11" t="str">
        <x:v>L3</x:v>
      </x:c>
      <x:c r="C161" s="11" t="str">
        <x:v>应用与界面兼容</x:v>
      </x:c>
      <x:c r="D161" s="11" t="str">
        <x:v>JuicefsDataMachine.seek</x:v>
      </x:c>
      <x:c r="E161" s="11" t="str">
        <x:v>Python 状态机规则</x:v>
      </x:c>
      <x:c r="F161" s="11" t="str">
        <x:v>待执行</x:v>
      </x:c>
      <x:c r="G161" s="11" t="str">
        <x:v>其他平台／集成；根据 workflow 条件选择</x:v>
      </x:c>
      <x:c r="H161" s="11" t="str">
        <x:v>.github/scripts/hypo/file.py:121</x:v>
      </x:c>
      <x:c r="I161" s="11" t="str">
        <x:v>https://github.com/juicedata/juicefs/blob/30190ca1094d26e85f19a979ca51b0ea19af1eaa/.github/scripts/hypo/file.py#L121</x:v>
      </x:c>
      <x:c r="J161" s="11" t="str">
        <x:v>未提升为 Windows 执行项</x:v>
      </x:c>
      <x:c r="K161" s="11" t="str">
        <x:v>rule(fd=fds.filter(lambda x: x != multiple()), offset=st_offset, whence=st_whence); precondition(lambda self: self.should_run('seek'))</x:v>
      </x:c>
      <x:c r="L161" s="11" t="str">
        <x:v>状态机运行序列按运行参数生成，未在此展开；级别为源码目录初分，未执行项目不能计作通过</x:v>
      </x:c>
    </x:row>
    <x:row r="162" ht="42" customHeight="1">
      <x:c r="A162" s="10" t="str">
        <x:v>UP-43a00733d5a8</x:v>
      </x:c>
      <x:c r="B162" s="10" t="str">
        <x:v>L3</x:v>
      </x:c>
      <x:c r="C162" s="10" t="str">
        <x:v>应用与界面兼容</x:v>
      </x:c>
      <x:c r="D162" s="10" t="str">
        <x:v>JuicefsDataMachine.tell</x:v>
      </x:c>
      <x:c r="E162" s="10" t="str">
        <x:v>Python 状态机规则</x:v>
      </x:c>
      <x:c r="F162" s="10" t="str">
        <x:v>待执行</x:v>
      </x:c>
      <x:c r="G162" s="10" t="str">
        <x:v>其他平台／集成；根据 workflow 条件选择</x:v>
      </x:c>
      <x:c r="H162" s="10" t="str">
        <x:v>.github/scripts/hypo/file.py:128</x:v>
      </x:c>
      <x:c r="I162" s="10" t="str">
        <x:v>https://github.com/juicedata/juicefs/blob/30190ca1094d26e85f19a979ca51b0ea19af1eaa/.github/scripts/hypo/file.py#L128</x:v>
      </x:c>
      <x:c r="J162" s="10" t="str">
        <x:v>未提升为 Windows 执行项</x:v>
      </x:c>
      <x:c r="K162" s="10" t="str">
        <x:v>rule(fd=fds.filter(lambda x: x != multiple())); precondition(lambda self: self.should_run('tell'))</x:v>
      </x:c>
      <x:c r="L162" s="10" t="str">
        <x:v>状态机运行序列按运行参数生成，未在此展开；级别为源码目录初分，未执行项目不能计作通过</x:v>
      </x:c>
    </x:row>
    <x:row r="163" ht="42" customHeight="1">
      <x:c r="A163" s="11" t="str">
        <x:v>UP-d30f62fe8869</x:v>
      </x:c>
      <x:c r="B163" s="11" t="str">
        <x:v>L3</x:v>
      </x:c>
      <x:c r="C163" s="11" t="str">
        <x:v>应用与界面兼容</x:v>
      </x:c>
      <x:c r="D163" s="11" t="str">
        <x:v>JuicefsDataMachine.close</x:v>
      </x:c>
      <x:c r="E163" s="11" t="str">
        <x:v>Python 状态机规则</x:v>
      </x:c>
      <x:c r="F163" s="11" t="str">
        <x:v>待执行</x:v>
      </x:c>
      <x:c r="G163" s="11" t="str">
        <x:v>其他平台／集成；根据 workflow 条件选择</x:v>
      </x:c>
      <x:c r="H163" s="11" t="str">
        <x:v>.github/scripts/hypo/file.py:137</x:v>
      </x:c>
      <x:c r="I163" s="11" t="str">
        <x:v>https://github.com/juicedata/juicefs/blob/30190ca1094d26e85f19a979ca51b0ea19af1eaa/.github/scripts/hypo/file.py#L137</x:v>
      </x:c>
      <x:c r="J163" s="11" t="str">
        <x:v>未提升为 Windows 执行项</x:v>
      </x:c>
      <x:c r="K163" s="11" t="str">
        <x:v>rule(target=fds, fd=consumes(fds).filter(lambda x: x != multiple())); precondition(lambda self: self.should_run('close'))</x:v>
      </x:c>
      <x:c r="L163" s="11" t="str">
        <x:v>状态机运行序列按运行参数生成，未在此展开；级别为源码目录初分，未执行项目不能计作通过</x:v>
      </x:c>
    </x:row>
    <x:row r="164" ht="42" customHeight="1">
      <x:c r="A164" s="10" t="str">
        <x:v>UP-00cddc3bca38</x:v>
      </x:c>
      <x:c r="B164" s="10" t="str">
        <x:v>L1</x:v>
      </x:c>
      <x:c r="C164" s="10" t="str">
        <x:v>刷新与一致性</x:v>
      </x:c>
      <x:c r="D164" s="10" t="str">
        <x:v>JuicefsDataMachine.flush_and_fsync</x:v>
      </x:c>
      <x:c r="E164" s="10" t="str">
        <x:v>Python 状态机规则</x:v>
      </x:c>
      <x:c r="F164" s="10" t="str">
        <x:v>待执行</x:v>
      </x:c>
      <x:c r="G164" s="10" t="str">
        <x:v>其他平台／集成；根据 workflow 条件选择</x:v>
      </x:c>
      <x:c r="H164" s="10" t="str">
        <x:v>.github/scripts/hypo/file.py:147</x:v>
      </x:c>
      <x:c r="I164" s="10" t="str">
        <x:v>https://github.com/juicedata/juicefs/blob/30190ca1094d26e85f19a979ca51b0ea19af1eaa/.github/scripts/hypo/file.py#L147</x:v>
      </x:c>
      <x:c r="J164" s="10" t="str">
        <x:v>未提升为 Windows 执行项</x:v>
      </x:c>
      <x:c r="K164" s="10" t="str">
        <x:v>rule(fd=fds.filter(lambda x: x != multiple())); precondition(lambda self: self.should_run('flush_and_fsync'))</x:v>
      </x:c>
      <x:c r="L164" s="10" t="str">
        <x:v>状态机运行序列按运行参数生成，未在此展开；级别为源码目录初分，未执行项目不能计作通过</x:v>
      </x:c>
    </x:row>
    <x:row r="165" ht="58" customHeight="1">
      <x:c r="A165" s="11" t="str">
        <x:v>UP-1394900792e6</x:v>
      </x:c>
      <x:c r="B165" s="11" t="str">
        <x:v>L3</x:v>
      </x:c>
      <x:c r="C165" s="11" t="str">
        <x:v>应用与界面兼容</x:v>
      </x:c>
      <x:c r="D165" s="11" t="str">
        <x:v>JuicefsDataMachine.fallocate</x:v>
      </x:c>
      <x:c r="E165" s="11" t="str">
        <x:v>Python 状态机规则</x:v>
      </x:c>
      <x:c r="F165" s="11" t="str">
        <x:v>待执行</x:v>
      </x:c>
      <x:c r="G165" s="11" t="str">
        <x:v>其他平台／集成；根据 workflow 条件选择</x:v>
      </x:c>
      <x:c r="H165" s="11" t="str">
        <x:v>.github/scripts/hypo/file.py:157</x:v>
      </x:c>
      <x:c r="I165" s="11" t="str">
        <x:v>https://github.com/juicedata/juicefs/blob/30190ca1094d26e85f19a979ca51b0ea19af1eaa/.github/scripts/hypo/file.py#L157</x:v>
      </x:c>
      <x:c r="J165" s="11" t="str">
        <x:v>未提升为 Windows 执行项</x:v>
      </x:c>
      <x:c r="K165" s="11" t="str">
        <x:v>rule(fd=fds.filter(lambda x: x != multiple()), offset=st_offset, length=st_fallocate_length); precondition(lambda self: self.should_run('fallocate') and (not self.use_sdk))</x:v>
      </x:c>
      <x:c r="L165" s="11" t="str">
        <x:v>状态机运行序列按运行参数生成，未在此展开；级别为源码目录初分，未执行项目不能计作通过</x:v>
      </x:c>
    </x:row>
    <x:row r="166" ht="42" customHeight="1">
      <x:c r="A166" s="10" t="str">
        <x:v>UP-30183ff34159</x:v>
      </x:c>
      <x:c r="B166" s="10" t="str">
        <x:v>L1</x:v>
      </x:c>
      <x:c r="C166" s="10" t="str">
        <x:v>文件读写与完整性</x:v>
      </x:c>
      <x:c r="D166" s="10" t="str">
        <x:v>JuicefsDataMachine.readlines</x:v>
      </x:c>
      <x:c r="E166" s="10" t="str">
        <x:v>Python 状态机规则</x:v>
      </x:c>
      <x:c r="F166" s="10" t="str">
        <x:v>待执行</x:v>
      </x:c>
      <x:c r="G166" s="10" t="str">
        <x:v>其他平台／集成；根据 workflow 条件选择</x:v>
      </x:c>
      <x:c r="H166" s="10" t="str">
        <x:v>.github/scripts/hypo/file.py:164</x:v>
      </x:c>
      <x:c r="I166" s="10" t="str">
        <x:v>https://github.com/juicedata/juicefs/blob/30190ca1094d26e85f19a979ca51b0ea19af1eaa/.github/scripts/hypo/file.py#L164</x:v>
      </x:c>
      <x:c r="J166" s="10" t="str">
        <x:v>未提升为 Windows 执行项</x:v>
      </x:c>
      <x:c r="K166" s="10" t="str">
        <x:v>rule(fd=fds.filter(lambda x: x != multiple())); precondition(lambda self: self.should_run('readlines'))</x:v>
      </x:c>
      <x:c r="L166" s="10" t="str">
        <x:v>状态机运行序列按运行参数生成，未在此展开；级别为源码目录初分，未执行项目不能计作通过</x:v>
      </x:c>
    </x:row>
    <x:row r="167" ht="42" customHeight="1">
      <x:c r="A167" s="11" t="str">
        <x:v>UP-cd5169f73001</x:v>
      </x:c>
      <x:c r="B167" s="11" t="str">
        <x:v>L1</x:v>
      </x:c>
      <x:c r="C167" s="11" t="str">
        <x:v>文件读写与完整性</x:v>
      </x:c>
      <x:c r="D167" s="11" t="str">
        <x:v>JuicefsDataMachine.readline</x:v>
      </x:c>
      <x:c r="E167" s="11" t="str">
        <x:v>Python 状态机规则</x:v>
      </x:c>
      <x:c r="F167" s="11" t="str">
        <x:v>待执行</x:v>
      </x:c>
      <x:c r="G167" s="11" t="str">
        <x:v>其他平台／集成；根据 workflow 条件选择</x:v>
      </x:c>
      <x:c r="H167" s="11" t="str">
        <x:v>.github/scripts/hypo/file.py:171</x:v>
      </x:c>
      <x:c r="I167" s="11" t="str">
        <x:v>https://github.com/juicedata/juicefs/blob/30190ca1094d26e85f19a979ca51b0ea19af1eaa/.github/scripts/hypo/file.py#L171</x:v>
      </x:c>
      <x:c r="J167" s="11" t="str">
        <x:v>未提升为 Windows 执行项</x:v>
      </x:c>
      <x:c r="K167" s="11" t="str">
        <x:v>rule(fd=fds.filter(lambda x: x != multiple())); precondition(lambda self: self.should_run('readline'))</x:v>
      </x:c>
      <x:c r="L167" s="11" t="str">
        <x:v>状态机运行序列按运行参数生成，未在此展开；级别为源码目录初分，未执行项目不能计作通过</x:v>
      </x:c>
    </x:row>
    <x:row r="168" ht="42" customHeight="1">
      <x:c r="A168" s="10" t="str">
        <x:v>UP-f3e58e502e74</x:v>
      </x:c>
      <x:c r="B168" s="10" t="str">
        <x:v>L1</x:v>
      </x:c>
      <x:c r="C168" s="10" t="str">
        <x:v>刷新与一致性</x:v>
      </x:c>
      <x:c r="D168" s="10" t="str">
        <x:v>JuicefsDataMachine.truncate</x:v>
      </x:c>
      <x:c r="E168" s="10" t="str">
        <x:v>Python 状态机规则</x:v>
      </x:c>
      <x:c r="F168" s="10" t="str">
        <x:v>待执行</x:v>
      </x:c>
      <x:c r="G168" s="10" t="str">
        <x:v>其他平台／集成；根据 workflow 条件选择</x:v>
      </x:c>
      <x:c r="H168" s="10" t="str">
        <x:v>.github/scripts/hypo/file.py:181</x:v>
      </x:c>
      <x:c r="I168" s="10" t="str">
        <x:v>https://github.com/juicedata/juicefs/blob/30190ca1094d26e85f19a979ca51b0ea19af1eaa/.github/scripts/hypo/file.py#L181</x:v>
      </x:c>
      <x:c r="J168" s="10" t="str">
        <x:v>未提升为 Windows 执行项</x:v>
      </x:c>
      <x:c r="K168" s="10" t="str">
        <x:v>rule(fd=fds.filter(lambda x: x != multiple()), size=st_truncate_length); precondition(lambda self: self.should_run('truncate'))</x:v>
      </x:c>
      <x:c r="L168" s="10" t="str">
        <x:v>状态机运行序列按运行参数生成，未在此展开；级别为源码目录初分，未执行项目不能计作通过</x:v>
      </x:c>
    </x:row>
    <x:row r="169" ht="58" customHeight="1">
      <x:c r="A169" s="11" t="str">
        <x:v>UP-34ad1691fdef</x:v>
      </x:c>
      <x:c r="B169" s="11" t="str">
        <x:v>L3</x:v>
      </x:c>
      <x:c r="C169" s="11" t="str">
        <x:v>应用与界面兼容</x:v>
      </x:c>
      <x:c r="D169" s="11" t="str">
        <x:v>JuicefsDataMachine.copy_file_range</x:v>
      </x:c>
      <x:c r="E169" s="11" t="str">
        <x:v>Python 状态机规则</x:v>
      </x:c>
      <x:c r="F169" s="11" t="str">
        <x:v>待执行</x:v>
      </x:c>
      <x:c r="G169" s="11" t="str">
        <x:v>其他平台／集成；根据 workflow 条件选择</x:v>
      </x:c>
      <x:c r="H169" s="11" t="str">
        <x:v>.github/scripts/hypo/file.py:194</x:v>
      </x:c>
      <x:c r="I169" s="11" t="str">
        <x:v>https://github.com/juicedata/juicefs/blob/30190ca1094d26e85f19a979ca51b0ea19af1eaa/.github/scripts/hypo/file.py#L194</x:v>
      </x:c>
      <x:c r="J169" s="11" t="str">
        <x:v>未提升为 Windows 执行项</x:v>
      </x:c>
      <x:c r="K169" s="11" t="str">
        <x:v>rule(src=fds.filter(lambda x: x != multiple()), dst=fds.filter(lambda x: x != multiple()), src_offset=st_offset, dst_offset=st_offset, length=st_length); precondition(lambda self: self.should_run('copy_file_range') and (not self.use_sdk))</x:v>
      </x:c>
      <x:c r="L169" s="11" t="str">
        <x:v>状态机运行序列按运行参数生成，未在此展开；级别为源码目录初分，未执行项目不能计作通过</x:v>
      </x:c>
    </x:row>
    <x:row r="170" ht="42" customHeight="1">
      <x:c r="A170" s="10" t="str">
        <x:v>UP-6c1afc3147bd</x:v>
      </x:c>
      <x:c r="B170" s="10" t="str">
        <x:v>L3</x:v>
      </x:c>
      <x:c r="C170" s="10" t="str">
        <x:v>应用与界面兼容</x:v>
      </x:c>
      <x:c r="D170" s="10" t="str">
        <x:v>文件入口</x:v>
      </x:c>
      <x:c r="E170" s="10" t="str">
        <x:v>脚本／文件入口</x:v>
      </x:c>
      <x:c r="F170" s="10" t="str">
        <x:v>待执行</x:v>
      </x:c>
      <x:c r="G170" s="10" t="str">
        <x:v>其他平台／集成；根据 workflow 条件选择</x:v>
      </x:c>
      <x:c r="H170" s="10" t="str">
        <x:v>.github/scripts/hypo/file_op.py:1</x:v>
      </x:c>
      <x:c r="I170" s="10" t="str">
        <x:v>https://github.com/juicedata/juicefs/blob/30190ca1094d26e85f19a979ca51b0ea19af1eaa/.github/scripts/hypo/file_op.py#L1</x:v>
      </x:c>
      <x:c r="J170" s="10" t="str">
        <x:v>未提升为 Windows 执行项</x:v>
      </x:c>
      <x:c r="K170" s="10" t="str">
        <x:v>见源文件及 CI 条件</x:v>
      </x:c>
      <x:c r="L170" s="10" t="str">
        <x:v>无可静态枚举的命名测试函数；保留文件范围，不推定已执行；级别为源码目录初分，未执行项目不能计作通过</x:v>
      </x:c>
    </x:row>
    <x:row r="171" ht="42" customHeight="1">
      <x:c r="A171" s="11" t="str">
        <x:v>UP-24fcc9152f09</x:v>
      </x:c>
      <x:c r="B171" s="11" t="str">
        <x:v>L3</x:v>
      </x:c>
      <x:c r="C171" s="11" t="str">
        <x:v>应用与界面兼容</x:v>
      </x:c>
      <x:c r="D171" s="11" t="str">
        <x:v>TestPySdk.test_issue_1522_1</x:v>
      </x:c>
      <x:c r="E171" s="11" t="str">
        <x:v>Python 测试</x:v>
      </x:c>
      <x:c r="F171" s="11" t="str">
        <x:v>待执行</x:v>
      </x:c>
      <x:c r="G171" s="11" t="str">
        <x:v>其他平台／集成；根据 workflow 条件选择</x:v>
      </x:c>
      <x:c r="H171" s="11" t="str">
        <x:v>.github/scripts/hypo/file_test.py:5</x:v>
      </x:c>
      <x:c r="I171" s="11" t="str">
        <x:v>https://github.com/juicedata/juicefs/blob/30190ca1094d26e85f19a979ca51b0ea19af1eaa/.github/scripts/hypo/file_test.py#L5</x:v>
      </x:c>
      <x:c r="J171" s="11" t="str">
        <x:v>未提升为 Windows 执行项</x:v>
      </x:c>
      <x:c r="K171" s="11" t="str">
        <x:v>见源文件及 CI 条件</x:v>
      </x:c>
      <x:c r="L171" s="11" t="str">
        <x:v>状态机运行序列按运行参数生成，未在此展开；级别为源码目录初分，未执行项目不能计作通过</x:v>
      </x:c>
    </x:row>
    <x:row r="172" ht="42" customHeight="1">
      <x:c r="A172" s="10" t="str">
        <x:v>UP-fa647610581d</x:v>
      </x:c>
      <x:c r="B172" s="10" t="str">
        <x:v>L3</x:v>
      </x:c>
      <x:c r="C172" s="10" t="str">
        <x:v>应用与界面兼容</x:v>
      </x:c>
      <x:c r="D172" s="10" t="str">
        <x:v>TestPySdk.test_issue_1522_2</x:v>
      </x:c>
      <x:c r="E172" s="10" t="str">
        <x:v>Python 测试</x:v>
      </x:c>
      <x:c r="F172" s="10" t="str">
        <x:v>待执行</x:v>
      </x:c>
      <x:c r="G172" s="10" t="str">
        <x:v>其他平台／集成；根据 workflow 条件选择</x:v>
      </x:c>
      <x:c r="H172" s="10" t="str">
        <x:v>.github/scripts/hypo/file_test.py:13</x:v>
      </x:c>
      <x:c r="I172" s="10" t="str">
        <x:v>https://github.com/juicedata/juicefs/blob/30190ca1094d26e85f19a979ca51b0ea19af1eaa/.github/scripts/hypo/file_test.py#L13</x:v>
      </x:c>
      <x:c r="J172" s="10" t="str">
        <x:v>未提升为 Windows 执行项</x:v>
      </x:c>
      <x:c r="K172" s="10" t="str">
        <x:v>见源文件及 CI 条件</x:v>
      </x:c>
      <x:c r="L172" s="10" t="str">
        <x:v>状态机运行序列按运行参数生成，未在此展开；级别为源码目录初分，未执行项目不能计作通过</x:v>
      </x:c>
    </x:row>
    <x:row r="173" ht="42" customHeight="1">
      <x:c r="A173" s="11" t="str">
        <x:v>UP-630ecea5302b</x:v>
      </x:c>
      <x:c r="B173" s="11" t="str">
        <x:v>L3</x:v>
      </x:c>
      <x:c r="C173" s="11" t="str">
        <x:v>应用与界面兼容</x:v>
      </x:c>
      <x:c r="D173" s="11" t="str">
        <x:v>TestPySdk.test_issue_1523</x:v>
      </x:c>
      <x:c r="E173" s="11" t="str">
        <x:v>Python 测试</x:v>
      </x:c>
      <x:c r="F173" s="11" t="str">
        <x:v>待执行</x:v>
      </x:c>
      <x:c r="G173" s="11" t="str">
        <x:v>其他平台／集成；根据 workflow 条件选择</x:v>
      </x:c>
      <x:c r="H173" s="11" t="str">
        <x:v>.github/scripts/hypo/file_test.py:22</x:v>
      </x:c>
      <x:c r="I173" s="11" t="str">
        <x:v>https://github.com/juicedata/juicefs/blob/30190ca1094d26e85f19a979ca51b0ea19af1eaa/.github/scripts/hypo/file_test.py#L22</x:v>
      </x:c>
      <x:c r="J173" s="11" t="str">
        <x:v>未提升为 Windows 执行项</x:v>
      </x:c>
      <x:c r="K173" s="11" t="str">
        <x:v>见源文件及 CI 条件</x:v>
      </x:c>
      <x:c r="L173" s="11" t="str">
        <x:v>状态机运行序列按运行参数生成，未在此展开；级别为源码目录初分，未执行项目不能计作通过</x:v>
      </x:c>
    </x:row>
    <x:row r="174" ht="42" customHeight="1">
      <x:c r="A174" s="10" t="str">
        <x:v>UP-c2180b22fb5c</x:v>
      </x:c>
      <x:c r="B174" s="10" t="str">
        <x:v>L3</x:v>
      </x:c>
      <x:c r="C174" s="10" t="str">
        <x:v>应用与界面兼容</x:v>
      </x:c>
      <x:c r="D174" s="10" t="str">
        <x:v>JuicefsMachine.init_folders</x:v>
      </x:c>
      <x:c r="E174" s="10" t="str">
        <x:v>Python 状态机规则</x:v>
      </x:c>
      <x:c r="F174" s="10" t="str">
        <x:v>待执行</x:v>
      </x:c>
      <x:c r="G174" s="10" t="str">
        <x:v>其他平台／集成；根据 workflow 条件选择</x:v>
      </x:c>
      <x:c r="H174" s="10" t="str">
        <x:v>.github/scripts/hypo/fs.py:59</x:v>
      </x:c>
      <x:c r="I174" s="10" t="str">
        <x:v>https://github.com/juicedata/juicefs/blob/30190ca1094d26e85f19a979ca51b0ea19af1eaa/.github/scripts/hypo/fs.py#L59</x:v>
      </x:c>
      <x:c r="J174" s="10" t="str">
        <x:v>未提升为 Windows 执行项</x:v>
      </x:c>
      <x:c r="K174" s="10" t="str">
        <x:v>initialize(target=Folders)</x:v>
      </x:c>
      <x:c r="L174" s="10" t="str">
        <x:v>状态机运行序列按运行参数生成，未在此展开；级别为源码目录初分，未执行项目不能计作通过</x:v>
      </x:c>
    </x:row>
    <x:row r="175" ht="42" customHeight="1">
      <x:c r="A175" s="11" t="str">
        <x:v>UP-a42aec1a0f93</x:v>
      </x:c>
      <x:c r="B175" s="11" t="str">
        <x:v>L3</x:v>
      </x:c>
      <x:c r="C175" s="11" t="str">
        <x:v>应用与界面兼容</x:v>
      </x:c>
      <x:c r="D175" s="11" t="str">
        <x:v>JuicefsMachine.stat</x:v>
      </x:c>
      <x:c r="E175" s="11" t="str">
        <x:v>Python 状态机规则</x:v>
      </x:c>
      <x:c r="F175" s="11" t="str">
        <x:v>待执行</x:v>
      </x:c>
      <x:c r="G175" s="11" t="str">
        <x:v>其他平台／集成；根据 workflow 条件选择</x:v>
      </x:c>
      <x:c r="H175" s="11" t="str">
        <x:v>.github/scripts/hypo/fs.py:144</x:v>
      </x:c>
      <x:c r="I175" s="11" t="str">
        <x:v>https://github.com/juicedata/juicefs/blob/30190ca1094d26e85f19a979ca51b0ea19af1eaa/.github/scripts/hypo/fs.py#L144</x:v>
      </x:c>
      <x:c r="J175" s="11" t="str">
        <x:v>未提升为 Windows 执行项</x:v>
      </x:c>
      <x:c r="K175" s="11" t="str">
        <x:v>rule(entry=Entries, user=st.sampled_from(SUDO_USERS)); precondition(lambda self: self.should_run('stat'))</x:v>
      </x:c>
      <x:c r="L175" s="11" t="str">
        <x:v>状态机运行序列按运行参数生成，未在此展开；级别为源码目录初分，未执行项目不能计作通过</x:v>
      </x:c>
    </x:row>
    <x:row r="176" ht="42" customHeight="1">
      <x:c r="A176" s="10" t="str">
        <x:v>UP-4d7878bfda66</x:v>
      </x:c>
      <x:c r="B176" s="10" t="str">
        <x:v>L3</x:v>
      </x:c>
      <x:c r="C176" s="10" t="str">
        <x:v>应用与界面兼容</x:v>
      </x:c>
      <x:c r="D176" s="10" t="str">
        <x:v>JuicefsMachine.lstat</x:v>
      </x:c>
      <x:c r="E176" s="10" t="str">
        <x:v>Python 状态机规则</x:v>
      </x:c>
      <x:c r="F176" s="10" t="str">
        <x:v>待执行</x:v>
      </x:c>
      <x:c r="G176" s="10" t="str">
        <x:v>其他平台／集成；根据 workflow 条件选择</x:v>
      </x:c>
      <x:c r="H176" s="10" t="str">
        <x:v>.github/scripts/hypo/fs.py:154</x:v>
      </x:c>
      <x:c r="I176" s="10" t="str">
        <x:v>https://github.com/juicedata/juicefs/blob/30190ca1094d26e85f19a979ca51b0ea19af1eaa/.github/scripts/hypo/fs.py#L154</x:v>
      </x:c>
      <x:c r="J176" s="10" t="str">
        <x:v>未提升为 Windows 执行项</x:v>
      </x:c>
      <x:c r="K176" s="10" t="str">
        <x:v>rule(entry=Entries, user=st.sampled_from(SUDO_USERS)); precondition(lambda self: self.should_run('lstat'))</x:v>
      </x:c>
      <x:c r="L176" s="10" t="str">
        <x:v>状态机运行序列按运行参数生成，未在此展开；级别为源码目录初分，未执行项目不能计作通过</x:v>
      </x:c>
    </x:row>
    <x:row r="177" ht="42" customHeight="1">
      <x:c r="A177" s="11" t="str">
        <x:v>UP-0d42d120d904</x:v>
      </x:c>
      <x:c r="B177" s="11" t="str">
        <x:v>L3</x:v>
      </x:c>
      <x:c r="C177" s="11" t="str">
        <x:v>应用与界面兼容</x:v>
      </x:c>
      <x:c r="D177" s="11" t="str">
        <x:v>JuicefsMachine.exists</x:v>
      </x:c>
      <x:c r="E177" s="11" t="str">
        <x:v>Python 状态机规则</x:v>
      </x:c>
      <x:c r="F177" s="11" t="str">
        <x:v>待执行</x:v>
      </x:c>
      <x:c r="G177" s="11" t="str">
        <x:v>其他平台／集成；根据 workflow 条件选择</x:v>
      </x:c>
      <x:c r="H177" s="11" t="str">
        <x:v>.github/scripts/hypo/fs.py:164</x:v>
      </x:c>
      <x:c r="I177" s="11" t="str">
        <x:v>https://github.com/juicedata/juicefs/blob/30190ca1094d26e85f19a979ca51b0ea19af1eaa/.github/scripts/hypo/fs.py#L164</x:v>
      </x:c>
      <x:c r="J177" s="11" t="str">
        <x:v>未提升为 Windows 执行项</x:v>
      </x:c>
      <x:c r="K177" s="11" t="str">
        <x:v>rule(entry=Entries, user=st.sampled_from(SUDO_USERS)); precondition(lambda self: self.should_run('exists'))</x:v>
      </x:c>
      <x:c r="L177" s="11" t="str">
        <x:v>状态机运行序列按运行参数生成，未在此展开；级别为源码目录初分，未执行项目不能计作通过</x:v>
      </x:c>
    </x:row>
    <x:row r="178" ht="58" customHeight="1">
      <x:c r="A178" s="10" t="str">
        <x:v>UP-289bdc30134f</x:v>
      </x:c>
      <x:c r="B178" s="10" t="str">
        <x:v>L3</x:v>
      </x:c>
      <x:c r="C178" s="10" t="str">
        <x:v>应用与界面兼容</x:v>
      </x:c>
      <x:c r="D178" s="10" t="str">
        <x:v>JuicefsMachine.open</x:v>
      </x:c>
      <x:c r="E178" s="10" t="str">
        <x:v>Python 状态机规则</x:v>
      </x:c>
      <x:c r="F178" s="10" t="str">
        <x:v>待执行</x:v>
      </x:c>
      <x:c r="G178" s="10" t="str">
        <x:v>其他平台／集成；根据 workflow 条件选择</x:v>
      </x:c>
      <x:c r="H178" s="10" t="str">
        <x:v>.github/scripts/hypo/fs.py:176</x:v>
      </x:c>
      <x:c r="I178" s="10" t="str">
        <x:v>https://github.com/juicedata/juicefs/blob/30190ca1094d26e85f19a979ca51b0ea19af1eaa/.github/scripts/hypo/fs.py#L176</x:v>
      </x:c>
      <x:c r="J178" s="10" t="str">
        <x:v>未提升为 Windows 执行项</x:v>
      </x:c>
      <x:c r="K178" s="10" t="str">
        <x:v>rule(file=Files.filter(lambda x: x != multiple()), flags=st_open_flags, umask=st_umask, mode=st_entry_mode, user=st.sampled_from(SUDO_USERS)); precondition(lambda self: self.should_run('open') and (not self.use_sdk))</x:v>
      </x:c>
      <x:c r="L178" s="10" t="str">
        <x:v>状态机运行序列按运行参数生成，未在此展开；级别为源码目录初分，未执行项目不能计作通过</x:v>
      </x:c>
    </x:row>
    <x:row r="179" ht="58" customHeight="1">
      <x:c r="A179" s="11" t="str">
        <x:v>UP-d03ef5e7c14f</x:v>
      </x:c>
      <x:c r="B179" s="11" t="str">
        <x:v>L3</x:v>
      </x:c>
      <x:c r="C179" s="11" t="str">
        <x:v>应用与界面兼容</x:v>
      </x:c>
      <x:c r="D179" s="11" t="str">
        <x:v>JuicefsMachine.open2</x:v>
      </x:c>
      <x:c r="E179" s="11" t="str">
        <x:v>Python 状态机规则</x:v>
      </x:c>
      <x:c r="F179" s="11" t="str">
        <x:v>待执行</x:v>
      </x:c>
      <x:c r="G179" s="11" t="str">
        <x:v>其他平台／集成；根据 workflow 条件选择</x:v>
      </x:c>
      <x:c r="H179" s="11" t="str">
        <x:v>.github/scripts/hypo/fs.py:186</x:v>
      </x:c>
      <x:c r="I179" s="11" t="str">
        <x:v>https://github.com/juicedata/juicefs/blob/30190ca1094d26e85f19a979ca51b0ea19af1eaa/.github/scripts/hypo/fs.py#L186</x:v>
      </x:c>
      <x:c r="J179" s="11" t="str">
        <x:v>未提升为 Windows 执行项</x:v>
      </x:c>
      <x:c r="K179" s="11" t="str">
        <x:v>rule(file=Files.filter(lambda x: x != multiple()), mode=st_open_mode, user=st.sampled_from(SUDO_USERS)); precondition(lambda self: self.should_run('open') and (not self.use_sdk))</x:v>
      </x:c>
      <x:c r="L179" s="11" t="str">
        <x:v>状态机运行序列按运行参数生成，未在此展开；级别为源码目录初分，未执行项目不能计作通过</x:v>
      </x:c>
    </x:row>
    <x:row r="180" ht="74" customHeight="1">
      <x:c r="A180" s="10" t="str">
        <x:v>UP-3f4388ef2b07</x:v>
      </x:c>
      <x:c r="B180" s="10" t="str">
        <x:v>L1</x:v>
      </x:c>
      <x:c r="C180" s="10" t="str">
        <x:v>文件读写与完整性</x:v>
      </x:c>
      <x:c r="D180" s="10" t="str">
        <x:v>JuicefsMachine.write</x:v>
      </x:c>
      <x:c r="E180" s="10" t="str">
        <x:v>Python 状态机规则</x:v>
      </x:c>
      <x:c r="F180" s="10" t="str">
        <x:v>待执行</x:v>
      </x:c>
      <x:c r="G180" s="10" t="str">
        <x:v>其他平台／集成；根据 workflow 条件选择</x:v>
      </x:c>
      <x:c r="H180" s="10" t="str">
        <x:v>.github/scripts/hypo/fs.py:201</x:v>
      </x:c>
      <x:c r="I180" s="10" t="str">
        <x:v>https://github.com/juicedata/juicefs/blob/30190ca1094d26e85f19a979ca51b0ea19af1eaa/.github/scripts/hypo/fs.py#L201</x:v>
      </x:c>
      <x:c r="J180" s="10" t="str">
        <x:v>未提升为 Windows 执行项</x:v>
      </x:c>
      <x:c r="K180" s="10" t="str">
        <x:v>rule(file=Files.filter(lambda x: x != multiple()), offset=st_offset, content=st_content, mode=st_open_mode, encoding=st_open_encoding, errors=st_open_errors, whence=st_whence, user=st.sampled_from(SUDO_USERS)); precondition(lambda self: self.should_run('write'))</x:v>
      </x:c>
      <x:c r="L180" s="10" t="str">
        <x:v>状态机运行序列按运行参数生成，未在此展开；级别为源码目录初分，未执行项目不能计作通过</x:v>
      </x:c>
    </x:row>
    <x:row r="181" ht="58" customHeight="1">
      <x:c r="A181" s="11" t="str">
        <x:v>UP-5e0f89a43e96</x:v>
      </x:c>
      <x:c r="B181" s="11" t="str">
        <x:v>L1</x:v>
      </x:c>
      <x:c r="C181" s="11" t="str">
        <x:v>文件读写与完整性</x:v>
      </x:c>
      <x:c r="D181" s="11" t="str">
        <x:v>JuicefsMachine.writelines</x:v>
      </x:c>
      <x:c r="E181" s="11" t="str">
        <x:v>Python 状态机规则</x:v>
      </x:c>
      <x:c r="F181" s="11" t="str">
        <x:v>待执行</x:v>
      </x:c>
      <x:c r="G181" s="11" t="str">
        <x:v>其他平台／集成；根据 workflow 条件选择</x:v>
      </x:c>
      <x:c r="H181" s="11" t="str">
        <x:v>.github/scripts/hypo/fs.py:214</x:v>
      </x:c>
      <x:c r="I181" s="11" t="str">
        <x:v>https://github.com/juicedata/juicefs/blob/30190ca1094d26e85f19a979ca51b0ea19af1eaa/.github/scripts/hypo/fs.py#L214</x:v>
      </x:c>
      <x:c r="J181" s="11" t="str">
        <x:v>未提升为 Windows 执行项</x:v>
      </x:c>
      <x:c r="K181" s="11" t="str">
        <x:v>rule(file=Files.filter(lambda x: x != multiple()), offset=st_offset, lines=st_lines, mode=st_open_mode, whence=st_whence, user=st.sampled_from(SUDO_USERS)); precondition(lambda self: self.should_run('writelines'))</x:v>
      </x:c>
      <x:c r="L181" s="11" t="str">
        <x:v>状态机运行序列按运行参数生成，未在此展开；级别为源码目录初分，未执行项目不能计作通过</x:v>
      </x:c>
    </x:row>
    <x:row r="182" ht="74" customHeight="1">
      <x:c r="A182" s="10" t="str">
        <x:v>UP-16e2c58f9c99</x:v>
      </x:c>
      <x:c r="B182" s="10" t="str">
        <x:v>L3</x:v>
      </x:c>
      <x:c r="C182" s="10" t="str">
        <x:v>应用与界面兼容</x:v>
      </x:c>
      <x:c r="D182" s="10" t="str">
        <x:v>JuicefsMachine.fallocate</x:v>
      </x:c>
      <x:c r="E182" s="10" t="str">
        <x:v>Python 状态机规则</x:v>
      </x:c>
      <x:c r="F182" s="10" t="str">
        <x:v>待执行</x:v>
      </x:c>
      <x:c r="G182" s="10" t="str">
        <x:v>其他平台／集成；根据 workflow 条件选择</x:v>
      </x:c>
      <x:c r="H182" s="10" t="str">
        <x:v>.github/scripts/hypo/fs.py:227</x:v>
      </x:c>
      <x:c r="I182" s="10" t="str">
        <x:v>https://github.com/juicedata/juicefs/blob/30190ca1094d26e85f19a979ca51b0ea19af1eaa/.github/scripts/hypo/fs.py#L227</x:v>
      </x:c>
      <x:c r="J182" s="10" t="str">
        <x:v>未提升为 Windows 执行项</x:v>
      </x:c>
      <x:c r="K182" s="10" t="str">
        <x:v>rule(file=Files.filter(lambda x: x != multiple()), offset=st.integers(min_value=0, max_value=MAX_FILE_SIZE), length=st.integers(min_value=0, max_value=MAX_FALLOCATE_LENGTH), mode=st.just(0), user=st.sampled_from(SUDO_USERS)); precondition(lambda self: self.should_run('fallocate') and (not self.use_sdk))</x:v>
      </x:c>
      <x:c r="L182" s="10" t="str">
        <x:v>状态机运行序列按运行参数生成，未在此展开；级别为源码目录初分，未执行项目不能计作通过</x:v>
      </x:c>
    </x:row>
    <x:row r="183" ht="74" customHeight="1">
      <x:c r="A183" s="11" t="str">
        <x:v>UP-236457e2114d</x:v>
      </x:c>
      <x:c r="B183" s="11" t="str">
        <x:v>L3</x:v>
      </x:c>
      <x:c r="C183" s="11" t="str">
        <x:v>应用与界面兼容</x:v>
      </x:c>
      <x:c r="D183" s="11" t="str">
        <x:v>JuicefsMachine.copy_file_range</x:v>
      </x:c>
      <x:c r="E183" s="11" t="str">
        <x:v>Python 状态机规则</x:v>
      </x:c>
      <x:c r="F183" s="11" t="str">
        <x:v>待执行</x:v>
      </x:c>
      <x:c r="G183" s="11" t="str">
        <x:v>其他平台／集成；根据 workflow 条件选择</x:v>
      </x:c>
      <x:c r="H183" s="11" t="str">
        <x:v>.github/scripts/hypo/fs.py:240</x:v>
      </x:c>
      <x:c r="I183" s="11" t="str">
        <x:v>https://github.com/juicedata/juicefs/blob/30190ca1094d26e85f19a979ca51b0ea19af1eaa/.github/scripts/hypo/fs.py#L240</x:v>
      </x:c>
      <x:c r="J183" s="11" t="str">
        <x:v>未提升为 Windows 执行项</x:v>
      </x:c>
      <x:c r="K183" s="11" t="str">
        <x:v>rule(src=Files.filter(lambda x: x != multiple()), dst=Files.filter(lambda x: x != multiple()), src_offset=st_offset, dst_offset=st_offset, count=st_length, user=st.sampled_from(SUDO_USERS)); precondition(lambda self: self.should_run('copy_file_range') and (not self.use_sdk))</x:v>
      </x:c>
      <x:c r="L183" s="11" t="str">
        <x:v>状态机运行序列按运行参数生成，未在此展开；级别为源码目录初分，未执行项目不能计作通过</x:v>
      </x:c>
    </x:row>
    <x:row r="184" ht="74" customHeight="1">
      <x:c r="A184" s="10" t="str">
        <x:v>UP-5ba3f6cd82f2</x:v>
      </x:c>
      <x:c r="B184" s="10" t="str">
        <x:v>L1</x:v>
      </x:c>
      <x:c r="C184" s="10" t="str">
        <x:v>文件读写与完整性</x:v>
      </x:c>
      <x:c r="D184" s="10" t="str">
        <x:v>JuicefsMachine.read</x:v>
      </x:c>
      <x:c r="E184" s="10" t="str">
        <x:v>Python 状态机规则</x:v>
      </x:c>
      <x:c r="F184" s="10" t="str">
        <x:v>待执行</x:v>
      </x:c>
      <x:c r="G184" s="10" t="str">
        <x:v>其他平台／集成；根据 workflow 条件选择</x:v>
      </x:c>
      <x:c r="H184" s="10" t="str">
        <x:v>.github/scripts/hypo/fs.py:254</x:v>
      </x:c>
      <x:c r="I184" s="10" t="str">
        <x:v>https://github.com/juicedata/juicefs/blob/30190ca1094d26e85f19a979ca51b0ea19af1eaa/.github/scripts/hypo/fs.py#L254</x:v>
      </x:c>
      <x:c r="J184" s="10" t="str">
        <x:v>未提升为 Windows 执行项</x:v>
      </x:c>
      <x:c r="K184" s="10" t="str">
        <x:v>rule(file=Files.filter(lambda x: x != multiple()), mode=st_open_mode, encoding=st_open_encoding, errors=st_open_errors, offset=st_offset, length=st.integers(min_value=0, max_value=MAX_FILE_SIZE), whence=st_whence, user=st.sampled_from(SUDO_USERS)); precondition(lambda self: self.should_run('read'))</x:v>
      </x:c>
      <x:c r="L184" s="10" t="str">
        <x:v>状态机运行序列按运行参数生成，未在此展开；级别为源码目录初分，未执行项目不能计作通过</x:v>
      </x:c>
    </x:row>
    <x:row r="185" ht="58" customHeight="1">
      <x:c r="A185" s="11" t="str">
        <x:v>UP-0ac53582b7a6</x:v>
      </x:c>
      <x:c r="B185" s="11" t="str">
        <x:v>L1</x:v>
      </x:c>
      <x:c r="C185" s="11" t="str">
        <x:v>文件读写与完整性</x:v>
      </x:c>
      <x:c r="D185" s="11" t="str">
        <x:v>JuicefsMachine.readlines</x:v>
      </x:c>
      <x:c r="E185" s="11" t="str">
        <x:v>Python 状态机规则</x:v>
      </x:c>
      <x:c r="F185" s="11" t="str">
        <x:v>待执行</x:v>
      </x:c>
      <x:c r="G185" s="11" t="str">
        <x:v>其他平台／集成；根据 workflow 条件选择</x:v>
      </x:c>
      <x:c r="H185" s="11" t="str">
        <x:v>.github/scripts/hypo/fs.py:265</x:v>
      </x:c>
      <x:c r="I185" s="11" t="str">
        <x:v>https://github.com/juicedata/juicefs/blob/30190ca1094d26e85f19a979ca51b0ea19af1eaa/.github/scripts/hypo/fs.py#L265</x:v>
      </x:c>
      <x:c r="J185" s="11" t="str">
        <x:v>未提升为 Windows 执行项</x:v>
      </x:c>
      <x:c r="K185" s="11" t="str">
        <x:v>rule(file=Files.filter(lambda x: x != multiple()), mode=st_open_mode, offset=st_offset, whence=st_whence, user=st.sampled_from(SUDO_USERS)); precondition(lambda self: self.should_run('readlines'))</x:v>
      </x:c>
      <x:c r="L185" s="11" t="str">
        <x:v>状态机运行序列按运行参数生成，未在此展开；级别为源码目录初分，未执行项目不能计作通过</x:v>
      </x:c>
    </x:row>
    <x:row r="186" ht="58" customHeight="1">
      <x:c r="A186" s="10" t="str">
        <x:v>UP-9e20e447ffc9</x:v>
      </x:c>
      <x:c r="B186" s="10" t="str">
        <x:v>L1</x:v>
      </x:c>
      <x:c r="C186" s="10" t="str">
        <x:v>文件读写与完整性</x:v>
      </x:c>
      <x:c r="D186" s="10" t="str">
        <x:v>JuicefsMachine.readline</x:v>
      </x:c>
      <x:c r="E186" s="10" t="str">
        <x:v>Python 状态机规则</x:v>
      </x:c>
      <x:c r="F186" s="10" t="str">
        <x:v>待执行</x:v>
      </x:c>
      <x:c r="G186" s="10" t="str">
        <x:v>其他平台／集成；根据 workflow 条件选择</x:v>
      </x:c>
      <x:c r="H186" s="10" t="str">
        <x:v>.github/scripts/hypo/fs.py:276</x:v>
      </x:c>
      <x:c r="I186" s="10" t="str">
        <x:v>https://github.com/juicedata/juicefs/blob/30190ca1094d26e85f19a979ca51b0ea19af1eaa/.github/scripts/hypo/fs.py#L276</x:v>
      </x:c>
      <x:c r="J186" s="10" t="str">
        <x:v>未提升为 Windows 执行项</x:v>
      </x:c>
      <x:c r="K186" s="10" t="str">
        <x:v>rule(file=Files.filter(lambda x: x != multiple()), mode=st_open_mode, offset=st_offset, whence=st_whence, user=st.sampled_from(SUDO_USERS)); precondition(lambda self: self.should_run('readline'))</x:v>
      </x:c>
      <x:c r="L186" s="10" t="str">
        <x:v>状态机运行序列按运行参数生成，未在此展开；级别为源码目录初分，未执行项目不能计作通过</x:v>
      </x:c>
    </x:row>
    <x:row r="187" ht="58" customHeight="1">
      <x:c r="A187" s="11" t="str">
        <x:v>UP-f87eb19915a2</x:v>
      </x:c>
      <x:c r="B187" s="11" t="str">
        <x:v>L1</x:v>
      </x:c>
      <x:c r="C187" s="11" t="str">
        <x:v>刷新与一致性</x:v>
      </x:c>
      <x:c r="D187" s="11" t="str">
        <x:v>JuicefsMachine.truncate</x:v>
      </x:c>
      <x:c r="E187" s="11" t="str">
        <x:v>Python 状态机规则</x:v>
      </x:c>
      <x:c r="F187" s="11" t="str">
        <x:v>待执行</x:v>
      </x:c>
      <x:c r="G187" s="11" t="str">
        <x:v>其他平台／集成；根据 workflow 条件选择</x:v>
      </x:c>
      <x:c r="H187" s="11" t="str">
        <x:v>.github/scripts/hypo/fs.py:286</x:v>
      </x:c>
      <x:c r="I187" s="11" t="str">
        <x:v>https://github.com/juicedata/juicefs/blob/30190ca1094d26e85f19a979ca51b0ea19af1eaa/.github/scripts/hypo/fs.py#L286</x:v>
      </x:c>
      <x:c r="J187" s="11" t="str">
        <x:v>未提升为 Windows 执行项</x:v>
      </x:c>
      <x:c r="K187" s="11" t="str">
        <x:v>rule(file=Files.filter(lambda x: x != multiple()), size=st.integers(min_value=0, max_value=MAX_TRUNCATE_LENGTH), user=st.sampled_from(SUDO_USERS)); precondition(lambda self: self.should_run('truncate'))</x:v>
      </x:c>
      <x:c r="L187" s="11" t="str">
        <x:v>状态机运行序列按运行参数生成，未在此展开；级别为源码目录初分，未执行项目不能计作通过</x:v>
      </x:c>
    </x:row>
    <x:row r="188" ht="58" customHeight="1">
      <x:c r="A188" s="10" t="str">
        <x:v>UP-56c4c4876a78</x:v>
      </x:c>
      <x:c r="B188" s="10" t="str">
        <x:v>L3</x:v>
      </x:c>
      <x:c r="C188" s="10" t="str">
        <x:v>应用与界面兼容</x:v>
      </x:c>
      <x:c r="D188" s="10" t="str">
        <x:v>JuicefsMachine.create_file</x:v>
      </x:c>
      <x:c r="E188" s="10" t="str">
        <x:v>Python 状态机规则</x:v>
      </x:c>
      <x:c r="F188" s="10" t="str">
        <x:v>待执行</x:v>
      </x:c>
      <x:c r="G188" s="10" t="str">
        <x:v>其他平台／集成；根据 workflow 条件选择</x:v>
      </x:c>
      <x:c r="H188" s="10" t="str">
        <x:v>.github/scripts/hypo/fs.py:298</x:v>
      </x:c>
      <x:c r="I188" s="10" t="str">
        <x:v>https://github.com/juicedata/juicefs/blob/30190ca1094d26e85f19a979ca51b0ea19af1eaa/.github/scripts/hypo/fs.py#L298</x:v>
      </x:c>
      <x:c r="J188" s="10" t="str">
        <x:v>未提升为 Windows 执行项</x:v>
      </x:c>
      <x:c r="K188" s="10" t="str">
        <x:v>rule(target=Files, parent=Folders.filter(lambda x: x != multiple()), file_name=st_file_name, content=st_content, user=st.sampled_from(SUDO_USERS), umask=st_umask); precondition(lambda self: self.should_run('create_file'))</x:v>
      </x:c>
      <x:c r="L188" s="10" t="str">
        <x:v>状态机运行序列按运行参数生成，未在此展开；级别为源码目录初分，未执行项目不能计作通过</x:v>
      </x:c>
    </x:row>
    <x:row r="189" ht="42" customHeight="1">
      <x:c r="A189" s="11" t="str">
        <x:v>UP-d8d9bea7d9b6</x:v>
      </x:c>
      <x:c r="B189" s="11" t="str">
        <x:v>L3</x:v>
      </x:c>
      <x:c r="C189" s="11" t="str">
        <x:v>应用与界面兼容</x:v>
      </x:c>
      <x:c r="D189" s="11" t="str">
        <x:v>JuicefsMachine.listdir</x:v>
      </x:c>
      <x:c r="E189" s="11" t="str">
        <x:v>Python 状态机规则</x:v>
      </x:c>
      <x:c r="F189" s="11" t="str">
        <x:v>待执行</x:v>
      </x:c>
      <x:c r="G189" s="11" t="str">
        <x:v>其他平台／集成；根据 workflow 条件选择</x:v>
      </x:c>
      <x:c r="H189" s="11" t="str">
        <x:v>.github/scripts/hypo/fs.py:310</x:v>
      </x:c>
      <x:c r="I189" s="11" t="str">
        <x:v>https://github.com/juicedata/juicefs/blob/30190ca1094d26e85f19a979ca51b0ea19af1eaa/.github/scripts/hypo/fs.py#L310</x:v>
      </x:c>
      <x:c r="J189" s="11" t="str">
        <x:v>未提升为 Windows 执行项</x:v>
      </x:c>
      <x:c r="K189" s="11" t="str">
        <x:v>rule(dir=Folders.filter(lambda x: x != multiple()), user=st.sampled_from(SUDO_USERS)); precondition(lambda self: self.should_run('listdir'))</x:v>
      </x:c>
      <x:c r="L189" s="11" t="str">
        <x:v>状态机运行序列按运行参数生成，未在此展开；级别为源码目录初分，未执行项目不能计作通过</x:v>
      </x:c>
    </x:row>
    <x:row r="190" ht="58" customHeight="1">
      <x:c r="A190" s="10" t="str">
        <x:v>UP-f82f04881a1b</x:v>
      </x:c>
      <x:c r="B190" s="10" t="str">
        <x:v>L3</x:v>
      </x:c>
      <x:c r="C190" s="10" t="str">
        <x:v>应用与界面兼容</x:v>
      </x:c>
      <x:c r="D190" s="10" t="str">
        <x:v>JuicefsMachine.unlink</x:v>
      </x:c>
      <x:c r="E190" s="10" t="str">
        <x:v>Python 状态机规则</x:v>
      </x:c>
      <x:c r="F190" s="10" t="str">
        <x:v>待执行</x:v>
      </x:c>
      <x:c r="G190" s="10" t="str">
        <x:v>其他平台／集成；根据 workflow 条件选择</x:v>
      </x:c>
      <x:c r="H190" s="10" t="str">
        <x:v>.github/scripts/hypo/fs.py:320</x:v>
      </x:c>
      <x:c r="I190" s="10" t="str">
        <x:v>https://github.com/juicedata/juicefs/blob/30190ca1094d26e85f19a979ca51b0ea19af1eaa/.github/scripts/hypo/fs.py#L320</x:v>
      </x:c>
      <x:c r="J190" s="10" t="str">
        <x:v>未提升为 Windows 执行项</x:v>
      </x:c>
      <x:c r="K190" s="10" t="str">
        <x:v>rule(target=Files, file=consumes(Files).filter(lambda x: x != multiple()), user=st.sampled_from(SUDO_USERS)); precondition(lambda self: self.should_run('unlink'))</x:v>
      </x:c>
      <x:c r="L190" s="10" t="str">
        <x:v>状态机运行序列按运行参数生成，未在此展开；级别为源码目录初分，未执行项目不能计作通过</x:v>
      </x:c>
    </x:row>
    <x:row r="191" ht="58" customHeight="1">
      <x:c r="A191" s="11" t="str">
        <x:v>UP-447ce12ddc2e</x:v>
      </x:c>
      <x:c r="B191" s="11" t="str">
        <x:v>L2</x:v>
      </x:c>
      <x:c r="C191" s="11" t="str">
        <x:v>命名与目录</x:v>
      </x:c>
      <x:c r="D191" s="11" t="str">
        <x:v>JuicefsMachine.rename_file</x:v>
      </x:c>
      <x:c r="E191" s="11" t="str">
        <x:v>Python 状态机规则</x:v>
      </x:c>
      <x:c r="F191" s="11" t="str">
        <x:v>待执行</x:v>
      </x:c>
      <x:c r="G191" s="11" t="str">
        <x:v>其他平台／集成；根据 workflow 条件选择</x:v>
      </x:c>
      <x:c r="H191" s="11" t="str">
        <x:v>.github/scripts/hypo/fs.py:336</x:v>
      </x:c>
      <x:c r="I191" s="11" t="str">
        <x:v>https://github.com/juicedata/juicefs/blob/30190ca1094d26e85f19a979ca51b0ea19af1eaa/.github/scripts/hypo/fs.py#L336</x:v>
      </x:c>
      <x:c r="J191" s="11" t="str">
        <x:v>未提升为 Windows 执行项</x:v>
      </x:c>
      <x:c r="K191" s="11" t="str">
        <x:v>rule(target=Files, entry=consumes(Files).filter(lambda x: x != multiple()), parent=Folders, new_entry_name=st_file_name, user=st.sampled_from(SUDO_USERS), umask=st_umask); precondition(lambda self: self.should_run('rename_file'))</x:v>
      </x:c>
      <x:c r="L191" s="11" t="str">
        <x:v>状态机运行序列按运行参数生成，未在此展开；级别为源码目录初分，未执行项目不能计作通过</x:v>
      </x:c>
    </x:row>
    <x:row r="192" ht="58" customHeight="1">
      <x:c r="A192" s="10" t="str">
        <x:v>UP-b578571882b0</x:v>
      </x:c>
      <x:c r="B192" s="10" t="str">
        <x:v>L2</x:v>
      </x:c>
      <x:c r="C192" s="10" t="str">
        <x:v>命名与目录</x:v>
      </x:c>
      <x:c r="D192" s="10" t="str">
        <x:v>JuicefsMachine.rename_dir</x:v>
      </x:c>
      <x:c r="E192" s="10" t="str">
        <x:v>Python 状态机规则</x:v>
      </x:c>
      <x:c r="F192" s="10" t="str">
        <x:v>待执行</x:v>
      </x:c>
      <x:c r="G192" s="10" t="str">
        <x:v>其他平台／集成；根据 workflow 条件选择</x:v>
      </x:c>
      <x:c r="H192" s="10" t="str">
        <x:v>.github/scripts/hypo/fs.py:352</x:v>
      </x:c>
      <x:c r="I192" s="10" t="str">
        <x:v>https://github.com/juicedata/juicefs/blob/30190ca1094d26e85f19a979ca51b0ea19af1eaa/.github/scripts/hypo/fs.py#L352</x:v>
      </x:c>
      <x:c r="J192" s="10" t="str">
        <x:v>未提升为 Windows 执行项</x:v>
      </x:c>
      <x:c r="K192" s="10" t="str">
        <x:v>rule(target=Folders, entry=consumes(Folders).filter(lambda x: x != multiple()), parent=Folders, new_entry_name=valid_dir_name(), user=st.sampled_from(SUDO_USERS), umask=st_umask); precondition(lambda self: self.should_run('rename_dir'))</x:v>
      </x:c>
      <x:c r="L192" s="10" t="str">
        <x:v>状态机运行序列按运行参数生成，未在此展开；级别为源码目录初分，未执行项目不能计作通过</x:v>
      </x:c>
    </x:row>
    <x:row r="193" ht="74" customHeight="1">
      <x:c r="A193" s="11" t="str">
        <x:v>UP-4a33bc4f6365</x:v>
      </x:c>
      <x:c r="B193" s="11" t="str">
        <x:v>L3</x:v>
      </x:c>
      <x:c r="C193" s="11" t="str">
        <x:v>应用与界面兼容</x:v>
      </x:c>
      <x:c r="D193" s="11" t="str">
        <x:v>JuicefsMachine.copy_file</x:v>
      </x:c>
      <x:c r="E193" s="11" t="str">
        <x:v>Python 状态机规则</x:v>
      </x:c>
      <x:c r="F193" s="11" t="str">
        <x:v>待执行</x:v>
      </x:c>
      <x:c r="G193" s="11" t="str">
        <x:v>其他平台／集成；根据 workflow 条件选择</x:v>
      </x:c>
      <x:c r="H193" s="11" t="str">
        <x:v>.github/scripts/hypo/fs.py:369</x:v>
      </x:c>
      <x:c r="I193" s="11" t="str">
        <x:v>https://github.com/juicedata/juicefs/blob/30190ca1094d26e85f19a979ca51b0ea19af1eaa/.github/scripts/hypo/fs.py#L369</x:v>
      </x:c>
      <x:c r="J193" s="11" t="str">
        <x:v>未提升为 Windows 执行项</x:v>
      </x:c>
      <x:c r="K193" s="11" t="str">
        <x:v>rule(target=Files, entry=Files.filter(lambda x: x != multiple()), parent=Folders.filter(lambda x: x != multiple()), new_entry_name=st_file_name, follow_symlinks=st.booleans(), user=st.sampled_from(SUDO_USERS), umask=st_umask); precondition(lambda self: self.should_run('copy_file') and (not self.use_sdk))</x:v>
      </x:c>
      <x:c r="L193" s="11" t="str">
        <x:v>状态机运行序列按运行参数生成，未在此展开；级别为源码目录初分，未执行项目不能计作通过</x:v>
      </x:c>
    </x:row>
    <x:row r="194" ht="90" customHeight="1">
      <x:c r="A194" s="10" t="str">
        <x:v>UP-a42fedf3b5db</x:v>
      </x:c>
      <x:c r="B194" s="10" t="str">
        <x:v>L3</x:v>
      </x:c>
      <x:c r="C194" s="10" t="str">
        <x:v>应用与界面兼容</x:v>
      </x:c>
      <x:c r="D194" s="10" t="str">
        <x:v>JuicefsMachine.clone_cp_file</x:v>
      </x:c>
      <x:c r="E194" s="10" t="str">
        <x:v>Python 状态机规则</x:v>
      </x:c>
      <x:c r="F194" s="10" t="str">
        <x:v>待执行</x:v>
      </x:c>
      <x:c r="G194" s="10" t="str">
        <x:v>其他平台／集成；根据 workflow 条件选择</x:v>
      </x:c>
      <x:c r="H194" s="10" t="str">
        <x:v>.github/scripts/hypo/fs.py:386</x:v>
      </x:c>
      <x:c r="I194" s="10" t="str">
        <x:v>https://github.com/juicedata/juicefs/blob/30190ca1094d26e85f19a979ca51b0ea19af1eaa/.github/scripts/hypo/fs.py#L386</x:v>
      </x:c>
      <x:c r="J194" s="10" t="str">
        <x:v>未提升为 Windows 执行项</x:v>
      </x:c>
      <x:c r="K194" s="10" t="str">
        <x:v>rule(target=Files, entry=Files.filter(lambda x: x != multiple()), parent=Folders.filter(lambda x: x != multiple()), new_entry_name=st_file_name, preserve=st.just(False), user=st.sampled_from(SUDO_USERS), umask=st_umask); precondition(lambda self: self.should_run('clone_cp_file') and (self.fsop1.singlezone or self.fsop2.singlezone))</x:v>
      </x:c>
      <x:c r="L194" s="10" t="str">
        <x:v>状态机运行序列按运行参数生成，未在此展开；级别为源码目录初分，未执行项目不能计作通过</x:v>
      </x:c>
    </x:row>
    <x:row r="195" ht="90" customHeight="1">
      <x:c r="A195" s="11" t="str">
        <x:v>UP-2bc233b1c938</x:v>
      </x:c>
      <x:c r="B195" s="11" t="str">
        <x:v>L3</x:v>
      </x:c>
      <x:c r="C195" s="11" t="str">
        <x:v>应用与界面兼容</x:v>
      </x:c>
      <x:c r="D195" s="11" t="str">
        <x:v>JuicefsMachine.clone_cp_dir</x:v>
      </x:c>
      <x:c r="E195" s="11" t="str">
        <x:v>Python 状态机规则</x:v>
      </x:c>
      <x:c r="F195" s="11" t="str">
        <x:v>待执行</x:v>
      </x:c>
      <x:c r="G195" s="11" t="str">
        <x:v>其他平台／集成；根据 workflow 条件选择</x:v>
      </x:c>
      <x:c r="H195" s="11" t="str">
        <x:v>.github/scripts/hypo/fs.py:406</x:v>
      </x:c>
      <x:c r="I195" s="11" t="str">
        <x:v>https://github.com/juicedata/juicefs/blob/30190ca1094d26e85f19a979ca51b0ea19af1eaa/.github/scripts/hypo/fs.py#L406</x:v>
      </x:c>
      <x:c r="J195" s="11" t="str">
        <x:v>未提升为 Windows 执行项</x:v>
      </x:c>
      <x:c r="K195" s="11" t="str">
        <x:v>rule(target=Folders, entry=Folders.filter(lambda x: x != multiple()), parent=Folders.filter(lambda x: x != multiple()), new_entry_name=valid_dir_name(), preserve=st.just(False), user=st.sampled_from(SUDO_USERS), umask=st_umask); precondition(lambda self: self.should_run('clone_cp_dir') and (self.fsop1.singlezone or self.fsop2.singlezone))</x:v>
      </x:c>
      <x:c r="L195" s="11" t="str">
        <x:v>状态机运行序列按运行参数生成，未在此展开；级别为源码目录初分，未执行项目不能计作通过</x:v>
      </x:c>
    </x:row>
    <x:row r="196" ht="58" customHeight="1">
      <x:c r="A196" s="10" t="str">
        <x:v>UP-4136e0839fbb</x:v>
      </x:c>
      <x:c r="B196" s="10" t="str">
        <x:v>L2</x:v>
      </x:c>
      <x:c r="C196" s="10" t="str">
        <x:v>命名与目录</x:v>
      </x:c>
      <x:c r="D196" s="10" t="str">
        <x:v>JuicefsMachine.mkdir</x:v>
      </x:c>
      <x:c r="E196" s="10" t="str">
        <x:v>Python 状态机规则</x:v>
      </x:c>
      <x:c r="F196" s="10" t="str">
        <x:v>待执行</x:v>
      </x:c>
      <x:c r="G196" s="10" t="str">
        <x:v>其他平台／集成；根据 workflow 条件选择</x:v>
      </x:c>
      <x:c r="H196" s="10" t="str">
        <x:v>.github/scripts/hypo/fs.py:423</x:v>
      </x:c>
      <x:c r="I196" s="10" t="str">
        <x:v>https://github.com/juicedata/juicefs/blob/30190ca1094d26e85f19a979ca51b0ea19af1eaa/.github/scripts/hypo/fs.py#L423</x:v>
      </x:c>
      <x:c r="J196" s="10" t="str">
        <x:v>未提升为 Windows 执行项</x:v>
      </x:c>
      <x:c r="K196" s="10" t="str">
        <x:v>rule(target=Folders, parent=Folders.filter(lambda x: x != multiple()), subdir=valid_dir_name(), mode=st_entry_mode, user=st.sampled_from(SUDO_USERS), umask=st_umask); precondition(lambda self: self.should_run('mkdir'))</x:v>
      </x:c>
      <x:c r="L196" s="10" t="str">
        <x:v>状态机运行序列按运行参数生成，未在此展开；级别为源码目录初分，未执行项目不能计作通过</x:v>
      </x:c>
    </x:row>
    <x:row r="197" ht="58" customHeight="1">
      <x:c r="A197" s="11" t="str">
        <x:v>UP-456574ddce11</x:v>
      </x:c>
      <x:c r="B197" s="11" t="str">
        <x:v>L2</x:v>
      </x:c>
      <x:c r="C197" s="11" t="str">
        <x:v>命名与目录</x:v>
      </x:c>
      <x:c r="D197" s="11" t="str">
        <x:v>JuicefsMachine.rmdir</x:v>
      </x:c>
      <x:c r="E197" s="11" t="str">
        <x:v>Python 状态机规则</x:v>
      </x:c>
      <x:c r="F197" s="11" t="str">
        <x:v>待执行</x:v>
      </x:c>
      <x:c r="G197" s="11" t="str">
        <x:v>其他平台／集成；根据 workflow 条件选择</x:v>
      </x:c>
      <x:c r="H197" s="11" t="str">
        <x:v>.github/scripts/hypo/fs.py:436</x:v>
      </x:c>
      <x:c r="I197" s="11" t="str">
        <x:v>https://github.com/juicedata/juicefs/blob/30190ca1094d26e85f19a979ca51b0ea19af1eaa/.github/scripts/hypo/fs.py#L436</x:v>
      </x:c>
      <x:c r="J197" s="11" t="str">
        <x:v>未提升为 Windows 执行项</x:v>
      </x:c>
      <x:c r="K197" s="11" t="str">
        <x:v>rule(target=Folders, dir=consumes(Folders).filter(lambda x: x != multiple()), user=st.sampled_from(SUDO_USERS)); precondition(lambda self: self.should_run('rmdir'))</x:v>
      </x:c>
      <x:c r="L197" s="11" t="str">
        <x:v>状态机运行序列按运行参数生成，未在此展开；级别为源码目录初分，未执行项目不能计作通过</x:v>
      </x:c>
    </x:row>
    <x:row r="198" ht="74" customHeight="1">
      <x:c r="A198" s="10" t="str">
        <x:v>UP-7afc843b9cea</x:v>
      </x:c>
      <x:c r="B198" s="10" t="str">
        <x:v>L2</x:v>
      </x:c>
      <x:c r="C198" s="10" t="str">
        <x:v>命名与目录</x:v>
      </x:c>
      <x:c r="D198" s="10" t="str">
        <x:v>JuicefsMachine.hardlink</x:v>
      </x:c>
      <x:c r="E198" s="10" t="str">
        <x:v>Python 状态机规则</x:v>
      </x:c>
      <x:c r="F198" s="10" t="str">
        <x:v>待执行</x:v>
      </x:c>
      <x:c r="G198" s="10" t="str">
        <x:v>其他平台／集成；根据 workflow 条件选择</x:v>
      </x:c>
      <x:c r="H198" s="10" t="str">
        <x:v>.github/scripts/hypo/fs.py:453</x:v>
      </x:c>
      <x:c r="I198" s="10" t="str">
        <x:v>https://github.com/juicedata/juicefs/blob/30190ca1094d26e85f19a979ca51b0ea19af1eaa/.github/scripts/hypo/fs.py#L453</x:v>
      </x:c>
      <x:c r="J198" s="10" t="str">
        <x:v>未提升为 Windows 执行项</x:v>
      </x:c>
      <x:c r="K198" s="10" t="str">
        <x:v>rule(target=Files, src_file=Files.filter(lambda x: x != multiple()), parent=Folders.filter(lambda x: x != multiple()), link_file_name=st_file_name, user=st.sampled_from(SUDO_USERS), umask=st_umask); precondition(lambda self: self.should_run('hardlink'))</x:v>
      </x:c>
      <x:c r="L198" s="10" t="str">
        <x:v>状态机运行序列按运行参数生成，未在此展开；级别为源码目录初分，未执行项目不能计作通过</x:v>
      </x:c>
    </x:row>
    <x:row r="199" ht="74" customHeight="1">
      <x:c r="A199" s="11" t="str">
        <x:v>UP-0afc85ff9d72</x:v>
      </x:c>
      <x:c r="B199" s="11" t="str">
        <x:v>L2</x:v>
      </x:c>
      <x:c r="C199" s="11" t="str">
        <x:v>命名与目录</x:v>
      </x:c>
      <x:c r="D199" s="11" t="str">
        <x:v>JuicefsMachine.symlink</x:v>
      </x:c>
      <x:c r="E199" s="11" t="str">
        <x:v>Python 状态机规则</x:v>
      </x:c>
      <x:c r="F199" s="11" t="str">
        <x:v>待执行</x:v>
      </x:c>
      <x:c r="G199" s="11" t="str">
        <x:v>其他平台／集成；根据 workflow 条件选择</x:v>
      </x:c>
      <x:c r="H199" s="11" t="str">
        <x:v>.github/scripts/hypo/fs.py:469</x:v>
      </x:c>
      <x:c r="I199" s="11" t="str">
        <x:v>https://github.com/juicedata/juicefs/blob/30190ca1094d26e85f19a979ca51b0ea19af1eaa/.github/scripts/hypo/fs.py#L469</x:v>
      </x:c>
      <x:c r="J199" s="11" t="str">
        <x:v>未提升为 Windows 执行项</x:v>
      </x:c>
      <x:c r="K199" s="11" t="str">
        <x:v>rule(target=Files, src_file=Files.filter(lambda x: x != multiple()), parent=Folders.filter(lambda x: x != multiple()), link_file_name=st_file_name, user=st.sampled_from(SUDO_USERS), umask=st_umask); precondition(lambda self: self.should_run('symlink'))</x:v>
      </x:c>
      <x:c r="L199" s="11" t="str">
        <x:v>状态机运行序列按运行参数生成，未在此展开；级别为源码目录初分，未执行项目不能计作通过</x:v>
      </x:c>
    </x:row>
    <x:row r="200" ht="58" customHeight="1">
      <x:c r="A200" s="10" t="str">
        <x:v>UP-1b002df3aede</x:v>
      </x:c>
      <x:c r="B200" s="10" t="str">
        <x:v>L2</x:v>
      </x:c>
      <x:c r="C200" s="10" t="str">
        <x:v>命名与目录</x:v>
      </x:c>
      <x:c r="D200" s="10" t="str">
        <x:v>JuicefsMachine.loop_symlink</x:v>
      </x:c>
      <x:c r="E200" s="10" t="str">
        <x:v>Python 状态机规则</x:v>
      </x:c>
      <x:c r="F200" s="10" t="str">
        <x:v>待执行</x:v>
      </x:c>
      <x:c r="G200" s="10" t="str">
        <x:v>其他平台／集成；根据 workflow 条件选择</x:v>
      </x:c>
      <x:c r="H200" s="10" t="str">
        <x:v>.github/scripts/hypo/fs.py:484</x:v>
      </x:c>
      <x:c r="I200" s="10" t="str">
        <x:v>https://github.com/juicedata/juicefs/blob/30190ca1094d26e85f19a979ca51b0ea19af1eaa/.github/scripts/hypo/fs.py#L484</x:v>
      </x:c>
      <x:c r="J200" s="10" t="str">
        <x:v>未提升为 Windows 执行项</x:v>
      </x:c>
      <x:c r="K200" s="10" t="str">
        <x:v>rule(target=Files, parent=Folders.filter(lambda x: x != multiple()), link_file_name=st_file_name, user=st.sampled_from(SUDO_USERS)); precondition(lambda self: self.should_run('loop_symlink'))</x:v>
      </x:c>
      <x:c r="L200" s="10" t="str">
        <x:v>状态机运行序列按运行参数生成，未在此展开；级别为源码目录初分，未执行项目不能计作通过</x:v>
      </x:c>
    </x:row>
    <x:row r="201" ht="42" customHeight="1">
      <x:c r="A201" s="11" t="str">
        <x:v>UP-4b20ec425f31</x:v>
      </x:c>
      <x:c r="B201" s="11" t="str">
        <x:v>L1</x:v>
      </x:c>
      <x:c r="C201" s="11" t="str">
        <x:v>文件读写与完整性</x:v>
      </x:c>
      <x:c r="D201" s="11" t="str">
        <x:v>JuicefsMachine.readlink</x:v>
      </x:c>
      <x:c r="E201" s="11" t="str">
        <x:v>Python 状态机规则</x:v>
      </x:c>
      <x:c r="F201" s="11" t="str">
        <x:v>待执行</x:v>
      </x:c>
      <x:c r="G201" s="11" t="str">
        <x:v>其他平台／集成；根据 workflow 条件选择</x:v>
      </x:c>
      <x:c r="H201" s="11" t="str">
        <x:v>.github/scripts/hypo/fs.py:497</x:v>
      </x:c>
      <x:c r="I201" s="11" t="str">
        <x:v>https://github.com/juicedata/juicefs/blob/30190ca1094d26e85f19a979ca51b0ea19af1eaa/.github/scripts/hypo/fs.py#L497</x:v>
      </x:c>
      <x:c r="J201" s="11" t="str">
        <x:v>未提升为 Windows 执行项</x:v>
      </x:c>
      <x:c r="K201" s="11" t="str">
        <x:v>rule(file=Files.filter(lambda x: x != multiple()), user=st.sampled_from(SUDO_USERS)); precondition(lambda self: self.should_run('readlink'))</x:v>
      </x:c>
      <x:c r="L201" s="11" t="str">
        <x:v>状态机运行序列按运行参数生成，未在此展开；级别为源码目录初分，未执行项目不能计作通过</x:v>
      </x:c>
    </x:row>
    <x:row r="202" ht="58" customHeight="1">
      <x:c r="A202" s="10" t="str">
        <x:v>UP-670872c317a6</x:v>
      </x:c>
      <x:c r="B202" s="10" t="str">
        <x:v>L3</x:v>
      </x:c>
      <x:c r="C202" s="10" t="str">
        <x:v>应用与界面兼容</x:v>
      </x:c>
      <x:c r="D202" s="10" t="str">
        <x:v>JuicefsMachine.set_xattr</x:v>
      </x:c>
      <x:c r="E202" s="10" t="str">
        <x:v>Python 状态机规则</x:v>
      </x:c>
      <x:c r="F202" s="10" t="str">
        <x:v>待执行</x:v>
      </x:c>
      <x:c r="G202" s="10" t="str">
        <x:v>其他平台／集成；根据 workflow 条件选择</x:v>
      </x:c>
      <x:c r="H202" s="10" t="str">
        <x:v>.github/scripts/hypo/fs.py:510</x:v>
      </x:c>
      <x:c r="I202" s="10" t="str">
        <x:v>https://github.com/juicedata/juicefs/blob/30190ca1094d26e85f19a979ca51b0ea19af1eaa/.github/scripts/hypo/fs.py#L510</x:v>
      </x:c>
      <x:c r="J202" s="10" t="str">
        <x:v>未提升为 Windows 执行项</x:v>
      </x:c>
      <x:c r="K202" s="10" t="str">
        <x:v>rule(target=Xattrs, file=Files.filter(lambda x: x != multiple()), name=st_xattr_name, value=st_xattr_value, flag=st_xattr_flag, user=st.sampled_from(SUDO_USERS)); precondition(lambda self: self.should_run('set_xattr'))</x:v>
      </x:c>
      <x:c r="L202" s="10" t="str">
        <x:v>状态机运行序列按运行参数生成，未在此展开；级别为源码目录初分，未执行项目不能计作通过</x:v>
      </x:c>
    </x:row>
    <x:row r="203" ht="42" customHeight="1">
      <x:c r="A203" s="11" t="str">
        <x:v>UP-7a619a328563</x:v>
      </x:c>
      <x:c r="B203" s="11" t="str">
        <x:v>L3</x:v>
      </x:c>
      <x:c r="C203" s="11" t="str">
        <x:v>应用与界面兼容</x:v>
      </x:c>
      <x:c r="D203" s="11" t="str">
        <x:v>JuicefsMachine.get_xattr</x:v>
      </x:c>
      <x:c r="E203" s="11" t="str">
        <x:v>Python 状态机规则</x:v>
      </x:c>
      <x:c r="F203" s="11" t="str">
        <x:v>待执行</x:v>
      </x:c>
      <x:c r="G203" s="11" t="str">
        <x:v>其他平台／集成；根据 workflow 条件选择</x:v>
      </x:c>
      <x:c r="H203" s="11" t="str">
        <x:v>.github/scripts/hypo/fs.py:523</x:v>
      </x:c>
      <x:c r="I203" s="11" t="str">
        <x:v>https://github.com/juicedata/juicefs/blob/30190ca1094d26e85f19a979ca51b0ea19af1eaa/.github/scripts/hypo/fs.py#L523</x:v>
      </x:c>
      <x:c r="J203" s="11" t="str">
        <x:v>未提升为 Windows 执行项</x:v>
      </x:c>
      <x:c r="K203" s="11" t="str">
        <x:v>rule(xattr=Xattrs.filter(lambda x: x != multiple()), user=st.sampled_from(SUDO_USERS)); precondition(lambda self: self.should_run('get_xattr'))</x:v>
      </x:c>
      <x:c r="L203" s="11" t="str">
        <x:v>状态机运行序列按运行参数生成，未在此展开；级别为源码目录初分，未执行项目不能计作通过</x:v>
      </x:c>
    </x:row>
    <x:row r="204" ht="42" customHeight="1">
      <x:c r="A204" s="10" t="str">
        <x:v>UP-620820b7cf05</x:v>
      </x:c>
      <x:c r="B204" s="10" t="str">
        <x:v>L3</x:v>
      </x:c>
      <x:c r="C204" s="10" t="str">
        <x:v>应用与界面兼容</x:v>
      </x:c>
      <x:c r="D204" s="10" t="str">
        <x:v>JuicefsMachine.list_xattr</x:v>
      </x:c>
      <x:c r="E204" s="10" t="str">
        <x:v>Python 状态机规则</x:v>
      </x:c>
      <x:c r="F204" s="10" t="str">
        <x:v>待执行</x:v>
      </x:c>
      <x:c r="G204" s="10" t="str">
        <x:v>其他平台／集成；根据 workflow 条件选择</x:v>
      </x:c>
      <x:c r="H204" s="10" t="str">
        <x:v>.github/scripts/hypo/fs.py:531</x:v>
      </x:c>
      <x:c r="I204" s="10" t="str">
        <x:v>https://github.com/juicedata/juicefs/blob/30190ca1094d26e85f19a979ca51b0ea19af1eaa/.github/scripts/hypo/fs.py#L531</x:v>
      </x:c>
      <x:c r="J204" s="10" t="str">
        <x:v>未提升为 Windows 执行项</x:v>
      </x:c>
      <x:c r="K204" s="10" t="str">
        <x:v>rule(file=Files.filter(lambda x: x != multiple()), user=st.sampled_from(SUDO_USERS)); precondition(lambda self: self.should_run('list_xattr'))</x:v>
      </x:c>
      <x:c r="L204" s="10" t="str">
        <x:v>状态机运行序列按运行参数生成，未在此展开；级别为源码目录初分，未执行项目不能计作通过</x:v>
      </x:c>
    </x:row>
    <x:row r="205" ht="58" customHeight="1">
      <x:c r="A205" s="11" t="str">
        <x:v>UP-4ffd56c8428e</x:v>
      </x:c>
      <x:c r="B205" s="11" t="str">
        <x:v>L2</x:v>
      </x:c>
      <x:c r="C205" s="11" t="str">
        <x:v>命名与目录</x:v>
      </x:c>
      <x:c r="D205" s="11" t="str">
        <x:v>JuicefsMachine.remove_xattr</x:v>
      </x:c>
      <x:c r="E205" s="11" t="str">
        <x:v>Python 状态机规则</x:v>
      </x:c>
      <x:c r="F205" s="11" t="str">
        <x:v>待执行</x:v>
      </x:c>
      <x:c r="G205" s="11" t="str">
        <x:v>其他平台／集成；根据 workflow 条件选择</x:v>
      </x:c>
      <x:c r="H205" s="11" t="str">
        <x:v>.github/scripts/hypo/fs.py:541</x:v>
      </x:c>
      <x:c r="I205" s="11" t="str">
        <x:v>https://github.com/juicedata/juicefs/blob/30190ca1094d26e85f19a979ca51b0ea19af1eaa/.github/scripts/hypo/fs.py#L541</x:v>
      </x:c>
      <x:c r="J205" s="11" t="str">
        <x:v>未提升为 Windows 执行项</x:v>
      </x:c>
      <x:c r="K205" s="11" t="str">
        <x:v>rule(target=Xattrs, xattr=consumes(Xattrs).filter(lambda x: x != multiple()), user=st.sampled_from(SUDO_USERS)); precondition(lambda self: self.should_run('remove_xattr'))</x:v>
      </x:c>
      <x:c r="L205" s="11" t="str">
        <x:v>状态机运行序列按运行参数生成，未在此展开；级别为源码目录初分，未执行项目不能计作通过</x:v>
      </x:c>
    </x:row>
    <x:row r="206" ht="58" customHeight="1">
      <x:c r="A206" s="10" t="str">
        <x:v>UP-5ece2f948971</x:v>
      </x:c>
      <x:c r="B206" s="10" t="str">
        <x:v>L3</x:v>
      </x:c>
      <x:c r="C206" s="10" t="str">
        <x:v>应用与界面兼容</x:v>
      </x:c>
      <x:c r="D206" s="10" t="str">
        <x:v>JuicefsMachine.change_groups</x:v>
      </x:c>
      <x:c r="E206" s="10" t="str">
        <x:v>Python 状态机规则</x:v>
      </x:c>
      <x:c r="F206" s="10" t="str">
        <x:v>待执行</x:v>
      </x:c>
      <x:c r="G206" s="10" t="str">
        <x:v>其他平台／集成；根据 workflow 条件选择</x:v>
      </x:c>
      <x:c r="H206" s="10" t="str">
        <x:v>.github/scripts/hypo/fs.py:554</x:v>
      </x:c>
      <x:c r="I206" s="10" t="str">
        <x:v>https://github.com/juicedata/juicefs/blob/30190ca1094d26e85f19a979ca51b0ea19af1eaa/.github/scripts/hypo/fs.py#L554</x:v>
      </x:c>
      <x:c r="J206" s="10" t="str">
        <x:v>未提升为 Windows 执行项</x:v>
      </x:c>
      <x:c r="K206" s="10" t="str">
        <x:v>rule(user=st.sampled_from(USERS).filter(lambda x: x != 'root'), group=st.sampled_from(GROUPS), groups=st.lists(st.sampled_from(GROUPS), unique=True)); precondition(lambda self: self.should_run('change_groups') and (not self.use_sdk))</x:v>
      </x:c>
      <x:c r="L206" s="10" t="str">
        <x:v>状态机运行序列按运行参数生成，未在此展开；级别为源码目录初分，未执行项目不能计作通过</x:v>
      </x:c>
    </x:row>
    <x:row r="207" ht="42" customHeight="1">
      <x:c r="A207" s="11" t="str">
        <x:v>UP-1866cd8f5627</x:v>
      </x:c>
      <x:c r="B207" s="11" t="str">
        <x:v>L2</x:v>
      </x:c>
      <x:c r="C207" s="11" t="str">
        <x:v>属性与权限</x:v>
      </x:c>
      <x:c r="D207" s="11" t="str">
        <x:v>JuicefsMachine.chmod</x:v>
      </x:c>
      <x:c r="E207" s="11" t="str">
        <x:v>Python 状态机规则</x:v>
      </x:c>
      <x:c r="F207" s="11" t="str">
        <x:v>待执行</x:v>
      </x:c>
      <x:c r="G207" s="11" t="str">
        <x:v>其他平台／集成；根据 workflow 条件选择</x:v>
      </x:c>
      <x:c r="H207" s="11" t="str">
        <x:v>.github/scripts/hypo/fs.py:562</x:v>
      </x:c>
      <x:c r="I207" s="11" t="str">
        <x:v>https://github.com/juicedata/juicefs/blob/30190ca1094d26e85f19a979ca51b0ea19af1eaa/.github/scripts/hypo/fs.py#L562</x:v>
      </x:c>
      <x:c r="J207" s="11" t="str">
        <x:v>未提升为 Windows 执行项</x:v>
      </x:c>
      <x:c r="K207" s="11" t="str">
        <x:v>rule(entry=Entries.filter(lambda x: x != multiple()), mode=st_entry_mode, user=st.sampled_from(SUDO_USERS)); precondition(lambda self: self.should_run('chmod'))</x:v>
      </x:c>
      <x:c r="L207" s="11" t="str">
        <x:v>状态机运行序列按运行参数生成，未在此展开；级别为源码目录初分，未执行项目不能计作通过</x:v>
      </x:c>
    </x:row>
    <x:row r="208" ht="42" customHeight="1">
      <x:c r="A208" s="10" t="str">
        <x:v>UP-3e7eb656f6aa</x:v>
      </x:c>
      <x:c r="B208" s="10" t="str">
        <x:v>L2</x:v>
      </x:c>
      <x:c r="C208" s="10" t="str">
        <x:v>属性与权限</x:v>
      </x:c>
      <x:c r="D208" s="10" t="str">
        <x:v>JuicefsMachine.get_acl</x:v>
      </x:c>
      <x:c r="E208" s="10" t="str">
        <x:v>Python 状态机规则</x:v>
      </x:c>
      <x:c r="F208" s="10" t="str">
        <x:v>待执行</x:v>
      </x:c>
      <x:c r="G208" s="10" t="str">
        <x:v>其他平台／集成；根据 workflow 条件选择</x:v>
      </x:c>
      <x:c r="H208" s="10" t="str">
        <x:v>.github/scripts/hypo/fs.py:569</x:v>
      </x:c>
      <x:c r="I208" s="10" t="str">
        <x:v>https://github.com/juicedata/juicefs/blob/30190ca1094d26e85f19a979ca51b0ea19af1eaa/.github/scripts/hypo/fs.py#L569</x:v>
      </x:c>
      <x:c r="J208" s="10" t="str">
        <x:v>未提升为 Windows 执行项</x:v>
      </x:c>
      <x:c r="K208" s="10" t="str">
        <x:v>rule(entry=Entries.filter(lambda x: x != multiple())); precondition(lambda self: self.should_run('get_acl') and (not self.use_sdk))</x:v>
      </x:c>
      <x:c r="L208" s="10" t="str">
        <x:v>状态机运行序列按运行参数生成，未在此展开；级别为源码目录初分，未执行项目不能计作通过</x:v>
      </x:c>
    </x:row>
    <x:row r="209" ht="58" customHeight="1">
      <x:c r="A209" s="11" t="str">
        <x:v>UP-768ecf53a91a</x:v>
      </x:c>
      <x:c r="B209" s="11" t="str">
        <x:v>L2</x:v>
      </x:c>
      <x:c r="C209" s="11" t="str">
        <x:v>属性与权限</x:v>
      </x:c>
      <x:c r="D209" s="11" t="str">
        <x:v>JuicefsMachine.remove_acl</x:v>
      </x:c>
      <x:c r="E209" s="11" t="str">
        <x:v>Python 状态机规则</x:v>
      </x:c>
      <x:c r="F209" s="11" t="str">
        <x:v>待执行</x:v>
      </x:c>
      <x:c r="G209" s="11" t="str">
        <x:v>其他平台／集成；根据 workflow 条件选择</x:v>
      </x:c>
      <x:c r="H209" s="11" t="str">
        <x:v>.github/scripts/hypo/fs.py:580</x:v>
      </x:c>
      <x:c r="I209" s="11" t="str">
        <x:v>https://github.com/juicedata/juicefs/blob/30190ca1094d26e85f19a979ca51b0ea19af1eaa/.github/scripts/hypo/fs.py#L580</x:v>
      </x:c>
      <x:c r="J209" s="11" t="str">
        <x:v>未提升为 Windows 执行项</x:v>
      </x:c>
      <x:c r="K209" s="11" t="str">
        <x:v>rule(entry=EntryWithACL.filter(lambda x: x != multiple()), option=st.sampled_from(['--remove-all', '--remove-default']), user=st.sampled_from(SUDO_USERS)); precondition(lambda self: self.should_run('remove_acl') and (not self.use_sdk))</x:v>
      </x:c>
      <x:c r="L209" s="11" t="str">
        <x:v>状态机运行序列按运行参数生成，未在此展开；级别为源码目录初分，未执行项目不能计作通过</x:v>
      </x:c>
    </x:row>
    <x:row r="210" ht="154" customHeight="1">
      <x:c r="A210" s="10" t="str">
        <x:v>UP-44d818976711</x:v>
      </x:c>
      <x:c r="B210" s="10" t="str">
        <x:v>L2</x:v>
      </x:c>
      <x:c r="C210" s="10" t="str">
        <x:v>属性与权限</x:v>
      </x:c>
      <x:c r="D210" s="10" t="str">
        <x:v>JuicefsMachine.set_acl</x:v>
      </x:c>
      <x:c r="E210" s="10" t="str">
        <x:v>Python 状态机规则</x:v>
      </x:c>
      <x:c r="F210" s="10" t="str">
        <x:v>待执行</x:v>
      </x:c>
      <x:c r="G210" s="10" t="str">
        <x:v>其他平台／集成；根据 workflow 条件选择</x:v>
      </x:c>
      <x:c r="H210" s="10" t="str">
        <x:v>.github/scripts/hypo/fs.py:604</x:v>
      </x:c>
      <x:c r="I210" s="10" t="str">
        <x:v>https://github.com/juicedata/juicefs/blob/30190ca1094d26e85f19a979ca51b0ea19af1eaa/.github/scripts/hypo/fs.py#L604</x:v>
      </x:c>
      <x:c r="J210" s="10" t="str">
        <x:v>未提升为 Windows 执行项</x:v>
      </x:c>
      <x:c r="K210" s="10" t="str">
        <x:v>rule(target=EntryWithACL, sudo_user=st.sampled_from(SUDO_USERS), entry=Entries.filter(lambda x: x != multiple()), user=st.sampled_from(USERS + ['']), user_perm=st.sets(st.sampled_from(['r', 'w', 'x'])), group=st.sampled_from(GROUPS + ['']), group_perm=st.sets(st.sampled_from(['r', 'w', 'x'])), other_perm=st.sets(st.sampled_from(['r', 'w', 'x'])), set_mask=st.booleans(), mask=st.sets(st.sampled_from(['r', 'w', 'x'])), default=st.booleans(), recursive=st.booleans(), recalc_mask=st.booleans(), not_recalc_mask=st.booleans(), logical=st.booleans(), physical=st.booleans()); precondition(lambda self: self.should_run('set_acl') and (not self.use_sdk))</x:v>
      </x:c>
      <x:c r="L210" s="10" t="str">
        <x:v>状态机运行序列按运行参数生成，未在此展开；级别为源码目录初分，未执行项目不能计作通过</x:v>
      </x:c>
    </x:row>
    <x:row r="211" ht="58" customHeight="1">
      <x:c r="A211" s="11" t="str">
        <x:v>UP-04a4e900caf3</x:v>
      </x:c>
      <x:c r="B211" s="11" t="str">
        <x:v>L3</x:v>
      </x:c>
      <x:c r="C211" s="11" t="str">
        <x:v>应用与界面兼容</x:v>
      </x:c>
      <x:c r="D211" s="11" t="str">
        <x:v>JuicefsMachine.utime</x:v>
      </x:c>
      <x:c r="E211" s="11" t="str">
        <x:v>Python 状态机规则</x:v>
      </x:c>
      <x:c r="F211" s="11" t="str">
        <x:v>待执行</x:v>
      </x:c>
      <x:c r="G211" s="11" t="str">
        <x:v>其他平台／集成；根据 workflow 条件选择</x:v>
      </x:c>
      <x:c r="H211" s="11" t="str">
        <x:v>.github/scripts/hypo/fs.py:619</x:v>
      </x:c>
      <x:c r="I211" s="11" t="str">
        <x:v>https://github.com/juicedata/juicefs/blob/30190ca1094d26e85f19a979ca51b0ea19af1eaa/.github/scripts/hypo/fs.py#L619</x:v>
      </x:c>
      <x:c r="J211" s="11" t="str">
        <x:v>未提升为 Windows 执行项</x:v>
      </x:c>
      <x:c r="K211" s="11" t="str">
        <x:v>rule(entry=Entries.filter(lambda x: x != multiple()), access_time=st_time, modify_time=st_time, follow_symlinks=st.booleans(), user=st.sampled_from(SUDO_USERS)); precondition(lambda self: self.should_run('utime') and False)</x:v>
      </x:c>
      <x:c r="L211" s="11" t="str">
        <x:v>状态机运行序列按运行参数生成，未在此展开；级别为源码目录初分，未执行项目不能计作通过</x:v>
      </x:c>
    </x:row>
    <x:row r="212" ht="58" customHeight="1">
      <x:c r="A212" s="10" t="str">
        <x:v>UP-00a930df80bf</x:v>
      </x:c>
      <x:c r="B212" s="10" t="str">
        <x:v>L2</x:v>
      </x:c>
      <x:c r="C212" s="10" t="str">
        <x:v>属性与权限</x:v>
      </x:c>
      <x:c r="D212" s="10" t="str">
        <x:v>JuicefsMachine.chown</x:v>
      </x:c>
      <x:c r="E212" s="10" t="str">
        <x:v>Python 状态机规则</x:v>
      </x:c>
      <x:c r="F212" s="10" t="str">
        <x:v>待执行</x:v>
      </x:c>
      <x:c r="G212" s="10" t="str">
        <x:v>其他平台／集成；根据 workflow 条件选择</x:v>
      </x:c>
      <x:c r="H212" s="10" t="str">
        <x:v>.github/scripts/hypo/fs.py:629</x:v>
      </x:c>
      <x:c r="I212" s="10" t="str">
        <x:v>https://github.com/juicedata/juicefs/blob/30190ca1094d26e85f19a979ca51b0ea19af1eaa/.github/scripts/hypo/fs.py#L629</x:v>
      </x:c>
      <x:c r="J212" s="10" t="str">
        <x:v>未提升为 Windows 执行项</x:v>
      </x:c>
      <x:c r="K212" s="10" t="str">
        <x:v>rule(entry=Entries.filter(lambda x: x != multiple()), owner=st.sampled_from(USERS), user=st.sampled_from(SUDO_USERS)); precondition(lambda self: self.should_run('chown'))</x:v>
      </x:c>
      <x:c r="L212" s="10" t="str">
        <x:v>状态机运行序列按运行参数生成，未在此展开；级别为源码目录初分，未执行项目不能计作通过</x:v>
      </x:c>
    </x:row>
    <x:row r="213" ht="58" customHeight="1">
      <x:c r="A213" s="11" t="str">
        <x:v>UP-66ff0f1d82d3</x:v>
      </x:c>
      <x:c r="B213" s="11" t="str">
        <x:v>L3</x:v>
      </x:c>
      <x:c r="C213" s="11" t="str">
        <x:v>应用与界面兼容</x:v>
      </x:c>
      <x:c r="D213" s="11" t="str">
        <x:v>JuicefsMachine.split_dir</x:v>
      </x:c>
      <x:c r="E213" s="11" t="str">
        <x:v>Python 状态机规则</x:v>
      </x:c>
      <x:c r="F213" s="11" t="str">
        <x:v>待执行</x:v>
      </x:c>
      <x:c r="G213" s="11" t="str">
        <x:v>其他平台／集成；根据 workflow 条件选择</x:v>
      </x:c>
      <x:c r="H213" s="11" t="str">
        <x:v>.github/scripts/hypo/fs.py:639</x:v>
      </x:c>
      <x:c r="I213" s="11" t="str">
        <x:v>https://github.com/juicedata/juicefs/blob/30190ca1094d26e85f19a979ca51b0ea19af1eaa/.github/scripts/hypo/fs.py#L639</x:v>
      </x:c>
      <x:c r="J213" s="11" t="str">
        <x:v>未提升为 Windows 执行项</x:v>
      </x:c>
      <x:c r="K213" s="11" t="str">
        <x:v>rule(dir=Folders, vdirs=st.integers(min_value=2, max_value=31)); precondition(lambda self: self.should_run('split_dir') and (self.fsop1.is_jfs or self.fsop2.is_jfs) and (not self.use_sdk))</x:v>
      </x:c>
      <x:c r="L213" s="11" t="str">
        <x:v>状态机运行序列按运行参数生成，未在此展开；级别为源码目录初分，未执行项目不能计作通过</x:v>
      </x:c>
    </x:row>
    <x:row r="214" ht="42" customHeight="1">
      <x:c r="A214" s="10" t="str">
        <x:v>UP-ce1a14cfa455</x:v>
      </x:c>
      <x:c r="B214" s="10" t="str">
        <x:v>L3</x:v>
      </x:c>
      <x:c r="C214" s="10" t="str">
        <x:v>应用与界面兼容</x:v>
      </x:c>
      <x:c r="D214" s="10" t="str">
        <x:v>JuicefsMachine.merge_dir</x:v>
      </x:c>
      <x:c r="E214" s="10" t="str">
        <x:v>Python 状态机规则</x:v>
      </x:c>
      <x:c r="F214" s="10" t="str">
        <x:v>待执行</x:v>
      </x:c>
      <x:c r="G214" s="10" t="str">
        <x:v>其他平台／集成；根据 workflow 条件选择</x:v>
      </x:c>
      <x:c r="H214" s="10" t="str">
        <x:v>.github/scripts/hypo/fs.py:648</x:v>
      </x:c>
      <x:c r="I214" s="10" t="str">
        <x:v>https://github.com/juicedata/juicefs/blob/30190ca1094d26e85f19a979ca51b0ea19af1eaa/.github/scripts/hypo/fs.py#L648</x:v>
      </x:c>
      <x:c r="J214" s="10" t="str">
        <x:v>未提升为 Windows 执行项</x:v>
      </x:c>
      <x:c r="K214" s="10" t="str">
        <x:v>rule(dir=Folders); precondition(lambda self: self.should_run('merge_dir') and (self.fsop1.is_jfs or self.fsop2.is_jfs) and (not self.use_sdk))</x:v>
      </x:c>
      <x:c r="L214" s="10" t="str">
        <x:v>状态机运行序列按运行参数生成，未在此展开；级别为源码目录初分，未执行项目不能计作通过</x:v>
      </x:c>
    </x:row>
    <x:row r="215" ht="74" customHeight="1">
      <x:c r="A215" s="11" t="str">
        <x:v>UP-267834b2b35a</x:v>
      </x:c>
      <x:c r="B215" s="11" t="str">
        <x:v>L3</x:v>
      </x:c>
      <x:c r="C215" s="11" t="str">
        <x:v>应用与界面兼容</x:v>
      </x:c>
      <x:c r="D215" s="11" t="str">
        <x:v>JuicefsMachine.rebalance_dir</x:v>
      </x:c>
      <x:c r="E215" s="11" t="str">
        <x:v>Python 状态机规则</x:v>
      </x:c>
      <x:c r="F215" s="11" t="str">
        <x:v>待执行</x:v>
      </x:c>
      <x:c r="G215" s="11" t="str">
        <x:v>其他平台／集成；根据 workflow 条件选择</x:v>
      </x:c>
      <x:c r="H215" s="11" t="str">
        <x:v>.github/scripts/hypo/fs.py:661</x:v>
      </x:c>
      <x:c r="I215" s="11" t="str">
        <x:v>https://github.com/juicedata/juicefs/blob/30190ca1094d26e85f19a979ca51b0ea19af1eaa/.github/scripts/hypo/fs.py#L661</x:v>
      </x:c>
      <x:c r="J215" s="11" t="str">
        <x:v>未提升为 Windows 执行项</x:v>
      </x:c>
      <x:c r="K215" s="11" t="str">
        <x:v>rule(dir=Folders, zone1=st.sampled_from(common.get_zones(ROOT_DIR1)), zone2=st.sampled_from(common.get_zones(ROOT_DIR2)), is_vdir=st.booleans()); precondition(lambda self: self.should_run('rebalance_dir') and (self.fsop1.is_jfs or self.fsop2.is_jfs) and (not self.use_sdk) and (os.getenv('PROFILE', 'dev') != 'generate'))</x:v>
      </x:c>
      <x:c r="L215" s="11" t="str">
        <x:v>状态机运行序列按运行参数生成，未在此展开；级别为源码目录初分，未执行项目不能计作通过</x:v>
      </x:c>
    </x:row>
    <x:row r="216" ht="74" customHeight="1">
      <x:c r="A216" s="10" t="str">
        <x:v>UP-0fa447cc4bee</x:v>
      </x:c>
      <x:c r="B216" s="10" t="str">
        <x:v>L3</x:v>
      </x:c>
      <x:c r="C216" s="10" t="str">
        <x:v>应用与界面兼容</x:v>
      </x:c>
      <x:c r="D216" s="10" t="str">
        <x:v>JuicefsMachine.rebalance_file</x:v>
      </x:c>
      <x:c r="E216" s="10" t="str">
        <x:v>Python 状态机规则</x:v>
      </x:c>
      <x:c r="F216" s="10" t="str">
        <x:v>待执行</x:v>
      </x:c>
      <x:c r="G216" s="10" t="str">
        <x:v>其他平台／集成；根据 workflow 条件选择</x:v>
      </x:c>
      <x:c r="H216" s="10" t="str">
        <x:v>.github/scripts/hypo/fs.py:674</x:v>
      </x:c>
      <x:c r="I216" s="10" t="str">
        <x:v>https://github.com/juicedata/juicefs/blob/30190ca1094d26e85f19a979ca51b0ea19af1eaa/.github/scripts/hypo/fs.py#L674</x:v>
      </x:c>
      <x:c r="J216" s="10" t="str">
        <x:v>未提升为 Windows 执行项</x:v>
      </x:c>
      <x:c r="K216" s="10" t="str">
        <x:v>rule(file=Files, zone1=st.sampled_from(common.get_zones(ROOT_DIR1)), zone2=st.sampled_from(common.get_zones(ROOT_DIR2))); precondition(lambda self: self.should_run('rebalance_file') and (self.fsop1.is_jfs or self.fsop2.is_jfs) and (not self.use_sdk) and (os.getenv('PROFILE', 'dev') != 'generate'))</x:v>
      </x:c>
      <x:c r="L216" s="10" t="str">
        <x:v>状态机运行序列按运行参数生成，未在此展开；级别为源码目录初分，未执行项目不能计作通过</x:v>
      </x:c>
    </x:row>
    <x:row r="217" ht="42" customHeight="1">
      <x:c r="A217" s="11" t="str">
        <x:v>UP-d7552947452e</x:v>
      </x:c>
      <x:c r="B217" s="11" t="str">
        <x:v>L2</x:v>
      </x:c>
      <x:c r="C217" s="11" t="str">
        <x:v>属性与权限</x:v>
      </x:c>
      <x:c r="D217" s="11" t="str">
        <x:v>TestFsrand2.test_acl_913</x:v>
      </x:c>
      <x:c r="E217" s="11" t="str">
        <x:v>Python 测试</x:v>
      </x:c>
      <x:c r="F217" s="11" t="str">
        <x:v>待执行</x:v>
      </x:c>
      <x:c r="G217" s="11" t="str">
        <x:v>其他平台／集成；根据 workflow 条件选择</x:v>
      </x:c>
      <x:c r="H217" s="11" t="str">
        <x:v>.github/scripts/hypo/fs_acl_test.py:5</x:v>
      </x:c>
      <x:c r="I217" s="11" t="str">
        <x:v>https://github.com/juicedata/juicefs/blob/30190ca1094d26e85f19a979ca51b0ea19af1eaa/.github/scripts/hypo/fs_acl_test.py#L5</x:v>
      </x:c>
      <x:c r="J217" s="11" t="str">
        <x:v>未提升为 Windows 执行项</x:v>
      </x:c>
      <x:c r="K217" s="11" t="str">
        <x:v>见源文件及 CI 条件</x:v>
      </x:c>
      <x:c r="L217" s="11" t="str">
        <x:v>状态机运行序列按运行参数生成，未在此展开；级别为源码目录初分，未执行项目不能计作通过</x:v>
      </x:c>
    </x:row>
    <x:row r="218" ht="42" customHeight="1">
      <x:c r="A218" s="10" t="str">
        <x:v>UP-917071bed454</x:v>
      </x:c>
      <x:c r="B218" s="10" t="str">
        <x:v>L2</x:v>
      </x:c>
      <x:c r="C218" s="10" t="str">
        <x:v>属性与权限</x:v>
      </x:c>
      <x:c r="D218" s="10" t="str">
        <x:v>TestFsrand2.test_acl_1004</x:v>
      </x:c>
      <x:c r="E218" s="10" t="str">
        <x:v>Python 测试</x:v>
      </x:c>
      <x:c r="F218" s="10" t="str">
        <x:v>待执行</x:v>
      </x:c>
      <x:c r="G218" s="10" t="str">
        <x:v>其他平台／集成；根据 workflow 条件选择</x:v>
      </x:c>
      <x:c r="H218" s="10" t="str">
        <x:v>.github/scripts/hypo/fs_acl_test.py:15</x:v>
      </x:c>
      <x:c r="I218" s="10" t="str">
        <x:v>https://github.com/juicedata/juicefs/blob/30190ca1094d26e85f19a979ca51b0ea19af1eaa/.github/scripts/hypo/fs_acl_test.py#L15</x:v>
      </x:c>
      <x:c r="J218" s="10" t="str">
        <x:v>未提升为 Windows 执行项</x:v>
      </x:c>
      <x:c r="K218" s="10" t="str">
        <x:v>见源文件及 CI 条件</x:v>
      </x:c>
      <x:c r="L218" s="10" t="str">
        <x:v>状态机运行序列按运行参数生成，未在此展开；级别为源码目录初分，未执行项目不能计作通过</x:v>
      </x:c>
    </x:row>
    <x:row r="219" ht="42" customHeight="1">
      <x:c r="A219" s="11" t="str">
        <x:v>UP-f77d177c1fc1</x:v>
      </x:c>
      <x:c r="B219" s="11" t="str">
        <x:v>L2</x:v>
      </x:c>
      <x:c r="C219" s="11" t="str">
        <x:v>属性与权限</x:v>
      </x:c>
      <x:c r="D219" s="11" t="str">
        <x:v>TestFsrand2.test_acl_1006</x:v>
      </x:c>
      <x:c r="E219" s="11" t="str">
        <x:v>Python 测试</x:v>
      </x:c>
      <x:c r="F219" s="11" t="str">
        <x:v>待执行</x:v>
      </x:c>
      <x:c r="G219" s="11" t="str">
        <x:v>其他平台／集成；根据 workflow 条件选择</x:v>
      </x:c>
      <x:c r="H219" s="11" t="str">
        <x:v>.github/scripts/hypo/fs_acl_test.py:25</x:v>
      </x:c>
      <x:c r="I219" s="11" t="str">
        <x:v>https://github.com/juicedata/juicefs/blob/30190ca1094d26e85f19a979ca51b0ea19af1eaa/.github/scripts/hypo/fs_acl_test.py#L25</x:v>
      </x:c>
      <x:c r="J219" s="11" t="str">
        <x:v>未提升为 Windows 执行项</x:v>
      </x:c>
      <x:c r="K219" s="11" t="str">
        <x:v>见源文件及 CI 条件</x:v>
      </x:c>
      <x:c r="L219" s="11" t="str">
        <x:v>状态机运行序列按运行参数生成，未在此展开；级别为源码目录初分，未执行项目不能计作通过</x:v>
      </x:c>
    </x:row>
    <x:row r="220" ht="42" customHeight="1">
      <x:c r="A220" s="10" t="str">
        <x:v>UP-8e7919047cb1</x:v>
      </x:c>
      <x:c r="B220" s="10" t="str">
        <x:v>L2</x:v>
      </x:c>
      <x:c r="C220" s="10" t="str">
        <x:v>属性与权限</x:v>
      </x:c>
      <x:c r="D220" s="10" t="str">
        <x:v>TestFsrand2.test_acl_1011</x:v>
      </x:c>
      <x:c r="E220" s="10" t="str">
        <x:v>Python 测试</x:v>
      </x:c>
      <x:c r="F220" s="10" t="str">
        <x:v>待执行</x:v>
      </x:c>
      <x:c r="G220" s="10" t="str">
        <x:v>其他平台／集成；根据 workflow 条件选择</x:v>
      </x:c>
      <x:c r="H220" s="10" t="str">
        <x:v>.github/scripts/hypo/fs_acl_test.py:35</x:v>
      </x:c>
      <x:c r="I220" s="10" t="str">
        <x:v>https://github.com/juicedata/juicefs/blob/30190ca1094d26e85f19a979ca51b0ea19af1eaa/.github/scripts/hypo/fs_acl_test.py#L35</x:v>
      </x:c>
      <x:c r="J220" s="10" t="str">
        <x:v>未提升为 Windows 执行项</x:v>
      </x:c>
      <x:c r="K220" s="10" t="str">
        <x:v>见源文件及 CI 条件</x:v>
      </x:c>
      <x:c r="L220" s="10" t="str">
        <x:v>状态机运行序列按运行参数生成，未在此展开；级别为源码目录初分，未执行项目不能计作通过</x:v>
      </x:c>
    </x:row>
    <x:row r="221" ht="42" customHeight="1">
      <x:c r="A221" s="11" t="str">
        <x:v>UP-620e8867ffed</x:v>
      </x:c>
      <x:c r="B221" s="11" t="str">
        <x:v>L2</x:v>
      </x:c>
      <x:c r="C221" s="11" t="str">
        <x:v>属性与权限</x:v>
      </x:c>
      <x:c r="D221" s="11" t="str">
        <x:v>TestFsrand2.test_acl_1015</x:v>
      </x:c>
      <x:c r="E221" s="11" t="str">
        <x:v>Python 测试</x:v>
      </x:c>
      <x:c r="F221" s="11" t="str">
        <x:v>待执行</x:v>
      </x:c>
      <x:c r="G221" s="11" t="str">
        <x:v>其他平台／集成；根据 workflow 条件选择</x:v>
      </x:c>
      <x:c r="H221" s="11" t="str">
        <x:v>.github/scripts/hypo/fs_acl_test.py:47</x:v>
      </x:c>
      <x:c r="I221" s="11" t="str">
        <x:v>https://github.com/juicedata/juicefs/blob/30190ca1094d26e85f19a979ca51b0ea19af1eaa/.github/scripts/hypo/fs_acl_test.py#L47</x:v>
      </x:c>
      <x:c r="J221" s="11" t="str">
        <x:v>未提升为 Windows 执行项</x:v>
      </x:c>
      <x:c r="K221" s="11" t="str">
        <x:v>见源文件及 CI 条件</x:v>
      </x:c>
      <x:c r="L221" s="11" t="str">
        <x:v>状态机运行序列按运行参数生成，未在此展开；级别为源码目录初分，未执行项目不能计作通过</x:v>
      </x:c>
    </x:row>
    <x:row r="222" ht="42" customHeight="1">
      <x:c r="A222" s="10" t="str">
        <x:v>UP-26a1a9e44294</x:v>
      </x:c>
      <x:c r="B222" s="10" t="str">
        <x:v>L2</x:v>
      </x:c>
      <x:c r="C222" s="10" t="str">
        <x:v>属性与权限</x:v>
      </x:c>
      <x:c r="D222" s="10" t="str">
        <x:v>TestFsrand2.test_acl_1022</x:v>
      </x:c>
      <x:c r="E222" s="10" t="str">
        <x:v>Python 测试</x:v>
      </x:c>
      <x:c r="F222" s="10" t="str">
        <x:v>待执行</x:v>
      </x:c>
      <x:c r="G222" s="10" t="str">
        <x:v>其他平台／集成；根据 workflow 条件选择</x:v>
      </x:c>
      <x:c r="H222" s="10" t="str">
        <x:v>.github/scripts/hypo/fs_acl_test.py:56</x:v>
      </x:c>
      <x:c r="I222" s="10" t="str">
        <x:v>https://github.com/juicedata/juicefs/blob/30190ca1094d26e85f19a979ca51b0ea19af1eaa/.github/scripts/hypo/fs_acl_test.py#L56</x:v>
      </x:c>
      <x:c r="J222" s="10" t="str">
        <x:v>未提升为 Windows 执行项</x:v>
      </x:c>
      <x:c r="K222" s="10" t="str">
        <x:v>见源文件及 CI 条件</x:v>
      </x:c>
      <x:c r="L222" s="10" t="str">
        <x:v>状态机运行序列按运行参数生成，未在此展开；级别为源码目录初分，未执行项目不能计作通过</x:v>
      </x:c>
    </x:row>
    <x:row r="223" ht="42" customHeight="1">
      <x:c r="A223" s="11" t="str">
        <x:v>UP-d990051f22f0</x:v>
      </x:c>
      <x:c r="B223" s="11" t="str">
        <x:v>L2</x:v>
      </x:c>
      <x:c r="C223" s="11" t="str">
        <x:v>属性与权限</x:v>
      </x:c>
      <x:c r="D223" s="11" t="str">
        <x:v>TestFsrand2.test_acl_1044</x:v>
      </x:c>
      <x:c r="E223" s="11" t="str">
        <x:v>Python 测试</x:v>
      </x:c>
      <x:c r="F223" s="11" t="str">
        <x:v>待执行</x:v>
      </x:c>
      <x:c r="G223" s="11" t="str">
        <x:v>其他平台／集成；根据 workflow 条件选择</x:v>
      </x:c>
      <x:c r="H223" s="11" t="str">
        <x:v>.github/scripts/hypo/fs_acl_test.py:66</x:v>
      </x:c>
      <x:c r="I223" s="11" t="str">
        <x:v>https://github.com/juicedata/juicefs/blob/30190ca1094d26e85f19a979ca51b0ea19af1eaa/.github/scripts/hypo/fs_acl_test.py#L66</x:v>
      </x:c>
      <x:c r="J223" s="11" t="str">
        <x:v>未提升为 Windows 执行项</x:v>
      </x:c>
      <x:c r="K223" s="11" t="str">
        <x:v>见源文件及 CI 条件</x:v>
      </x:c>
      <x:c r="L223" s="11" t="str">
        <x:v>状态机运行序列按运行参数生成，未在此展开；级别为源码目录初分，未执行项目不能计作通过</x:v>
      </x:c>
    </x:row>
    <x:row r="224" ht="42" customHeight="1">
      <x:c r="A224" s="10" t="str">
        <x:v>UP-6dce0d66aef3</x:v>
      </x:c>
      <x:c r="B224" s="10" t="str">
        <x:v>L2</x:v>
      </x:c>
      <x:c r="C224" s="10" t="str">
        <x:v>属性与权限</x:v>
      </x:c>
      <x:c r="D224" s="10" t="str">
        <x:v>TestFsrand2.test_acl_4458</x:v>
      </x:c>
      <x:c r="E224" s="10" t="str">
        <x:v>Python 测试</x:v>
      </x:c>
      <x:c r="F224" s="10" t="str">
        <x:v>待执行</x:v>
      </x:c>
      <x:c r="G224" s="10" t="str">
        <x:v>其他平台／集成；根据 workflow 条件选择</x:v>
      </x:c>
      <x:c r="H224" s="10" t="str">
        <x:v>.github/scripts/hypo/fs_acl_test.py:77</x:v>
      </x:c>
      <x:c r="I224" s="10" t="str">
        <x:v>https://github.com/juicedata/juicefs/blob/30190ca1094d26e85f19a979ca51b0ea19af1eaa/.github/scripts/hypo/fs_acl_test.py#L77</x:v>
      </x:c>
      <x:c r="J224" s="10" t="str">
        <x:v>未提升为 Windows 执行项</x:v>
      </x:c>
      <x:c r="K224" s="10" t="str">
        <x:v>见源文件及 CI 条件</x:v>
      </x:c>
      <x:c r="L224" s="10" t="str">
        <x:v>状态机运行序列按运行参数生成，未在此展开；级别为源码目录初分，未执行项目不能计作通过</x:v>
      </x:c>
    </x:row>
    <x:row r="225" ht="42" customHeight="1">
      <x:c r="A225" s="11" t="str">
        <x:v>UP-c553d8542775</x:v>
      </x:c>
      <x:c r="B225" s="11" t="str">
        <x:v>L2</x:v>
      </x:c>
      <x:c r="C225" s="11" t="str">
        <x:v>属性与权限</x:v>
      </x:c>
      <x:c r="D225" s="11" t="str">
        <x:v>TestFsrand2.test_acl_4472</x:v>
      </x:c>
      <x:c r="E225" s="11" t="str">
        <x:v>Python 测试</x:v>
      </x:c>
      <x:c r="F225" s="11" t="str">
        <x:v>待执行</x:v>
      </x:c>
      <x:c r="G225" s="11" t="str">
        <x:v>其他平台／集成；根据 workflow 条件选择</x:v>
      </x:c>
      <x:c r="H225" s="11" t="str">
        <x:v>.github/scripts/hypo/fs_acl_test.py:85</x:v>
      </x:c>
      <x:c r="I225" s="11" t="str">
        <x:v>https://github.com/juicedata/juicefs/blob/30190ca1094d26e85f19a979ca51b0ea19af1eaa/.github/scripts/hypo/fs_acl_test.py#L85</x:v>
      </x:c>
      <x:c r="J225" s="11" t="str">
        <x:v>未提升为 Windows 执行项</x:v>
      </x:c>
      <x:c r="K225" s="11" t="str">
        <x:v>见源文件及 CI 条件</x:v>
      </x:c>
      <x:c r="L225" s="11" t="str">
        <x:v>状态机运行序列按运行参数生成，未在此展开；级别为源码目录初分，未执行项目不能计作通过</x:v>
      </x:c>
    </x:row>
    <x:row r="226" ht="42" customHeight="1">
      <x:c r="A226" s="10" t="str">
        <x:v>UP-0636bd57e694</x:v>
      </x:c>
      <x:c r="B226" s="10" t="str">
        <x:v>L2</x:v>
      </x:c>
      <x:c r="C226" s="10" t="str">
        <x:v>属性与权限</x:v>
      </x:c>
      <x:c r="D226" s="10" t="str">
        <x:v>TestFsrand2.test_acl_4483</x:v>
      </x:c>
      <x:c r="E226" s="10" t="str">
        <x:v>Python 测试</x:v>
      </x:c>
      <x:c r="F226" s="10" t="str">
        <x:v>待执行</x:v>
      </x:c>
      <x:c r="G226" s="10" t="str">
        <x:v>其他平台／集成；根据 workflow 条件选择</x:v>
      </x:c>
      <x:c r="H226" s="10" t="str">
        <x:v>.github/scripts/hypo/fs_acl_test.py:96</x:v>
      </x:c>
      <x:c r="I226" s="10" t="str">
        <x:v>https://github.com/juicedata/juicefs/blob/30190ca1094d26e85f19a979ca51b0ea19af1eaa/.github/scripts/hypo/fs_acl_test.py#L96</x:v>
      </x:c>
      <x:c r="J226" s="10" t="str">
        <x:v>未提升为 Windows 执行项</x:v>
      </x:c>
      <x:c r="K226" s="10" t="str">
        <x:v>见源文件及 CI 条件</x:v>
      </x:c>
      <x:c r="L226" s="10" t="str">
        <x:v>状态机运行序列按运行参数生成，未在此展开；级别为源码目录初分，未执行项目不能计作通过</x:v>
      </x:c>
    </x:row>
    <x:row r="227" ht="42" customHeight="1">
      <x:c r="A227" s="11" t="str">
        <x:v>UP-cbe1a763cc9d</x:v>
      </x:c>
      <x:c r="B227" s="11" t="str">
        <x:v>L2</x:v>
      </x:c>
      <x:c r="C227" s="11" t="str">
        <x:v>属性与权限</x:v>
      </x:c>
      <x:c r="D227" s="11" t="str">
        <x:v>TestFsrand2.test_acl_4496</x:v>
      </x:c>
      <x:c r="E227" s="11" t="str">
        <x:v>Python 测试</x:v>
      </x:c>
      <x:c r="F227" s="11" t="str">
        <x:v>待执行</x:v>
      </x:c>
      <x:c r="G227" s="11" t="str">
        <x:v>其他平台／集成；根据 workflow 条件选择</x:v>
      </x:c>
      <x:c r="H227" s="11" t="str">
        <x:v>.github/scripts/hypo/fs_acl_test.py:106</x:v>
      </x:c>
      <x:c r="I227" s="11" t="str">
        <x:v>https://github.com/juicedata/juicefs/blob/30190ca1094d26e85f19a979ca51b0ea19af1eaa/.github/scripts/hypo/fs_acl_test.py#L106</x:v>
      </x:c>
      <x:c r="J227" s="11" t="str">
        <x:v>未提升为 Windows 执行项</x:v>
      </x:c>
      <x:c r="K227" s="11" t="str">
        <x:v>见源文件及 CI 条件</x:v>
      </x:c>
      <x:c r="L227" s="11" t="str">
        <x:v>状态机运行序列按运行参数生成，未在此展开；级别为源码目录初分，未执行项目不能计作通过</x:v>
      </x:c>
    </x:row>
    <x:row r="228" ht="42" customHeight="1">
      <x:c r="A228" s="10" t="str">
        <x:v>UP-e4a0aa7e75a8</x:v>
      </x:c>
      <x:c r="B228" s="10" t="str">
        <x:v>L2</x:v>
      </x:c>
      <x:c r="C228" s="10" t="str">
        <x:v>属性与权限</x:v>
      </x:c>
      <x:c r="D228" s="10" t="str">
        <x:v>TestFsrand2.test_acl_4663</x:v>
      </x:c>
      <x:c r="E228" s="10" t="str">
        <x:v>Python 测试</x:v>
      </x:c>
      <x:c r="F228" s="10" t="str">
        <x:v>待执行</x:v>
      </x:c>
      <x:c r="G228" s="10" t="str">
        <x:v>其他平台／集成；根据 workflow 条件选择</x:v>
      </x:c>
      <x:c r="H228" s="10" t="str">
        <x:v>.github/scripts/hypo/fs_acl_test.py:118</x:v>
      </x:c>
      <x:c r="I228" s="10" t="str">
        <x:v>https://github.com/juicedata/juicefs/blob/30190ca1094d26e85f19a979ca51b0ea19af1eaa/.github/scripts/hypo/fs_acl_test.py#L118</x:v>
      </x:c>
      <x:c r="J228" s="10" t="str">
        <x:v>未提升为 Windows 执行项</x:v>
      </x:c>
      <x:c r="K228" s="10" t="str">
        <x:v>见源文件及 CI 条件</x:v>
      </x:c>
      <x:c r="L228" s="10" t="str">
        <x:v>状态机运行序列按运行参数生成，未在此展开；级别为源码目录初分，未执行项目不能计作通过</x:v>
      </x:c>
    </x:row>
    <x:row r="229" ht="42" customHeight="1">
      <x:c r="A229" s="11" t="str">
        <x:v>UP-ccece1eaba49</x:v>
      </x:c>
      <x:c r="B229" s="11" t="str">
        <x:v>L3</x:v>
      </x:c>
      <x:c r="C229" s="11" t="str">
        <x:v>应用与界面兼容</x:v>
      </x:c>
      <x:c r="D229" s="11" t="str">
        <x:v>文件入口</x:v>
      </x:c>
      <x:c r="E229" s="11" t="str">
        <x:v>脚本／文件入口</x:v>
      </x:c>
      <x:c r="F229" s="11" t="str">
        <x:v>待执行</x:v>
      </x:c>
      <x:c r="G229" s="11" t="str">
        <x:v>其他平台／集成；根据 workflow 条件选择</x:v>
      </x:c>
      <x:c r="H229" s="11" t="str">
        <x:v>.github/scripts/hypo/fs_op.py:1</x:v>
      </x:c>
      <x:c r="I229" s="11" t="str">
        <x:v>https://github.com/juicedata/juicefs/blob/30190ca1094d26e85f19a979ca51b0ea19af1eaa/.github/scripts/hypo/fs_op.py#L1</x:v>
      </x:c>
      <x:c r="J229" s="11" t="str">
        <x:v>未提升为 Windows 执行项</x:v>
      </x:c>
      <x:c r="K229" s="11" t="str">
        <x:v>见源文件及 CI 条件</x:v>
      </x:c>
      <x:c r="L229" s="11" t="str">
        <x:v>无可静态枚举的命名测试函数；保留文件范围，不推定已执行；级别为源码目录初分，未执行项目不能计作通过</x:v>
      </x:c>
    </x:row>
    <x:row r="230" ht="42" customHeight="1">
      <x:c r="A230" s="10" t="str">
        <x:v>UP-fba4de9dd856</x:v>
      </x:c>
      <x:c r="B230" s="10" t="str">
        <x:v>L3</x:v>
      </x:c>
      <x:c r="C230" s="10" t="str">
        <x:v>应用与界面兼容</x:v>
      </x:c>
      <x:c r="D230" s="10" t="str">
        <x:v>TestPySdk.test_issue_1331</x:v>
      </x:c>
      <x:c r="E230" s="10" t="str">
        <x:v>Python 测试</x:v>
      </x:c>
      <x:c r="F230" s="10" t="str">
        <x:v>待执行</x:v>
      </x:c>
      <x:c r="G230" s="10" t="str">
        <x:v>其他平台／集成；根据 workflow 条件选择</x:v>
      </x:c>
      <x:c r="H230" s="10" t="str">
        <x:v>.github/scripts/hypo/fs_sdk_test.py:11</x:v>
      </x:c>
      <x:c r="I230" s="10" t="str">
        <x:v>https://github.com/juicedata/juicefs/blob/30190ca1094d26e85f19a979ca51b0ea19af1eaa/.github/scripts/hypo/fs_sdk_test.py#L11</x:v>
      </x:c>
      <x:c r="J230" s="10" t="str">
        <x:v>未提升为 Windows 执行项</x:v>
      </x:c>
      <x:c r="K230" s="10" t="str">
        <x:v>见源文件及 CI 条件</x:v>
      </x:c>
      <x:c r="L230" s="10" t="str">
        <x:v>状态机运行序列按运行参数生成，未在此展开；级别为源码目录初分，未执行项目不能计作通过</x:v>
      </x:c>
    </x:row>
    <x:row r="231" ht="42" customHeight="1">
      <x:c r="A231" s="11" t="str">
        <x:v>UP-aa5c7073cfbc</x:v>
      </x:c>
      <x:c r="B231" s="11" t="str">
        <x:v>L3</x:v>
      </x:c>
      <x:c r="C231" s="11" t="str">
        <x:v>应用与界面兼容</x:v>
      </x:c>
      <x:c r="D231" s="11" t="str">
        <x:v>TestPySdk.test_issue_1339</x:v>
      </x:c>
      <x:c r="E231" s="11" t="str">
        <x:v>Python 测试</x:v>
      </x:c>
      <x:c r="F231" s="11" t="str">
        <x:v>待执行</x:v>
      </x:c>
      <x:c r="G231" s="11" t="str">
        <x:v>其他平台／集成；根据 workflow 条件选择</x:v>
      </x:c>
      <x:c r="H231" s="11" t="str">
        <x:v>.github/scripts/hypo/fs_sdk_test.py:18</x:v>
      </x:c>
      <x:c r="I231" s="11" t="str">
        <x:v>https://github.com/juicedata/juicefs/blob/30190ca1094d26e85f19a979ca51b0ea19af1eaa/.github/scripts/hypo/fs_sdk_test.py#L18</x:v>
      </x:c>
      <x:c r="J231" s="11" t="str">
        <x:v>未提升为 Windows 执行项</x:v>
      </x:c>
      <x:c r="K231" s="11" t="str">
        <x:v>见源文件及 CI 条件</x:v>
      </x:c>
      <x:c r="L231" s="11" t="str">
        <x:v>状态机运行序列按运行参数生成，未在此展开；级别为源码目录初分，未执行项目不能计作通过</x:v>
      </x:c>
    </x:row>
    <x:row r="232" ht="42" customHeight="1">
      <x:c r="A232" s="10" t="str">
        <x:v>UP-efc36b690180</x:v>
      </x:c>
      <x:c r="B232" s="10" t="str">
        <x:v>L3</x:v>
      </x:c>
      <x:c r="C232" s="10" t="str">
        <x:v>应用与界面兼容</x:v>
      </x:c>
      <x:c r="D232" s="10" t="str">
        <x:v>TestPySdk.test_issue_1349</x:v>
      </x:c>
      <x:c r="E232" s="10" t="str">
        <x:v>Python 测试</x:v>
      </x:c>
      <x:c r="F232" s="10" t="str">
        <x:v>待执行</x:v>
      </x:c>
      <x:c r="G232" s="10" t="str">
        <x:v>其他平台／集成；根据 workflow 条件选择</x:v>
      </x:c>
      <x:c r="H232" s="10" t="str">
        <x:v>.github/scripts/hypo/fs_sdk_test.py:27</x:v>
      </x:c>
      <x:c r="I232" s="10" t="str">
        <x:v>https://github.com/juicedata/juicefs/blob/30190ca1094d26e85f19a979ca51b0ea19af1eaa/.github/scripts/hypo/fs_sdk_test.py#L27</x:v>
      </x:c>
      <x:c r="J232" s="10" t="str">
        <x:v>未提升为 Windows 执行项</x:v>
      </x:c>
      <x:c r="K232" s="10" t="str">
        <x:v>见源文件及 CI 条件</x:v>
      </x:c>
      <x:c r="L232" s="10" t="str">
        <x:v>状态机运行序列按运行参数生成，未在此展开；级别为源码目录初分，未执行项目不能计作通过</x:v>
      </x:c>
    </x:row>
    <x:row r="233" ht="42" customHeight="1">
      <x:c r="A233" s="11" t="str">
        <x:v>UP-6d597bcec87b</x:v>
      </x:c>
      <x:c r="B233" s="11" t="str">
        <x:v>L3</x:v>
      </x:c>
      <x:c r="C233" s="11" t="str">
        <x:v>应用与界面兼容</x:v>
      </x:c>
      <x:c r="D233" s="11" t="str">
        <x:v>TestPySdk.test_issue_1359</x:v>
      </x:c>
      <x:c r="E233" s="11" t="str">
        <x:v>Python 测试</x:v>
      </x:c>
      <x:c r="F233" s="11" t="str">
        <x:v>待执行</x:v>
      </x:c>
      <x:c r="G233" s="11" t="str">
        <x:v>其他平台／集成；根据 workflow 条件选择</x:v>
      </x:c>
      <x:c r="H233" s="11" t="str">
        <x:v>.github/scripts/hypo/fs_sdk_test.py:35</x:v>
      </x:c>
      <x:c r="I233" s="11" t="str">
        <x:v>https://github.com/juicedata/juicefs/blob/30190ca1094d26e85f19a979ca51b0ea19af1eaa/.github/scripts/hypo/fs_sdk_test.py#L35</x:v>
      </x:c>
      <x:c r="J233" s="11" t="str">
        <x:v>未提升为 Windows 执行项</x:v>
      </x:c>
      <x:c r="K233" s="11" t="str">
        <x:v>见源文件及 CI 条件</x:v>
      </x:c>
      <x:c r="L233" s="11" t="str">
        <x:v>状态机运行序列按运行参数生成，未在此展开；级别为源码目录初分，未执行项目不能计作通过</x:v>
      </x:c>
    </x:row>
    <x:row r="234" ht="42" customHeight="1">
      <x:c r="A234" s="10" t="str">
        <x:v>UP-689f70c72fd5</x:v>
      </x:c>
      <x:c r="B234" s="10" t="str">
        <x:v>L3</x:v>
      </x:c>
      <x:c r="C234" s="10" t="str">
        <x:v>应用与界面兼容</x:v>
      </x:c>
      <x:c r="D234" s="10" t="str">
        <x:v>TestPySdk.test_issue_1361</x:v>
      </x:c>
      <x:c r="E234" s="10" t="str">
        <x:v>Python 测试</x:v>
      </x:c>
      <x:c r="F234" s="10" t="str">
        <x:v>待执行</x:v>
      </x:c>
      <x:c r="G234" s="10" t="str">
        <x:v>其他平台／集成；根据 workflow 条件选择</x:v>
      </x:c>
      <x:c r="H234" s="10" t="str">
        <x:v>.github/scripts/hypo/fs_sdk_test.py:43</x:v>
      </x:c>
      <x:c r="I234" s="10" t="str">
        <x:v>https://github.com/juicedata/juicefs/blob/30190ca1094d26e85f19a979ca51b0ea19af1eaa/.github/scripts/hypo/fs_sdk_test.py#L43</x:v>
      </x:c>
      <x:c r="J234" s="10" t="str">
        <x:v>未提升为 Windows 执行项</x:v>
      </x:c>
      <x:c r="K234" s="10" t="str">
        <x:v>见源文件及 CI 条件</x:v>
      </x:c>
      <x:c r="L234" s="10" t="str">
        <x:v>状态机运行序列按运行参数生成，未在此展开；级别为源码目录初分，未执行项目不能计作通过</x:v>
      </x:c>
    </x:row>
    <x:row r="235" ht="42" customHeight="1">
      <x:c r="A235" s="11" t="str">
        <x:v>UP-55e6cf7914ad</x:v>
      </x:c>
      <x:c r="B235" s="11" t="str">
        <x:v>L3</x:v>
      </x:c>
      <x:c r="C235" s="11" t="str">
        <x:v>应用与界面兼容</x:v>
      </x:c>
      <x:c r="D235" s="11" t="str">
        <x:v>TestPySdk.test_issue_1362</x:v>
      </x:c>
      <x:c r="E235" s="11" t="str">
        <x:v>Python 测试</x:v>
      </x:c>
      <x:c r="F235" s="11" t="str">
        <x:v>待执行</x:v>
      </x:c>
      <x:c r="G235" s="11" t="str">
        <x:v>其他平台／集成；根据 workflow 条件选择</x:v>
      </x:c>
      <x:c r="H235" s="11" t="str">
        <x:v>.github/scripts/hypo/fs_sdk_test.py:51</x:v>
      </x:c>
      <x:c r="I235" s="11" t="str">
        <x:v>https://github.com/juicedata/juicefs/blob/30190ca1094d26e85f19a979ca51b0ea19af1eaa/.github/scripts/hypo/fs_sdk_test.py#L51</x:v>
      </x:c>
      <x:c r="J235" s="11" t="str">
        <x:v>未提升为 Windows 执行项</x:v>
      </x:c>
      <x:c r="K235" s="11" t="str">
        <x:v>见源文件及 CI 条件</x:v>
      </x:c>
      <x:c r="L235" s="11" t="str">
        <x:v>状态机运行序列按运行参数生成，未在此展开；级别为源码目录初分，未执行项目不能计作通过</x:v>
      </x:c>
    </x:row>
    <x:row r="236" ht="42" customHeight="1">
      <x:c r="A236" s="10" t="str">
        <x:v>UP-b3eeb7a1b5f9</x:v>
      </x:c>
      <x:c r="B236" s="10" t="str">
        <x:v>L3</x:v>
      </x:c>
      <x:c r="C236" s="10" t="str">
        <x:v>应用与界面兼容</x:v>
      </x:c>
      <x:c r="D236" s="10" t="str">
        <x:v>TestPySdk.test_issue_1364</x:v>
      </x:c>
      <x:c r="E236" s="10" t="str">
        <x:v>Python 测试</x:v>
      </x:c>
      <x:c r="F236" s="10" t="str">
        <x:v>待执行</x:v>
      </x:c>
      <x:c r="G236" s="10" t="str">
        <x:v>其他平台／集成；根据 workflow 条件选择</x:v>
      </x:c>
      <x:c r="H236" s="10" t="str">
        <x:v>.github/scripts/hypo/fs_sdk_test.py:59</x:v>
      </x:c>
      <x:c r="I236" s="10" t="str">
        <x:v>https://github.com/juicedata/juicefs/blob/30190ca1094d26e85f19a979ca51b0ea19af1eaa/.github/scripts/hypo/fs_sdk_test.py#L59</x:v>
      </x:c>
      <x:c r="J236" s="10" t="str">
        <x:v>未提升为 Windows 执行项</x:v>
      </x:c>
      <x:c r="K236" s="10" t="str">
        <x:v>见源文件及 CI 条件</x:v>
      </x:c>
      <x:c r="L236" s="10" t="str">
        <x:v>状态机运行序列按运行参数生成，未在此展开；级别为源码目录初分，未执行项目不能计作通过</x:v>
      </x:c>
    </x:row>
    <x:row r="237" ht="42" customHeight="1">
      <x:c r="A237" s="11" t="str">
        <x:v>UP-8836c99d658f</x:v>
      </x:c>
      <x:c r="B237" s="11" t="str">
        <x:v>L3</x:v>
      </x:c>
      <x:c r="C237" s="11" t="str">
        <x:v>应用与界面兼容</x:v>
      </x:c>
      <x:c r="D237" s="11" t="str">
        <x:v>TestPySdk.test_issue_1365</x:v>
      </x:c>
      <x:c r="E237" s="11" t="str">
        <x:v>Python 测试</x:v>
      </x:c>
      <x:c r="F237" s="11" t="str">
        <x:v>待执行</x:v>
      </x:c>
      <x:c r="G237" s="11" t="str">
        <x:v>其他平台／集成；根据 workflow 条件选择</x:v>
      </x:c>
      <x:c r="H237" s="11" t="str">
        <x:v>.github/scripts/hypo/fs_sdk_test.py:67</x:v>
      </x:c>
      <x:c r="I237" s="11" t="str">
        <x:v>https://github.com/juicedata/juicefs/blob/30190ca1094d26e85f19a979ca51b0ea19af1eaa/.github/scripts/hypo/fs_sdk_test.py#L67</x:v>
      </x:c>
      <x:c r="J237" s="11" t="str">
        <x:v>未提升为 Windows 执行项</x:v>
      </x:c>
      <x:c r="K237" s="11" t="str">
        <x:v>见源文件及 CI 条件</x:v>
      </x:c>
      <x:c r="L237" s="11" t="str">
        <x:v>状态机运行序列按运行参数生成，未在此展开；级别为源码目录初分，未执行项目不能计作通过</x:v>
      </x:c>
    </x:row>
    <x:row r="238" ht="42" customHeight="1">
      <x:c r="A238" s="10" t="str">
        <x:v>UP-8f4650f50a67</x:v>
      </x:c>
      <x:c r="B238" s="10" t="str">
        <x:v>L3</x:v>
      </x:c>
      <x:c r="C238" s="10" t="str">
        <x:v>应用与界面兼容</x:v>
      </x:c>
      <x:c r="D238" s="10" t="str">
        <x:v>TestPySdk.test_issue_1369</x:v>
      </x:c>
      <x:c r="E238" s="10" t="str">
        <x:v>Python 测试</x:v>
      </x:c>
      <x:c r="F238" s="10" t="str">
        <x:v>待执行</x:v>
      </x:c>
      <x:c r="G238" s="10" t="str">
        <x:v>其他平台／集成；根据 workflow 条件选择</x:v>
      </x:c>
      <x:c r="H238" s="10" t="str">
        <x:v>.github/scripts/hypo/fs_sdk_test.py:75</x:v>
      </x:c>
      <x:c r="I238" s="10" t="str">
        <x:v>https://github.com/juicedata/juicefs/blob/30190ca1094d26e85f19a979ca51b0ea19af1eaa/.github/scripts/hypo/fs_sdk_test.py#L75</x:v>
      </x:c>
      <x:c r="J238" s="10" t="str">
        <x:v>未提升为 Windows 执行项</x:v>
      </x:c>
      <x:c r="K238" s="10" t="str">
        <x:v>见源文件及 CI 条件</x:v>
      </x:c>
      <x:c r="L238" s="10" t="str">
        <x:v>状态机运行序列按运行参数生成，未在此展开；级别为源码目录初分，未执行项目不能计作通过</x:v>
      </x:c>
    </x:row>
    <x:row r="239" ht="42" customHeight="1">
      <x:c r="A239" s="11" t="str">
        <x:v>UP-a32bc6682a81</x:v>
      </x:c>
      <x:c r="B239" s="11" t="str">
        <x:v>L3</x:v>
      </x:c>
      <x:c r="C239" s="11" t="str">
        <x:v>应用与界面兼容</x:v>
      </x:c>
      <x:c r="D239" s="11" t="str">
        <x:v>TestPySdk.test_issue_1369_2</x:v>
      </x:c>
      <x:c r="E239" s="11" t="str">
        <x:v>Python 测试</x:v>
      </x:c>
      <x:c r="F239" s="11" t="str">
        <x:v>待执行</x:v>
      </x:c>
      <x:c r="G239" s="11" t="str">
        <x:v>其他平台／集成；根据 workflow 条件选择</x:v>
      </x:c>
      <x:c r="H239" s="11" t="str">
        <x:v>.github/scripts/hypo/fs_sdk_test.py:83</x:v>
      </x:c>
      <x:c r="I239" s="11" t="str">
        <x:v>https://github.com/juicedata/juicefs/blob/30190ca1094d26e85f19a979ca51b0ea19af1eaa/.github/scripts/hypo/fs_sdk_test.py#L83</x:v>
      </x:c>
      <x:c r="J239" s="11" t="str">
        <x:v>未提升为 Windows 执行项</x:v>
      </x:c>
      <x:c r="K239" s="11" t="str">
        <x:v>见源文件及 CI 条件</x:v>
      </x:c>
      <x:c r="L239" s="11" t="str">
        <x:v>状态机运行序列按运行参数生成，未在此展开；级别为源码目录初分，未执行项目不能计作通过</x:v>
      </x:c>
    </x:row>
    <x:row r="240" ht="42" customHeight="1">
      <x:c r="A240" s="10" t="str">
        <x:v>UP-3a73198c327f</x:v>
      </x:c>
      <x:c r="B240" s="10" t="str">
        <x:v>L3</x:v>
      </x:c>
      <x:c r="C240" s="10" t="str">
        <x:v>应用与界面兼容</x:v>
      </x:c>
      <x:c r="D240" s="10" t="str">
        <x:v>TestPySdk.test_issue_1369_3</x:v>
      </x:c>
      <x:c r="E240" s="10" t="str">
        <x:v>Python 测试</x:v>
      </x:c>
      <x:c r="F240" s="10" t="str">
        <x:v>待执行</x:v>
      </x:c>
      <x:c r="G240" s="10" t="str">
        <x:v>其他平台／集成；根据 workflow 条件选择</x:v>
      </x:c>
      <x:c r="H240" s="10" t="str">
        <x:v>.github/scripts/hypo/fs_sdk_test.py:91</x:v>
      </x:c>
      <x:c r="I240" s="10" t="str">
        <x:v>https://github.com/juicedata/juicefs/blob/30190ca1094d26e85f19a979ca51b0ea19af1eaa/.github/scripts/hypo/fs_sdk_test.py#L91</x:v>
      </x:c>
      <x:c r="J240" s="10" t="str">
        <x:v>未提升为 Windows 执行项</x:v>
      </x:c>
      <x:c r="K240" s="10" t="str">
        <x:v>见源文件及 CI 条件</x:v>
      </x:c>
      <x:c r="L240" s="10" t="str">
        <x:v>状态机运行序列按运行参数生成，未在此展开；级别为源码目录初分，未执行项目不能计作通过</x:v>
      </x:c>
    </x:row>
    <x:row r="241" ht="42" customHeight="1">
      <x:c r="A241" s="11" t="str">
        <x:v>UP-8bc7041de00f</x:v>
      </x:c>
      <x:c r="B241" s="11" t="str">
        <x:v>L3</x:v>
      </x:c>
      <x:c r="C241" s="11" t="str">
        <x:v>应用与界面兼容</x:v>
      </x:c>
      <x:c r="D241" s="11" t="str">
        <x:v>TestPySdk.test_issue_1419</x:v>
      </x:c>
      <x:c r="E241" s="11" t="str">
        <x:v>Python 测试</x:v>
      </x:c>
      <x:c r="F241" s="11" t="str">
        <x:v>待执行</x:v>
      </x:c>
      <x:c r="G241" s="11" t="str">
        <x:v>其他平台／集成；根据 workflow 条件选择</x:v>
      </x:c>
      <x:c r="H241" s="11" t="str">
        <x:v>.github/scripts/hypo/fs_sdk_test.py:109</x:v>
      </x:c>
      <x:c r="I241" s="11" t="str">
        <x:v>https://github.com/juicedata/juicefs/blob/30190ca1094d26e85f19a979ca51b0ea19af1eaa/.github/scripts/hypo/fs_sdk_test.py#L109</x:v>
      </x:c>
      <x:c r="J241" s="11" t="str">
        <x:v>未提升为 Windows 执行项</x:v>
      </x:c>
      <x:c r="K241" s="11" t="str">
        <x:v>见源文件及 CI 条件</x:v>
      </x:c>
      <x:c r="L241" s="11" t="str">
        <x:v>状态机运行序列按运行参数生成，未在此展开；级别为源码目录初分，未执行项目不能计作通过</x:v>
      </x:c>
    </x:row>
    <x:row r="242" ht="42" customHeight="1">
      <x:c r="A242" s="10" t="str">
        <x:v>UP-d0b8d7f7f6a8</x:v>
      </x:c>
      <x:c r="B242" s="10" t="str">
        <x:v>L3</x:v>
      </x:c>
      <x:c r="C242" s="10" t="str">
        <x:v>应用与界面兼容</x:v>
      </x:c>
      <x:c r="D242" s="10" t="str">
        <x:v>TestPySdk.test_issue_1422</x:v>
      </x:c>
      <x:c r="E242" s="10" t="str">
        <x:v>Python 测试</x:v>
      </x:c>
      <x:c r="F242" s="10" t="str">
        <x:v>待执行</x:v>
      </x:c>
      <x:c r="G242" s="10" t="str">
        <x:v>其他平台／集成；根据 workflow 条件选择</x:v>
      </x:c>
      <x:c r="H242" s="10" t="str">
        <x:v>.github/scripts/hypo/fs_sdk_test.py:118</x:v>
      </x:c>
      <x:c r="I242" s="10" t="str">
        <x:v>https://github.com/juicedata/juicefs/blob/30190ca1094d26e85f19a979ca51b0ea19af1eaa/.github/scripts/hypo/fs_sdk_test.py#L118</x:v>
      </x:c>
      <x:c r="J242" s="10" t="str">
        <x:v>未提升为 Windows 执行项</x:v>
      </x:c>
      <x:c r="K242" s="10" t="str">
        <x:v>见源文件及 CI 条件</x:v>
      </x:c>
      <x:c r="L242" s="10" t="str">
        <x:v>状态机运行序列按运行参数生成，未在此展开；级别为源码目录初分，未执行项目不能计作通过</x:v>
      </x:c>
    </x:row>
    <x:row r="243" ht="42" customHeight="1">
      <x:c r="A243" s="11" t="str">
        <x:v>UP-bf4c46a72c2e</x:v>
      </x:c>
      <x:c r="B243" s="11" t="str">
        <x:v>L3</x:v>
      </x:c>
      <x:c r="C243" s="11" t="str">
        <x:v>应用与界面兼容</x:v>
      </x:c>
      <x:c r="D243" s="11" t="str">
        <x:v>TestPySdk.test_issue_1424</x:v>
      </x:c>
      <x:c r="E243" s="11" t="str">
        <x:v>Python 测试</x:v>
      </x:c>
      <x:c r="F243" s="11" t="str">
        <x:v>待执行</x:v>
      </x:c>
      <x:c r="G243" s="11" t="str">
        <x:v>其他平台／集成；根据 workflow 条件选择</x:v>
      </x:c>
      <x:c r="H243" s="11" t="str">
        <x:v>.github/scripts/hypo/fs_sdk_test.py:127</x:v>
      </x:c>
      <x:c r="I243" s="11" t="str">
        <x:v>https://github.com/juicedata/juicefs/blob/30190ca1094d26e85f19a979ca51b0ea19af1eaa/.github/scripts/hypo/fs_sdk_test.py#L127</x:v>
      </x:c>
      <x:c r="J243" s="11" t="str">
        <x:v>未提升为 Windows 执行项</x:v>
      </x:c>
      <x:c r="K243" s="11" t="str">
        <x:v>见源文件及 CI 条件</x:v>
      </x:c>
      <x:c r="L243" s="11" t="str">
        <x:v>状态机运行序列按运行参数生成，未在此展开；级别为源码目录初分，未执行项目不能计作通过</x:v>
      </x:c>
    </x:row>
    <x:row r="244" ht="42" customHeight="1">
      <x:c r="A244" s="10" t="str">
        <x:v>UP-415b01b45201</x:v>
      </x:c>
      <x:c r="B244" s="10" t="str">
        <x:v>L3</x:v>
      </x:c>
      <x:c r="C244" s="10" t="str">
        <x:v>应用与界面兼容</x:v>
      </x:c>
      <x:c r="D244" s="10" t="str">
        <x:v>TestPySdk.test_issue_1425</x:v>
      </x:c>
      <x:c r="E244" s="10" t="str">
        <x:v>Python 测试</x:v>
      </x:c>
      <x:c r="F244" s="10" t="str">
        <x:v>待执行</x:v>
      </x:c>
      <x:c r="G244" s="10" t="str">
        <x:v>其他平台／集成；根据 workflow 条件选择</x:v>
      </x:c>
      <x:c r="H244" s="10" t="str">
        <x:v>.github/scripts/hypo/fs_sdk_test.py:135</x:v>
      </x:c>
      <x:c r="I244" s="10" t="str">
        <x:v>https://github.com/juicedata/juicefs/blob/30190ca1094d26e85f19a979ca51b0ea19af1eaa/.github/scripts/hypo/fs_sdk_test.py#L135</x:v>
      </x:c>
      <x:c r="J244" s="10" t="str">
        <x:v>未提升为 Windows 执行项</x:v>
      </x:c>
      <x:c r="K244" s="10" t="str">
        <x:v>见源文件及 CI 条件</x:v>
      </x:c>
      <x:c r="L244" s="10" t="str">
        <x:v>状态机运行序列按运行参数生成，未在此展开；级别为源码目录初分，未执行项目不能计作通过</x:v>
      </x:c>
    </x:row>
    <x:row r="245" ht="42" customHeight="1">
      <x:c r="A245" s="11" t="str">
        <x:v>UP-d2eb0de50394</x:v>
      </x:c>
      <x:c r="B245" s="11" t="str">
        <x:v>L3</x:v>
      </x:c>
      <x:c r="C245" s="11" t="str">
        <x:v>应用与界面兼容</x:v>
      </x:c>
      <x:c r="D245" s="11" t="str">
        <x:v>TestPySdk.test_issue_1442</x:v>
      </x:c>
      <x:c r="E245" s="11" t="str">
        <x:v>Python 测试</x:v>
      </x:c>
      <x:c r="F245" s="11" t="str">
        <x:v>待执行</x:v>
      </x:c>
      <x:c r="G245" s="11" t="str">
        <x:v>其他平台／集成；根据 workflow 条件选择</x:v>
      </x:c>
      <x:c r="H245" s="11" t="str">
        <x:v>.github/scripts/hypo/fs_sdk_test.py:144</x:v>
      </x:c>
      <x:c r="I245" s="11" t="str">
        <x:v>https://github.com/juicedata/juicefs/blob/30190ca1094d26e85f19a979ca51b0ea19af1eaa/.github/scripts/hypo/fs_sdk_test.py#L144</x:v>
      </x:c>
      <x:c r="J245" s="11" t="str">
        <x:v>未提升为 Windows 执行项</x:v>
      </x:c>
      <x:c r="K245" s="11" t="str">
        <x:v>见源文件及 CI 条件</x:v>
      </x:c>
      <x:c r="L245" s="11" t="str">
        <x:v>状态机运行序列按运行参数生成，未在此展开；级别为源码目录初分，未执行项目不能计作通过</x:v>
      </x:c>
    </x:row>
    <x:row r="246" ht="42" customHeight="1">
      <x:c r="A246" s="10" t="str">
        <x:v>UP-59f8184fa1c8</x:v>
      </x:c>
      <x:c r="B246" s="10" t="str">
        <x:v>L3</x:v>
      </x:c>
      <x:c r="C246" s="10" t="str">
        <x:v>应用与界面兼容</x:v>
      </x:c>
      <x:c r="D246" s="10" t="str">
        <x:v>TestPySdk.test_issue_1443</x:v>
      </x:c>
      <x:c r="E246" s="10" t="str">
        <x:v>Python 测试</x:v>
      </x:c>
      <x:c r="F246" s="10" t="str">
        <x:v>待执行</x:v>
      </x:c>
      <x:c r="G246" s="10" t="str">
        <x:v>其他平台／集成；根据 workflow 条件选择</x:v>
      </x:c>
      <x:c r="H246" s="10" t="str">
        <x:v>.github/scripts/hypo/fs_sdk_test.py:152</x:v>
      </x:c>
      <x:c r="I246" s="10" t="str">
        <x:v>https://github.com/juicedata/juicefs/blob/30190ca1094d26e85f19a979ca51b0ea19af1eaa/.github/scripts/hypo/fs_sdk_test.py#L152</x:v>
      </x:c>
      <x:c r="J246" s="10" t="str">
        <x:v>未提升为 Windows 执行项</x:v>
      </x:c>
      <x:c r="K246" s="10" t="str">
        <x:v>见源文件及 CI 条件</x:v>
      </x:c>
      <x:c r="L246" s="10" t="str">
        <x:v>状态机运行序列按运行参数生成，未在此展开；级别为源码目录初分，未执行项目不能计作通过</x:v>
      </x:c>
    </x:row>
    <x:row r="247" ht="42" customHeight="1">
      <x:c r="A247" s="11" t="str">
        <x:v>UP-c1be77247ecd</x:v>
      </x:c>
      <x:c r="B247" s="11" t="str">
        <x:v>L3</x:v>
      </x:c>
      <x:c r="C247" s="11" t="str">
        <x:v>应用与界面兼容</x:v>
      </x:c>
      <x:c r="D247" s="11" t="str">
        <x:v>TestPySdk.test_issue_1449</x:v>
      </x:c>
      <x:c r="E247" s="11" t="str">
        <x:v>Python 测试</x:v>
      </x:c>
      <x:c r="F247" s="11" t="str">
        <x:v>待执行</x:v>
      </x:c>
      <x:c r="G247" s="11" t="str">
        <x:v>其他平台／集成；根据 workflow 条件选择</x:v>
      </x:c>
      <x:c r="H247" s="11" t="str">
        <x:v>.github/scripts/hypo/fs_sdk_test.py:161</x:v>
      </x:c>
      <x:c r="I247" s="11" t="str">
        <x:v>https://github.com/juicedata/juicefs/blob/30190ca1094d26e85f19a979ca51b0ea19af1eaa/.github/scripts/hypo/fs_sdk_test.py#L161</x:v>
      </x:c>
      <x:c r="J247" s="11" t="str">
        <x:v>未提升为 Windows 执行项</x:v>
      </x:c>
      <x:c r="K247" s="11" t="str">
        <x:v>见源文件及 CI 条件</x:v>
      </x:c>
      <x:c r="L247" s="11" t="str">
        <x:v>状态机运行序列按运行参数生成，未在此展开；级别为源码目录初分，未执行项目不能计作通过</x:v>
      </x:c>
    </x:row>
    <x:row r="248" ht="42" customHeight="1">
      <x:c r="A248" s="10" t="str">
        <x:v>UP-4a725ba9b9d8</x:v>
      </x:c>
      <x:c r="B248" s="10" t="str">
        <x:v>L3</x:v>
      </x:c>
      <x:c r="C248" s="10" t="str">
        <x:v>应用与界面兼容</x:v>
      </x:c>
      <x:c r="D248" s="10" t="str">
        <x:v>TestPySdk.test_issue_1450</x:v>
      </x:c>
      <x:c r="E248" s="10" t="str">
        <x:v>Python 测试</x:v>
      </x:c>
      <x:c r="F248" s="10" t="str">
        <x:v>待执行</x:v>
      </x:c>
      <x:c r="G248" s="10" t="str">
        <x:v>其他平台／集成；根据 workflow 条件选择</x:v>
      </x:c>
      <x:c r="H248" s="10" t="str">
        <x:v>.github/scripts/hypo/fs_sdk_test.py:170</x:v>
      </x:c>
      <x:c r="I248" s="10" t="str">
        <x:v>https://github.com/juicedata/juicefs/blob/30190ca1094d26e85f19a979ca51b0ea19af1eaa/.github/scripts/hypo/fs_sdk_test.py#L170</x:v>
      </x:c>
      <x:c r="J248" s="10" t="str">
        <x:v>未提升为 Windows 执行项</x:v>
      </x:c>
      <x:c r="K248" s="10" t="str">
        <x:v>见源文件及 CI 条件</x:v>
      </x:c>
      <x:c r="L248" s="10" t="str">
        <x:v>状态机运行序列按运行参数生成，未在此展开；级别为源码目录初分，未执行项目不能计作通过</x:v>
      </x:c>
    </x:row>
    <x:row r="249" ht="42" customHeight="1">
      <x:c r="A249" s="11" t="str">
        <x:v>UP-66ab120937cc</x:v>
      </x:c>
      <x:c r="B249" s="11" t="str">
        <x:v>L3</x:v>
      </x:c>
      <x:c r="C249" s="11" t="str">
        <x:v>应用与界面兼容</x:v>
      </x:c>
      <x:c r="D249" s="11" t="str">
        <x:v>TestPySdk.test_issue_1457</x:v>
      </x:c>
      <x:c r="E249" s="11" t="str">
        <x:v>Python 测试</x:v>
      </x:c>
      <x:c r="F249" s="11" t="str">
        <x:v>待执行</x:v>
      </x:c>
      <x:c r="G249" s="11" t="str">
        <x:v>其他平台／集成；根据 workflow 条件选择</x:v>
      </x:c>
      <x:c r="H249" s="11" t="str">
        <x:v>.github/scripts/hypo/fs_sdk_test.py:186</x:v>
      </x:c>
      <x:c r="I249" s="11" t="str">
        <x:v>https://github.com/juicedata/juicefs/blob/30190ca1094d26e85f19a979ca51b0ea19af1eaa/.github/scripts/hypo/fs_sdk_test.py#L186</x:v>
      </x:c>
      <x:c r="J249" s="11" t="str">
        <x:v>未提升为 Windows 执行项</x:v>
      </x:c>
      <x:c r="K249" s="11" t="str">
        <x:v>见源文件及 CI 条件</x:v>
      </x:c>
      <x:c r="L249" s="11" t="str">
        <x:v>状态机运行序列按运行参数生成，未在此展开；级别为源码目录初分，未执行项目不能计作通过</x:v>
      </x:c>
    </x:row>
    <x:row r="250" ht="42" customHeight="1">
      <x:c r="A250" s="10" t="str">
        <x:v>UP-fb9be4ff2317</x:v>
      </x:c>
      <x:c r="B250" s="10" t="str">
        <x:v>L3</x:v>
      </x:c>
      <x:c r="C250" s="10" t="str">
        <x:v>应用与界面兼容</x:v>
      </x:c>
      <x:c r="D250" s="10" t="str">
        <x:v>TestPySdk.test_issue_1481</x:v>
      </x:c>
      <x:c r="E250" s="10" t="str">
        <x:v>Python 测试</x:v>
      </x:c>
      <x:c r="F250" s="10" t="str">
        <x:v>待执行</x:v>
      </x:c>
      <x:c r="G250" s="10" t="str">
        <x:v>其他平台／集成；根据 workflow 条件选择</x:v>
      </x:c>
      <x:c r="H250" s="10" t="str">
        <x:v>.github/scripts/hypo/fs_sdk_test.py:201</x:v>
      </x:c>
      <x:c r="I250" s="10" t="str">
        <x:v>https://github.com/juicedata/juicefs/blob/30190ca1094d26e85f19a979ca51b0ea19af1eaa/.github/scripts/hypo/fs_sdk_test.py#L201</x:v>
      </x:c>
      <x:c r="J250" s="10" t="str">
        <x:v>未提升为 Windows 执行项</x:v>
      </x:c>
      <x:c r="K250" s="10" t="str">
        <x:v>见源文件及 CI 条件</x:v>
      </x:c>
      <x:c r="L250" s="10" t="str">
        <x:v>状态机运行序列按运行参数生成，未在此展开；级别为源码目录初分，未执行项目不能计作通过</x:v>
      </x:c>
    </x:row>
    <x:row r="251" ht="42" customHeight="1">
      <x:c r="A251" s="11" t="str">
        <x:v>UP-cc7378757e78</x:v>
      </x:c>
      <x:c r="B251" s="11" t="str">
        <x:v>L3</x:v>
      </x:c>
      <x:c r="C251" s="11" t="str">
        <x:v>应用与界面兼容</x:v>
      </x:c>
      <x:c r="D251" s="11" t="str">
        <x:v>TestPySdk.test_issue_x</x:v>
      </x:c>
      <x:c r="E251" s="11" t="str">
        <x:v>Python 测试</x:v>
      </x:c>
      <x:c r="F251" s="11" t="str">
        <x:v>待执行</x:v>
      </x:c>
      <x:c r="G251" s="11" t="str">
        <x:v>其他平台／集成；根据 workflow 条件选择</x:v>
      </x:c>
      <x:c r="H251" s="11" t="str">
        <x:v>.github/scripts/hypo/fs_sdk_test.py:209</x:v>
      </x:c>
      <x:c r="I251" s="11" t="str">
        <x:v>https://github.com/juicedata/juicefs/blob/30190ca1094d26e85f19a979ca51b0ea19af1eaa/.github/scripts/hypo/fs_sdk_test.py#L209</x:v>
      </x:c>
      <x:c r="J251" s="11" t="str">
        <x:v>未提升为 Windows 执行项</x:v>
      </x:c>
      <x:c r="K251" s="11" t="str">
        <x:v>见源文件及 CI 条件</x:v>
      </x:c>
      <x:c r="L251" s="11" t="str">
        <x:v>状态机运行序列按运行参数生成，未在此展开；级别为源码目录初分，未执行项目不能计作通过</x:v>
      </x:c>
    </x:row>
    <x:row r="252" ht="42" customHeight="1">
      <x:c r="A252" s="10" t="str">
        <x:v>UP-080571319c1c</x:v>
      </x:c>
      <x:c r="B252" s="10" t="str">
        <x:v>L3</x:v>
      </x:c>
      <x:c r="C252" s="10" t="str">
        <x:v>应用与界面兼容</x:v>
      </x:c>
      <x:c r="D252" s="10" t="str">
        <x:v>TestPySdk.test_issue_y</x:v>
      </x:c>
      <x:c r="E252" s="10" t="str">
        <x:v>Python 测试</x:v>
      </x:c>
      <x:c r="F252" s="10" t="str">
        <x:v>待执行</x:v>
      </x:c>
      <x:c r="G252" s="10" t="str">
        <x:v>其他平台／集成；根据 workflow 条件选择</x:v>
      </x:c>
      <x:c r="H252" s="10" t="str">
        <x:v>.github/scripts/hypo/fs_sdk_test.py:218</x:v>
      </x:c>
      <x:c r="I252" s="10" t="str">
        <x:v>https://github.com/juicedata/juicefs/blob/30190ca1094d26e85f19a979ca51b0ea19af1eaa/.github/scripts/hypo/fs_sdk_test.py#L218</x:v>
      </x:c>
      <x:c r="J252" s="10" t="str">
        <x:v>未提升为 Windows 执行项</x:v>
      </x:c>
      <x:c r="K252" s="10" t="str">
        <x:v>见源文件及 CI 条件</x:v>
      </x:c>
      <x:c r="L252" s="10" t="str">
        <x:v>状态机运行序列按运行参数生成，未在此展开；级别为源码目录初分，未执行项目不能计作通过</x:v>
      </x:c>
    </x:row>
    <x:row r="253" ht="42" customHeight="1">
      <x:c r="A253" s="11" t="str">
        <x:v>UP-39da0f58f6ab</x:v>
      </x:c>
      <x:c r="B253" s="11" t="str">
        <x:v>L3</x:v>
      </x:c>
      <x:c r="C253" s="11" t="str">
        <x:v>应用与界面兼容</x:v>
      </x:c>
      <x:c r="D253" s="11" t="str">
        <x:v>TestPySdk.test_issue_z</x:v>
      </x:c>
      <x:c r="E253" s="11" t="str">
        <x:v>Python 测试</x:v>
      </x:c>
      <x:c r="F253" s="11" t="str">
        <x:v>待执行</x:v>
      </x:c>
      <x:c r="G253" s="11" t="str">
        <x:v>其他平台／集成；根据 workflow 条件选择</x:v>
      </x:c>
      <x:c r="H253" s="11" t="str">
        <x:v>.github/scripts/hypo/fs_sdk_test.py:225</x:v>
      </x:c>
      <x:c r="I253" s="11" t="str">
        <x:v>https://github.com/juicedata/juicefs/blob/30190ca1094d26e85f19a979ca51b0ea19af1eaa/.github/scripts/hypo/fs_sdk_test.py#L225</x:v>
      </x:c>
      <x:c r="J253" s="11" t="str">
        <x:v>未提升为 Windows 执行项</x:v>
      </x:c>
      <x:c r="K253" s="11" t="str">
        <x:v>见源文件及 CI 条件</x:v>
      </x:c>
      <x:c r="L253" s="11" t="str">
        <x:v>状态机运行序列按运行参数生成，未在此展开；级别为源码目录初分，未执行项目不能计作通过</x:v>
      </x:c>
    </x:row>
    <x:row r="254" ht="42" customHeight="1">
      <x:c r="A254" s="10" t="str">
        <x:v>UP-4dd503512bb2</x:v>
      </x:c>
      <x:c r="B254" s="10" t="str">
        <x:v>L3</x:v>
      </x:c>
      <x:c r="C254" s="10" t="str">
        <x:v>应用与界面兼容</x:v>
      </x:c>
      <x:c r="D254" s="10" t="str">
        <x:v>TestPySdk.test_issue_a</x:v>
      </x:c>
      <x:c r="E254" s="10" t="str">
        <x:v>Python 测试</x:v>
      </x:c>
      <x:c r="F254" s="10" t="str">
        <x:v>待执行</x:v>
      </x:c>
      <x:c r="G254" s="10" t="str">
        <x:v>其他平台／集成；根据 workflow 条件选择</x:v>
      </x:c>
      <x:c r="H254" s="10" t="str">
        <x:v>.github/scripts/hypo/fs_sdk_test.py:233</x:v>
      </x:c>
      <x:c r="I254" s="10" t="str">
        <x:v>https://github.com/juicedata/juicefs/blob/30190ca1094d26e85f19a979ca51b0ea19af1eaa/.github/scripts/hypo/fs_sdk_test.py#L233</x:v>
      </x:c>
      <x:c r="J254" s="10" t="str">
        <x:v>未提升为 Windows 执行项</x:v>
      </x:c>
      <x:c r="K254" s="10" t="str">
        <x:v>见源文件及 CI 条件</x:v>
      </x:c>
      <x:c r="L254" s="10" t="str">
        <x:v>状态机运行序列按运行参数生成，未在此展开；级别为源码目录初分，未执行项目不能计作通过</x:v>
      </x:c>
    </x:row>
    <x:row r="255" ht="42" customHeight="1">
      <x:c r="A255" s="11" t="str">
        <x:v>UP-0df54bcfa0a7</x:v>
      </x:c>
      <x:c r="B255" s="11" t="str">
        <x:v>L3</x:v>
      </x:c>
      <x:c r="C255" s="11" t="str">
        <x:v>应用与界面兼容</x:v>
      </x:c>
      <x:c r="D255" s="11" t="str">
        <x:v>TestPySdk.test_issue_b</x:v>
      </x:c>
      <x:c r="E255" s="11" t="str">
        <x:v>Python 测试</x:v>
      </x:c>
      <x:c r="F255" s="11" t="str">
        <x:v>待执行</x:v>
      </x:c>
      <x:c r="G255" s="11" t="str">
        <x:v>其他平台／集成；根据 workflow 条件选择</x:v>
      </x:c>
      <x:c r="H255" s="11" t="str">
        <x:v>.github/scripts/hypo/fs_sdk_test.py:240</x:v>
      </x:c>
      <x:c r="I255" s="11" t="str">
        <x:v>https://github.com/juicedata/juicefs/blob/30190ca1094d26e85f19a979ca51b0ea19af1eaa/.github/scripts/hypo/fs_sdk_test.py#L240</x:v>
      </x:c>
      <x:c r="J255" s="11" t="str">
        <x:v>未提升为 Windows 执行项</x:v>
      </x:c>
      <x:c r="K255" s="11" t="str">
        <x:v>见源文件及 CI 条件</x:v>
      </x:c>
      <x:c r="L255" s="11" t="str">
        <x:v>状态机运行序列按运行参数生成，未在此展开；级别为源码目录初分，未执行项目不能计作通过</x:v>
      </x:c>
    </x:row>
    <x:row r="256" ht="42" customHeight="1">
      <x:c r="A256" s="10" t="str">
        <x:v>UP-b0a3979570dd</x:v>
      </x:c>
      <x:c r="B256" s="10" t="str">
        <x:v>L3</x:v>
      </x:c>
      <x:c r="C256" s="10" t="str">
        <x:v>应用与界面兼容</x:v>
      </x:c>
      <x:c r="D256" s="10" t="str">
        <x:v>TestPySdk.test_issue_c</x:v>
      </x:c>
      <x:c r="E256" s="10" t="str">
        <x:v>Python 测试</x:v>
      </x:c>
      <x:c r="F256" s="10" t="str">
        <x:v>待执行</x:v>
      </x:c>
      <x:c r="G256" s="10" t="str">
        <x:v>其他平台／集成；根据 workflow 条件选择</x:v>
      </x:c>
      <x:c r="H256" s="10" t="str">
        <x:v>.github/scripts/hypo/fs_sdk_test.py:247</x:v>
      </x:c>
      <x:c r="I256" s="10" t="str">
        <x:v>https://github.com/juicedata/juicefs/blob/30190ca1094d26e85f19a979ca51b0ea19af1eaa/.github/scripts/hypo/fs_sdk_test.py#L247</x:v>
      </x:c>
      <x:c r="J256" s="10" t="str">
        <x:v>未提升为 Windows 执行项</x:v>
      </x:c>
      <x:c r="K256" s="10" t="str">
        <x:v>见源文件及 CI 条件</x:v>
      </x:c>
      <x:c r="L256" s="10" t="str">
        <x:v>状态机运行序列按运行参数生成，未在此展开；级别为源码目录初分，未执行项目不能计作通过</x:v>
      </x:c>
    </x:row>
    <x:row r="257" ht="42" customHeight="1">
      <x:c r="A257" s="11" t="str">
        <x:v>UP-0d5bf7e11952</x:v>
      </x:c>
      <x:c r="B257" s="11" t="str">
        <x:v>L3</x:v>
      </x:c>
      <x:c r="C257" s="11" t="str">
        <x:v>应用与界面兼容</x:v>
      </x:c>
      <x:c r="D257" s="11" t="str">
        <x:v>TestPySdk.test_issue_d</x:v>
      </x:c>
      <x:c r="E257" s="11" t="str">
        <x:v>Python 测试</x:v>
      </x:c>
      <x:c r="F257" s="11" t="str">
        <x:v>待执行</x:v>
      </x:c>
      <x:c r="G257" s="11" t="str">
        <x:v>其他平台／集成；根据 workflow 条件选择</x:v>
      </x:c>
      <x:c r="H257" s="11" t="str">
        <x:v>.github/scripts/hypo/fs_sdk_test.py:253</x:v>
      </x:c>
      <x:c r="I257" s="11" t="str">
        <x:v>https://github.com/juicedata/juicefs/blob/30190ca1094d26e85f19a979ca51b0ea19af1eaa/.github/scripts/hypo/fs_sdk_test.py#L253</x:v>
      </x:c>
      <x:c r="J257" s="11" t="str">
        <x:v>未提升为 Windows 执行项</x:v>
      </x:c>
      <x:c r="K257" s="11" t="str">
        <x:v>见源文件及 CI 条件</x:v>
      </x:c>
      <x:c r="L257" s="11" t="str">
        <x:v>状态机运行序列按运行参数生成，未在此展开；级别为源码目录初分，未执行项目不能计作通过</x:v>
      </x:c>
    </x:row>
    <x:row r="258" ht="42" customHeight="1">
      <x:c r="A258" s="10" t="str">
        <x:v>UP-85402b4ee70d</x:v>
      </x:c>
      <x:c r="B258" s="10" t="str">
        <x:v>L3</x:v>
      </x:c>
      <x:c r="C258" s="10" t="str">
        <x:v>应用与界面兼容</x:v>
      </x:c>
      <x:c r="D258" s="10" t="str">
        <x:v>TestPySdk.test_issue_e</x:v>
      </x:c>
      <x:c r="E258" s="10" t="str">
        <x:v>Python 测试</x:v>
      </x:c>
      <x:c r="F258" s="10" t="str">
        <x:v>待执行</x:v>
      </x:c>
      <x:c r="G258" s="10" t="str">
        <x:v>其他平台／集成；根据 workflow 条件选择</x:v>
      </x:c>
      <x:c r="H258" s="10" t="str">
        <x:v>.github/scripts/hypo/fs_sdk_test.py:265</x:v>
      </x:c>
      <x:c r="I258" s="10" t="str">
        <x:v>https://github.com/juicedata/juicefs/blob/30190ca1094d26e85f19a979ca51b0ea19af1eaa/.github/scripts/hypo/fs_sdk_test.py#L265</x:v>
      </x:c>
      <x:c r="J258" s="10" t="str">
        <x:v>未提升为 Windows 执行项</x:v>
      </x:c>
      <x:c r="K258" s="10" t="str">
        <x:v>见源文件及 CI 条件</x:v>
      </x:c>
      <x:c r="L258" s="10" t="str">
        <x:v>状态机运行序列按运行参数生成，未在此展开；级别为源码目录初分，未执行项目不能计作通过</x:v>
      </x:c>
    </x:row>
    <x:row r="259" ht="42" customHeight="1">
      <x:c r="A259" s="11" t="str">
        <x:v>UP-4ec4699538c4</x:v>
      </x:c>
      <x:c r="B259" s="11" t="str">
        <x:v>L3</x:v>
      </x:c>
      <x:c r="C259" s="11" t="str">
        <x:v>应用与界面兼容</x:v>
      </x:c>
      <x:c r="D259" s="11" t="str">
        <x:v>TestPySdk.test_issue_f</x:v>
      </x:c>
      <x:c r="E259" s="11" t="str">
        <x:v>Python 测试</x:v>
      </x:c>
      <x:c r="F259" s="11" t="str">
        <x:v>待执行</x:v>
      </x:c>
      <x:c r="G259" s="11" t="str">
        <x:v>其他平台／集成；根据 workflow 条件选择</x:v>
      </x:c>
      <x:c r="H259" s="11" t="str">
        <x:v>.github/scripts/hypo/fs_sdk_test.py:272</x:v>
      </x:c>
      <x:c r="I259" s="11" t="str">
        <x:v>https://github.com/juicedata/juicefs/blob/30190ca1094d26e85f19a979ca51b0ea19af1eaa/.github/scripts/hypo/fs_sdk_test.py#L272</x:v>
      </x:c>
      <x:c r="J259" s="11" t="str">
        <x:v>未提升为 Windows 执行项</x:v>
      </x:c>
      <x:c r="K259" s="11" t="str">
        <x:v>见源文件及 CI 条件</x:v>
      </x:c>
      <x:c r="L259" s="11" t="str">
        <x:v>状态机运行序列按运行参数生成，未在此展开；级别为源码目录初分，未执行项目不能计作通过</x:v>
      </x:c>
    </x:row>
    <x:row r="260" ht="42" customHeight="1">
      <x:c r="A260" s="10" t="str">
        <x:v>UP-5a46661598f4</x:v>
      </x:c>
      <x:c r="B260" s="10" t="str">
        <x:v>L2</x:v>
      </x:c>
      <x:c r="C260" s="10" t="str">
        <x:v>命名与目录</x:v>
      </x:c>
      <x:c r="D260" s="10" t="str">
        <x:v>TestPySdk.test_rename_invalid_arg</x:v>
      </x:c>
      <x:c r="E260" s="10" t="str">
        <x:v>Python 测试</x:v>
      </x:c>
      <x:c r="F260" s="10" t="str">
        <x:v>待执行</x:v>
      </x:c>
      <x:c r="G260" s="10" t="str">
        <x:v>其他平台／集成；根据 workflow 条件选择</x:v>
      </x:c>
      <x:c r="H260" s="10" t="str">
        <x:v>.github/scripts/hypo/fs_sdk_test.py:280</x:v>
      </x:c>
      <x:c r="I260" s="10" t="str">
        <x:v>https://github.com/juicedata/juicefs/blob/30190ca1094d26e85f19a979ca51b0ea19af1eaa/.github/scripts/hypo/fs_sdk_test.py#L280</x:v>
      </x:c>
      <x:c r="J260" s="10" t="str">
        <x:v>未提升为 Windows 执行项</x:v>
      </x:c>
      <x:c r="K260" s="10" t="str">
        <x:v>见源文件及 CI 条件</x:v>
      </x:c>
      <x:c r="L260" s="10" t="str">
        <x:v>状态机运行序列按运行参数生成，未在此展开；级别为源码目录初分，未执行项目不能计作通过</x:v>
      </x:c>
    </x:row>
    <x:row r="261" ht="42" customHeight="1">
      <x:c r="A261" s="11" t="str">
        <x:v>UP-7b08975942a5</x:v>
      </x:c>
      <x:c r="B261" s="11" t="str">
        <x:v>L2</x:v>
      </x:c>
      <x:c r="C261" s="11" t="str">
        <x:v>命名与目录</x:v>
      </x:c>
      <x:c r="D261" s="11" t="str">
        <x:v>TestPySdk.test_rename_to_dir_not_exist</x:v>
      </x:c>
      <x:c r="E261" s="11" t="str">
        <x:v>Python 测试</x:v>
      </x:c>
      <x:c r="F261" s="11" t="str">
        <x:v>待执行</x:v>
      </x:c>
      <x:c r="G261" s="11" t="str">
        <x:v>其他平台／集成；根据 workflow 条件选择</x:v>
      </x:c>
      <x:c r="H261" s="11" t="str">
        <x:v>.github/scripts/hypo/fs_sdk_test.py:292</x:v>
      </x:c>
      <x:c r="I261" s="11" t="str">
        <x:v>https://github.com/juicedata/juicefs/blob/30190ca1094d26e85f19a979ca51b0ea19af1eaa/.github/scripts/hypo/fs_sdk_test.py#L292</x:v>
      </x:c>
      <x:c r="J261" s="11" t="str">
        <x:v>未提升为 Windows 执行项</x:v>
      </x:c>
      <x:c r="K261" s="11" t="str">
        <x:v>见源文件及 CI 条件</x:v>
      </x:c>
      <x:c r="L261" s="11" t="str">
        <x:v>状态机运行序列按运行参数生成，未在此展开；级别为源码目录初分，未执行项目不能计作通过</x:v>
      </x:c>
    </x:row>
    <x:row r="262" ht="42" customHeight="1">
      <x:c r="A262" s="10" t="str">
        <x:v>UP-c2822e26b7ed</x:v>
      </x:c>
      <x:c r="B262" s="10" t="str">
        <x:v>L2</x:v>
      </x:c>
      <x:c r="C262" s="10" t="str">
        <x:v>命名与目录</x:v>
      </x:c>
      <x:c r="D262" s="10" t="str">
        <x:v>TestPySdk.test_rmdir_check_exist</x:v>
      </x:c>
      <x:c r="E262" s="10" t="str">
        <x:v>Python 测试</x:v>
      </x:c>
      <x:c r="F262" s="10" t="str">
        <x:v>待执行</x:v>
      </x:c>
      <x:c r="G262" s="10" t="str">
        <x:v>其他平台／集成；根据 workflow 条件选择</x:v>
      </x:c>
      <x:c r="H262" s="10" t="str">
        <x:v>.github/scripts/hypo/fs_sdk_test.py:300</x:v>
      </x:c>
      <x:c r="I262" s="10" t="str">
        <x:v>https://github.com/juicedata/juicefs/blob/30190ca1094d26e85f19a979ca51b0ea19af1eaa/.github/scripts/hypo/fs_sdk_test.py#L300</x:v>
      </x:c>
      <x:c r="J262" s="10" t="str">
        <x:v>未提升为 Windows 执行项</x:v>
      </x:c>
      <x:c r="K262" s="10" t="str">
        <x:v>见源文件及 CI 条件</x:v>
      </x:c>
      <x:c r="L262" s="10" t="str">
        <x:v>状态机运行序列按运行参数生成，未在此展开；级别为源码目录初分，未执行项目不能计作通过</x:v>
      </x:c>
    </x:row>
    <x:row r="263" ht="42" customHeight="1">
      <x:c r="A263" s="11" t="str">
        <x:v>UP-eeb7f31c1f93</x:v>
      </x:c>
      <x:c r="B263" s="11" t="str">
        <x:v>L1</x:v>
      </x:c>
      <x:c r="C263" s="11" t="str">
        <x:v>刷新与一致性</x:v>
      </x:c>
      <x:c r="D263" s="11" t="str">
        <x:v>TestPySdk.test_truncate</x:v>
      </x:c>
      <x:c r="E263" s="11" t="str">
        <x:v>Python 测试</x:v>
      </x:c>
      <x:c r="F263" s="11" t="str">
        <x:v>待执行</x:v>
      </x:c>
      <x:c r="G263" s="11" t="str">
        <x:v>其他平台／集成；根据 workflow 条件选择</x:v>
      </x:c>
      <x:c r="H263" s="11" t="str">
        <x:v>.github/scripts/hypo/fs_sdk_test.py:309</x:v>
      </x:c>
      <x:c r="I263" s="11" t="str">
        <x:v>https://github.com/juicedata/juicefs/blob/30190ca1094d26e85f19a979ca51b0ea19af1eaa/.github/scripts/hypo/fs_sdk_test.py#L309</x:v>
      </x:c>
      <x:c r="J263" s="11" t="str">
        <x:v>未提升为 Windows 执行项</x:v>
      </x:c>
      <x:c r="K263" s="11" t="str">
        <x:v>见源文件及 CI 条件</x:v>
      </x:c>
      <x:c r="L263" s="11" t="str">
        <x:v>状态机运行序列按运行参数生成，未在此展开；级别为源码目录初分，未执行项目不能计作通过</x:v>
      </x:c>
    </x:row>
    <x:row r="264" ht="42" customHeight="1">
      <x:c r="A264" s="10" t="str">
        <x:v>UP-1c443bec9aa1</x:v>
      </x:c>
      <x:c r="B264" s="10" t="str">
        <x:v>L3</x:v>
      </x:c>
      <x:c r="C264" s="10" t="str">
        <x:v>应用与界面兼容</x:v>
      </x:c>
      <x:c r="D264" s="10" t="str">
        <x:v>TestPySdk.test_unlink</x:v>
      </x:c>
      <x:c r="E264" s="10" t="str">
        <x:v>Python 测试</x:v>
      </x:c>
      <x:c r="F264" s="10" t="str">
        <x:v>待执行</x:v>
      </x:c>
      <x:c r="G264" s="10" t="str">
        <x:v>其他平台／集成；根据 workflow 条件选择</x:v>
      </x:c>
      <x:c r="H264" s="10" t="str">
        <x:v>.github/scripts/hypo/fs_sdk_test.py:320</x:v>
      </x:c>
      <x:c r="I264" s="10" t="str">
        <x:v>https://github.com/juicedata/juicefs/blob/30190ca1094d26e85f19a979ca51b0ea19af1eaa/.github/scripts/hypo/fs_sdk_test.py#L320</x:v>
      </x:c>
      <x:c r="J264" s="10" t="str">
        <x:v>未提升为 Windows 执行项</x:v>
      </x:c>
      <x:c r="K264" s="10" t="str">
        <x:v>见源文件及 CI 条件</x:v>
      </x:c>
      <x:c r="L264" s="10" t="str">
        <x:v>状态机运行序列按运行参数生成，未在此展开；级别为源码目录初分，未执行项目不能计作通过</x:v>
      </x:c>
    </x:row>
    <x:row r="265" ht="42" customHeight="1">
      <x:c r="A265" s="11" t="str">
        <x:v>UP-d07d963a334b</x:v>
      </x:c>
      <x:c r="B265" s="11" t="str">
        <x:v>L1</x:v>
      </x:c>
      <x:c r="C265" s="11" t="str">
        <x:v>文件读写与完整性</x:v>
      </x:c>
      <x:c r="D265" s="11" t="str">
        <x:v>TestPySdk.test_read_utf8</x:v>
      </x:c>
      <x:c r="E265" s="11" t="str">
        <x:v>Python 测试</x:v>
      </x:c>
      <x:c r="F265" s="11" t="str">
        <x:v>待执行</x:v>
      </x:c>
      <x:c r="G265" s="11" t="str">
        <x:v>其他平台／集成；根据 workflow 条件选择</x:v>
      </x:c>
      <x:c r="H265" s="11" t="str">
        <x:v>.github/scripts/hypo/fs_sdk_test.py:330</x:v>
      </x:c>
      <x:c r="I265" s="11" t="str">
        <x:v>https://github.com/juicedata/juicefs/blob/30190ca1094d26e85f19a979ca51b0ea19af1eaa/.github/scripts/hypo/fs_sdk_test.py#L330</x:v>
      </x:c>
      <x:c r="J265" s="11" t="str">
        <x:v>未提升为 Windows 执行项</x:v>
      </x:c>
      <x:c r="K265" s="11" t="str">
        <x:v>见源文件及 CI 条件</x:v>
      </x:c>
      <x:c r="L265" s="11" t="str">
        <x:v>状态机运行序列按运行参数生成，未在此展开；级别为源码目录初分，未执行项目不能计作通过</x:v>
      </x:c>
    </x:row>
    <x:row r="266" ht="42" customHeight="1">
      <x:c r="A266" s="10" t="str">
        <x:v>UP-55a3ce471658</x:v>
      </x:c>
      <x:c r="B266" s="10" t="str">
        <x:v>L3</x:v>
      </x:c>
      <x:c r="C266" s="10" t="str">
        <x:v>应用与界面兼容</x:v>
      </x:c>
      <x:c r="D266" s="10" t="str">
        <x:v>TestPySdk.test_create_isdir</x:v>
      </x:c>
      <x:c r="E266" s="10" t="str">
        <x:v>Python 测试</x:v>
      </x:c>
      <x:c r="F266" s="10" t="str">
        <x:v>待执行</x:v>
      </x:c>
      <x:c r="G266" s="10" t="str">
        <x:v>其他平台／集成；根据 workflow 条件选择</x:v>
      </x:c>
      <x:c r="H266" s="10" t="str">
        <x:v>.github/scripts/hypo/fs_sdk_test.py:338</x:v>
      </x:c>
      <x:c r="I266" s="10" t="str">
        <x:v>https://github.com/juicedata/juicefs/blob/30190ca1094d26e85f19a979ca51b0ea19af1eaa/.github/scripts/hypo/fs_sdk_test.py#L338</x:v>
      </x:c>
      <x:c r="J266" s="10" t="str">
        <x:v>未提升为 Windows 执行项</x:v>
      </x:c>
      <x:c r="K266" s="10" t="str">
        <x:v>见源文件及 CI 条件</x:v>
      </x:c>
      <x:c r="L266" s="10" t="str">
        <x:v>状态机运行序列按运行参数生成，未在此展开；级别为源码目录初分，未执行项目不能计作通过</x:v>
      </x:c>
    </x:row>
    <x:row r="267" ht="42" customHeight="1">
      <x:c r="A267" s="11" t="str">
        <x:v>UP-a9048332c6a7</x:v>
      </x:c>
      <x:c r="B267" s="11" t="str">
        <x:v>L2</x:v>
      </x:c>
      <x:c r="C267" s="11" t="str">
        <x:v>命名与目录</x:v>
      </x:c>
      <x:c r="D267" s="11" t="str">
        <x:v>TestPySdk.test_rename_file</x:v>
      </x:c>
      <x:c r="E267" s="11" t="str">
        <x:v>Python 测试</x:v>
      </x:c>
      <x:c r="F267" s="11" t="str">
        <x:v>待执行</x:v>
      </x:c>
      <x:c r="G267" s="11" t="str">
        <x:v>其他平台／集成；根据 workflow 条件选择</x:v>
      </x:c>
      <x:c r="H267" s="11" t="str">
        <x:v>.github/scripts/hypo/fs_sdk_test.py:351</x:v>
      </x:c>
      <x:c r="I267" s="11" t="str">
        <x:v>https://github.com/juicedata/juicefs/blob/30190ca1094d26e85f19a979ca51b0ea19af1eaa/.github/scripts/hypo/fs_sdk_test.py#L351</x:v>
      </x:c>
      <x:c r="J267" s="11" t="str">
        <x:v>未提升为 Windows 执行项</x:v>
      </x:c>
      <x:c r="K267" s="11" t="str">
        <x:v>见源文件及 CI 条件</x:v>
      </x:c>
      <x:c r="L267" s="11" t="str">
        <x:v>状态机运行序列按运行参数生成，未在此展开；级别为源码目录初分，未执行项目不能计作通过</x:v>
      </x:c>
    </x:row>
    <x:row r="268" ht="42" customHeight="1">
      <x:c r="A268" s="10" t="str">
        <x:v>UP-0ae66aae5fa9</x:v>
      </x:c>
      <x:c r="B268" s="10" t="str">
        <x:v>L3</x:v>
      </x:c>
      <x:c r="C268" s="10" t="str">
        <x:v>应用与界面兼容</x:v>
      </x:c>
      <x:c r="D268" s="10" t="str">
        <x:v>TestFsrand2.test_issue_910</x:v>
      </x:c>
      <x:c r="E268" s="10" t="str">
        <x:v>Python 测试</x:v>
      </x:c>
      <x:c r="F268" s="10" t="str">
        <x:v>待执行</x:v>
      </x:c>
      <x:c r="G268" s="10" t="str">
        <x:v>其他平台／集成；根据 workflow 条件选择</x:v>
      </x:c>
      <x:c r="H268" s="10" t="str">
        <x:v>.github/scripts/hypo/fs_test.py:6</x:v>
      </x:c>
      <x:c r="I268" s="10" t="str">
        <x:v>https://github.com/juicedata/juicefs/blob/30190ca1094d26e85f19a979ca51b0ea19af1eaa/.github/scripts/hypo/fs_test.py#L6</x:v>
      </x:c>
      <x:c r="J268" s="10" t="str">
        <x:v>未提升为 Windows 执行项</x:v>
      </x:c>
      <x:c r="K268" s="10" t="str">
        <x:v>见源文件及 CI 条件</x:v>
      </x:c>
      <x:c r="L268" s="10" t="str">
        <x:v>状态机运行序列按运行参数生成，未在此展开；级别为源码目录初分，未执行项目不能计作通过</x:v>
      </x:c>
    </x:row>
    <x:row r="269" ht="42" customHeight="1">
      <x:c r="A269" s="11" t="str">
        <x:v>UP-1eae6be17194</x:v>
      </x:c>
      <x:c r="B269" s="11" t="str">
        <x:v>L3</x:v>
      </x:c>
      <x:c r="C269" s="11" t="str">
        <x:v>应用与界面兼容</x:v>
      </x:c>
      <x:c r="D269" s="11" t="str">
        <x:v>TestFsrand2.test_issue_914</x:v>
      </x:c>
      <x:c r="E269" s="11" t="str">
        <x:v>Python 测试</x:v>
      </x:c>
      <x:c r="F269" s="11" t="str">
        <x:v>待执行</x:v>
      </x:c>
      <x:c r="G269" s="11" t="str">
        <x:v>其他平台／集成；根据 workflow 条件选择</x:v>
      </x:c>
      <x:c r="H269" s="11" t="str">
        <x:v>.github/scripts/hypo/fs_test.py:17</x:v>
      </x:c>
      <x:c r="I269" s="11" t="str">
        <x:v>https://github.com/juicedata/juicefs/blob/30190ca1094d26e85f19a979ca51b0ea19af1eaa/.github/scripts/hypo/fs_test.py#L17</x:v>
      </x:c>
      <x:c r="J269" s="11" t="str">
        <x:v>未提升为 Windows 执行项</x:v>
      </x:c>
      <x:c r="K269" s="11" t="str">
        <x:v>见源文件及 CI 条件</x:v>
      </x:c>
      <x:c r="L269" s="11" t="str">
        <x:v>状态机运行序列按运行参数生成，未在此展开；级别为源码目录初分，未执行项目不能计作通过</x:v>
      </x:c>
    </x:row>
    <x:row r="270" ht="42" customHeight="1">
      <x:c r="A270" s="10" t="str">
        <x:v>UP-82ca8d0a05bc</x:v>
      </x:c>
      <x:c r="B270" s="10" t="str">
        <x:v>L3</x:v>
      </x:c>
      <x:c r="C270" s="10" t="str">
        <x:v>应用与界面兼容</x:v>
      </x:c>
      <x:c r="D270" s="10" t="str">
        <x:v>TestFsrand2.test_x</x:v>
      </x:c>
      <x:c r="E270" s="10" t="str">
        <x:v>Python 测试</x:v>
      </x:c>
      <x:c r="F270" s="10" t="str">
        <x:v>待执行</x:v>
      </x:c>
      <x:c r="G270" s="10" t="str">
        <x:v>其他平台／集成；根据 workflow 条件选择</x:v>
      </x:c>
      <x:c r="H270" s="10" t="str">
        <x:v>.github/scripts/hypo/fs_test.py:36</x:v>
      </x:c>
      <x:c r="I270" s="10" t="str">
        <x:v>https://github.com/juicedata/juicefs/blob/30190ca1094d26e85f19a979ca51b0ea19af1eaa/.github/scripts/hypo/fs_test.py#L36</x:v>
      </x:c>
      <x:c r="J270" s="10" t="str">
        <x:v>未提升为 Windows 执行项</x:v>
      </x:c>
      <x:c r="K270" s="10" t="str">
        <x:v>见源文件及 CI 条件</x:v>
      </x:c>
      <x:c r="L270" s="10" t="str">
        <x:v>状态机运行序列按运行参数生成，未在此展开；级别为源码目录初分，未执行项目不能计作通过</x:v>
      </x:c>
    </x:row>
    <x:row r="271" ht="42" customHeight="1">
      <x:c r="A271" s="11" t="str">
        <x:v>UP-25767a61fe46</x:v>
      </x:c>
      <x:c r="B271" s="11" t="str">
        <x:v>L3</x:v>
      </x:c>
      <x:c r="C271" s="11" t="str">
        <x:v>应用与界面兼容</x:v>
      </x:c>
      <x:c r="D271" s="11" t="str">
        <x:v>S3Machine.init_aliases</x:v>
      </x:c>
      <x:c r="E271" s="11" t="str">
        <x:v>Python 状态机规则</x:v>
      </x:c>
      <x:c r="F271" s="11" t="str">
        <x:v>待执行</x:v>
      </x:c>
      <x:c r="G271" s="11" t="str">
        <x:v>其他平台／集成；根据 workflow 条件选择</x:v>
      </x:c>
      <x:c r="H271" s="11" t="str">
        <x:v>.github/scripts/hypo/s3.py:56</x:v>
      </x:c>
      <x:c r="I271" s="11" t="str">
        <x:v>https://github.com/juicedata/juicefs/blob/30190ca1094d26e85f19a979ca51b0ea19af1eaa/.github/scripts/hypo/s3.py#L56</x:v>
      </x:c>
      <x:c r="J271" s="11" t="str">
        <x:v>未提升为 Windows 执行项</x:v>
      </x:c>
      <x:c r="K271" s="11" t="str">
        <x:v>initialize(target=aliases)</x:v>
      </x:c>
      <x:c r="L271" s="11" t="str">
        <x:v>状态机运行序列按运行参数生成，未在此展开；级别为源码目录初分，未执行项目不能计作通过</x:v>
      </x:c>
    </x:row>
    <x:row r="272" ht="42" customHeight="1">
      <x:c r="A272" s="10" t="str">
        <x:v>UP-db1b6462541e</x:v>
      </x:c>
      <x:c r="B272" s="10" t="str">
        <x:v>L3</x:v>
      </x:c>
      <x:c r="C272" s="10" t="str">
        <x:v>应用与界面兼容</x:v>
      </x:c>
      <x:c r="D272" s="10" t="str">
        <x:v>S3Machine.init_policies</x:v>
      </x:c>
      <x:c r="E272" s="10" t="str">
        <x:v>Python 状态机规则</x:v>
      </x:c>
      <x:c r="F272" s="10" t="str">
        <x:v>待执行</x:v>
      </x:c>
      <x:c r="G272" s="10" t="str">
        <x:v>其他平台／集成；根据 workflow 条件选择</x:v>
      </x:c>
      <x:c r="H272" s="10" t="str">
        <x:v>.github/scripts/hypo/s3.py:60</x:v>
      </x:c>
      <x:c r="I272" s="10" t="str">
        <x:v>https://github.com/juicedata/juicefs/blob/30190ca1094d26e85f19a979ca51b0ea19af1eaa/.github/scripts/hypo/s3.py#L60</x:v>
      </x:c>
      <x:c r="J272" s="10" t="str">
        <x:v>未提升为 Windows 执行项</x:v>
      </x:c>
      <x:c r="K272" s="10" t="str">
        <x:v>initialize(target=policies)</x:v>
      </x:c>
      <x:c r="L272" s="10" t="str">
        <x:v>状态机运行序列按运行参数生成，未在此展开；级别为源码目录初分，未执行项目不能计作通过</x:v>
      </x:c>
    </x:row>
    <x:row r="273" ht="42" customHeight="1">
      <x:c r="A273" s="11" t="str">
        <x:v>UP-e078f9e90b1e</x:v>
      </x:c>
      <x:c r="B273" s="11" t="str">
        <x:v>L3</x:v>
      </x:c>
      <x:c r="C273" s="11" t="str">
        <x:v>应用与界面兼容</x:v>
      </x:c>
      <x:c r="D273" s="11" t="str">
        <x:v>S3Machine.info</x:v>
      </x:c>
      <x:c r="E273" s="11" t="str">
        <x:v>Python 状态机规则</x:v>
      </x:c>
      <x:c r="F273" s="11" t="str">
        <x:v>待执行</x:v>
      </x:c>
      <x:c r="G273" s="11" t="str">
        <x:v>其他平台／集成；根据 workflow 条件选择</x:v>
      </x:c>
      <x:c r="H273" s="11" t="str">
        <x:v>.github/scripts/hypo/s3.py:80</x:v>
      </x:c>
      <x:c r="I273" s="11" t="str">
        <x:v>https://github.com/juicedata/juicefs/blob/30190ca1094d26e85f19a979ca51b0ea19af1eaa/.github/scripts/hypo/s3.py#L80</x:v>
      </x:c>
      <x:c r="J273" s="11" t="str">
        <x:v>未提升为 Windows 执行项</x:v>
      </x:c>
      <x:c r="K273" s="11" t="str">
        <x:v>rule(alias=aliases); precondition(lambda self: False)</x:v>
      </x:c>
      <x:c r="L273" s="11" t="str">
        <x:v>状态机运行序列按运行参数生成，未在此展开；级别为源码目录初分，未执行项目不能计作通过</x:v>
      </x:c>
    </x:row>
    <x:row r="274" ht="42" customHeight="1">
      <x:c r="A274" s="10" t="str">
        <x:v>UP-3a77ab916ccf</x:v>
      </x:c>
      <x:c r="B274" s="10" t="str">
        <x:v>L3</x:v>
      </x:c>
      <x:c r="C274" s="10" t="str">
        <x:v>应用与界面兼容</x:v>
      </x:c>
      <x:c r="D274" s="10" t="str">
        <x:v>S3Machine.list_buckets</x:v>
      </x:c>
      <x:c r="E274" s="10" t="str">
        <x:v>Python 状态机规则</x:v>
      </x:c>
      <x:c r="F274" s="10" t="str">
        <x:v>待执行</x:v>
      </x:c>
      <x:c r="G274" s="10" t="str">
        <x:v>其他平台／集成；根据 workflow 条件选择</x:v>
      </x:c>
      <x:c r="H274" s="10" t="str">
        <x:v>.github/scripts/hypo/s3.py:87</x:v>
      </x:c>
      <x:c r="I274" s="10" t="str">
        <x:v>https://github.com/juicedata/juicefs/blob/30190ca1094d26e85f19a979ca51b0ea19af1eaa/.github/scripts/hypo/s3.py#L87</x:v>
      </x:c>
      <x:c r="J274" s="10" t="str">
        <x:v>未提升为 Windows 执行项</x:v>
      </x:c>
      <x:c r="K274" s="10" t="str">
        <x:v>rule(alias=aliases); precondition(lambda self: 'list_buckets' not in self.EXCLUDE_RULES)</x:v>
      </x:c>
      <x:c r="L274" s="10" t="str">
        <x:v>状态机运行序列按运行参数生成，未在此展开；级别为源码目录初分，未执行项目不能计作通过</x:v>
      </x:c>
    </x:row>
    <x:row r="275" ht="42" customHeight="1">
      <x:c r="A275" s="11" t="str">
        <x:v>UP-f4dc798cfa98</x:v>
      </x:c>
      <x:c r="B275" s="11" t="str">
        <x:v>L3</x:v>
      </x:c>
      <x:c r="C275" s="11" t="str">
        <x:v>应用与界面兼容</x:v>
      </x:c>
      <x:c r="D275" s="11" t="str">
        <x:v>S3Machine.create_bucket</x:v>
      </x:c>
      <x:c r="E275" s="11" t="str">
        <x:v>Python 状态机规则</x:v>
      </x:c>
      <x:c r="F275" s="11" t="str">
        <x:v>待执行</x:v>
      </x:c>
      <x:c r="G275" s="11" t="str">
        <x:v>其他平台／集成；根据 workflow 条件选择</x:v>
      </x:c>
      <x:c r="H275" s="11" t="str">
        <x:v>.github/scripts/hypo/s3.py:97</x:v>
      </x:c>
      <x:c r="I275" s="11" t="str">
        <x:v>https://github.com/juicedata/juicefs/blob/30190ca1094d26e85f19a979ca51b0ea19af1eaa/.github/scripts/hypo/s3.py#L97</x:v>
      </x:c>
      <x:c r="J275" s="11" t="str">
        <x:v>未提升为 Windows 执行项</x:v>
      </x:c>
      <x:c r="K275" s="11" t="str">
        <x:v>rule(target=buckets, alias=aliases, bucket_name=st_bucket_name); precondition(lambda self: 'create_bucket' not in self.EXCLUDE_RULES)</x:v>
      </x:c>
      <x:c r="L275" s="11" t="str">
        <x:v>状态机运行序列按运行参数生成，未在此展开；级别为源码目录初分，未执行项目不能计作通过</x:v>
      </x:c>
    </x:row>
    <x:row r="276" ht="42" customHeight="1">
      <x:c r="A276" s="10" t="str">
        <x:v>UP-a95cc72e1fa6</x:v>
      </x:c>
      <x:c r="B276" s="10" t="str">
        <x:v>L2</x:v>
      </x:c>
      <x:c r="C276" s="10" t="str">
        <x:v>命名与目录</x:v>
      </x:c>
      <x:c r="D276" s="10" t="str">
        <x:v>S3Machine.remove_bucket</x:v>
      </x:c>
      <x:c r="E276" s="10" t="str">
        <x:v>Python 状态机规则</x:v>
      </x:c>
      <x:c r="F276" s="10" t="str">
        <x:v>待执行</x:v>
      </x:c>
      <x:c r="G276" s="10" t="str">
        <x:v>其他平台／集成；根据 workflow 条件选择</x:v>
      </x:c>
      <x:c r="H276" s="10" t="str">
        <x:v>.github/scripts/hypo/s3.py:111</x:v>
      </x:c>
      <x:c r="I276" s="10" t="str">
        <x:v>https://github.com/juicedata/juicefs/blob/30190ca1094d26e85f19a979ca51b0ea19af1eaa/.github/scripts/hypo/s3.py#L111</x:v>
      </x:c>
      <x:c r="J276" s="10" t="str">
        <x:v>未提升为 Windows 执行项</x:v>
      </x:c>
      <x:c r="K276" s="10" t="str">
        <x:v>rule(target=buckets, bucket_name=consumes(buckets), alias=aliases); precondition(lambda self: 'remove_bucket' not in self.EXCLUDE_RULES)</x:v>
      </x:c>
      <x:c r="L276" s="10" t="str">
        <x:v>状态机运行序列按运行参数生成，未在此展开；级别为源码目录初分，未执行项目不能计作通过</x:v>
      </x:c>
    </x:row>
    <x:row r="277" ht="58" customHeight="1">
      <x:c r="A277" s="11" t="str">
        <x:v>UP-1d3cf9348cb8</x:v>
      </x:c>
      <x:c r="B277" s="11" t="str">
        <x:v>L3</x:v>
      </x:c>
      <x:c r="C277" s="11" t="str">
        <x:v>应用与界面兼容</x:v>
      </x:c>
      <x:c r="D277" s="11" t="str">
        <x:v>S3Machine.set_bucket_policy</x:v>
      </x:c>
      <x:c r="E277" s="11" t="str">
        <x:v>Python 状态机规则</x:v>
      </x:c>
      <x:c r="F277" s="11" t="str">
        <x:v>待执行</x:v>
      </x:c>
      <x:c r="G277" s="11" t="str">
        <x:v>其他平台／集成；根据 workflow 条件选择</x:v>
      </x:c>
      <x:c r="H277" s="11" t="str">
        <x:v>.github/scripts/hypo/s3.py:126</x:v>
      </x:c>
      <x:c r="I277" s="11" t="str">
        <x:v>https://github.com/juicedata/juicefs/blob/30190ca1094d26e85f19a979ca51b0ea19af1eaa/.github/scripts/hypo/s3.py#L126</x:v>
      </x:c>
      <x:c r="J277" s="11" t="str">
        <x:v>未提升为 Windows 执行项</x:v>
      </x:c>
      <x:c r="K277" s="11" t="str">
        <x:v>rule(alias=aliases, bucket_name=buckets.filter(lambda x: x != multiple()), policy=st.sampled_from(['public', 'download', 'upload', 'none'])); precondition(lambda self: 'set_bucket_policy' not in self.EXCLUDE_RULES)</x:v>
      </x:c>
      <x:c r="L277" s="11" t="str">
        <x:v>状态机运行序列按运行参数生成，未在此展开；级别为源码目录初分，未执行项目不能计作通过</x:v>
      </x:c>
    </x:row>
    <x:row r="278" ht="42" customHeight="1">
      <x:c r="A278" s="10" t="str">
        <x:v>UP-ed692ab0db73</x:v>
      </x:c>
      <x:c r="B278" s="10" t="str">
        <x:v>L3</x:v>
      </x:c>
      <x:c r="C278" s="10" t="str">
        <x:v>应用与界面兼容</x:v>
      </x:c>
      <x:c r="D278" s="10" t="str">
        <x:v>S3Machine.get_bucket_policy</x:v>
      </x:c>
      <x:c r="E278" s="10" t="str">
        <x:v>Python 状态机规则</x:v>
      </x:c>
      <x:c r="F278" s="10" t="str">
        <x:v>待执行</x:v>
      </x:c>
      <x:c r="G278" s="10" t="str">
        <x:v>其他平台／集成；根据 workflow 条件选择</x:v>
      </x:c>
      <x:c r="H278" s="10" t="str">
        <x:v>.github/scripts/hypo/s3.py:136</x:v>
      </x:c>
      <x:c r="I278" s="10" t="str">
        <x:v>https://github.com/juicedata/juicefs/blob/30190ca1094d26e85f19a979ca51b0ea19af1eaa/.github/scripts/hypo/s3.py#L136</x:v>
      </x:c>
      <x:c r="J278" s="10" t="str">
        <x:v>未提升为 Windows 执行项</x:v>
      </x:c>
      <x:c r="K278" s="10" t="str">
        <x:v>rule(bucket_name=buckets, alias=aliases); precondition(lambda self: 'get_bucket_policy' not in self.EXCLUDE_RULES)</x:v>
      </x:c>
      <x:c r="L278" s="10" t="str">
        <x:v>状态机运行序列按运行参数生成，未在此展开；级别为源码目录初分，未执行项目不能计作通过</x:v>
      </x:c>
    </x:row>
    <x:row r="279" ht="42" customHeight="1">
      <x:c r="A279" s="11" t="str">
        <x:v>UP-58a8c5717e7b</x:v>
      </x:c>
      <x:c r="B279" s="11" t="str">
        <x:v>L3</x:v>
      </x:c>
      <x:c r="C279" s="11" t="str">
        <x:v>应用与界面兼容</x:v>
      </x:c>
      <x:c r="D279" s="11" t="str">
        <x:v>S3Machine.list_bucket_policy</x:v>
      </x:c>
      <x:c r="E279" s="11" t="str">
        <x:v>Python 状态机规则</x:v>
      </x:c>
      <x:c r="F279" s="11" t="str">
        <x:v>待执行</x:v>
      </x:c>
      <x:c r="G279" s="11" t="str">
        <x:v>其他平台／集成；根据 workflow 条件选择</x:v>
      </x:c>
      <x:c r="H279" s="11" t="str">
        <x:v>.github/scripts/hypo/s3.py:146</x:v>
      </x:c>
      <x:c r="I279" s="11" t="str">
        <x:v>https://github.com/juicedata/juicefs/blob/30190ca1094d26e85f19a979ca51b0ea19af1eaa/.github/scripts/hypo/s3.py#L146</x:v>
      </x:c>
      <x:c r="J279" s="11" t="str">
        <x:v>未提升为 Windows 执行项</x:v>
      </x:c>
      <x:c r="K279" s="11" t="str">
        <x:v>rule(bucket_name=buckets, alias=aliases, recursive=st.booleans())</x:v>
      </x:c>
      <x:c r="L279" s="11" t="str">
        <x:v>状态机运行序列按运行参数生成，未在此展开；级别为源码目录初分，未执行项目不能计作通过</x:v>
      </x:c>
    </x:row>
    <x:row r="280" ht="58" customHeight="1">
      <x:c r="A280" s="10" t="str">
        <x:v>UP-61c4dc684bfe</x:v>
      </x:c>
      <x:c r="B280" s="10" t="str">
        <x:v>L2</x:v>
      </x:c>
      <x:c r="C280" s="10" t="str">
        <x:v>网关与后端重试</x:v>
      </x:c>
      <x:c r="D280" s="10" t="str">
        <x:v>S3Machine.put_object</x:v>
      </x:c>
      <x:c r="E280" s="10" t="str">
        <x:v>Python 状态机规则</x:v>
      </x:c>
      <x:c r="F280" s="10" t="str">
        <x:v>待执行</x:v>
      </x:c>
      <x:c r="G280" s="10" t="str">
        <x:v>其他平台／集成；根据 workflow 条件选择</x:v>
      </x:c>
      <x:c r="H280" s="10" t="str">
        <x:v>.github/scripts/hypo/s3.py:160</x:v>
      </x:c>
      <x:c r="I280" s="10" t="str">
        <x:v>https://github.com/juicedata/juicefs/blob/30190ca1094d26e85f19a979ca51b0ea19af1eaa/.github/scripts/hypo/s3.py#L160</x:v>
      </x:c>
      <x:c r="J280" s="10" t="str">
        <x:v>未提升为 Windows 执行项</x:v>
      </x:c>
      <x:c r="K280" s="10" t="str">
        <x:v>rule(target=objects, bucket_name=buckets, object_name=st_object_name, data=st_content, use_part_size=st.booleans(), part_size=st_part_size); precondition(lambda self: 'put_object' not in self.EXCLUDE_RULES)</x:v>
      </x:c>
      <x:c r="L280" s="10" t="str">
        <x:v>状态机运行序列按运行参数生成，未在此展开；级别为源码目录初分，未执行项目不能计作通过</x:v>
      </x:c>
    </x:row>
    <x:row r="281" ht="42" customHeight="1">
      <x:c r="A281" s="11" t="str">
        <x:v>UP-5a68c0b66396</x:v>
      </x:c>
      <x:c r="B281" s="11" t="str">
        <x:v>L2</x:v>
      </x:c>
      <x:c r="C281" s="11" t="str">
        <x:v>网关与后端重试</x:v>
      </x:c>
      <x:c r="D281" s="11" t="str">
        <x:v>S3Machine.get_object</x:v>
      </x:c>
      <x:c r="E281" s="11" t="str">
        <x:v>Python 状态机规则</x:v>
      </x:c>
      <x:c r="F281" s="11" t="str">
        <x:v>待执行</x:v>
      </x:c>
      <x:c r="G281" s="11" t="str">
        <x:v>其他平台／集成；根据 workflow 条件选择</x:v>
      </x:c>
      <x:c r="H281" s="11" t="str">
        <x:v>.github/scripts/hypo/s3.py:179</x:v>
      </x:c>
      <x:c r="I281" s="11" t="str">
        <x:v>https://github.com/juicedata/juicefs/blob/30190ca1094d26e85f19a979ca51b0ea19af1eaa/.github/scripts/hypo/s3.py#L179</x:v>
      </x:c>
      <x:c r="J281" s="11" t="str">
        <x:v>未提升为 Windows 执行项</x:v>
      </x:c>
      <x:c r="K281" s="11" t="str">
        <x:v>rule(obj=objects, offset=st_offset, length=st_length); precondition(lambda self: 'get_object' not in self.EXCLUDE_RULES)</x:v>
      </x:c>
      <x:c r="L281" s="11" t="str">
        <x:v>状态机运行序列按运行参数生成，未在此展开；级别为源码目录初分，未执行项目不能计作通过</x:v>
      </x:c>
    </x:row>
    <x:row r="282" ht="42" customHeight="1">
      <x:c r="A282" s="10" t="str">
        <x:v>UP-6b204acb1185</x:v>
      </x:c>
      <x:c r="B282" s="10" t="str">
        <x:v>L2</x:v>
      </x:c>
      <x:c r="C282" s="10" t="str">
        <x:v>网关与后端重试</x:v>
      </x:c>
      <x:c r="D282" s="10" t="str">
        <x:v>S3Machine.fput_object</x:v>
      </x:c>
      <x:c r="E282" s="10" t="str">
        <x:v>Python 状态机规则</x:v>
      </x:c>
      <x:c r="F282" s="10" t="str">
        <x:v>待执行</x:v>
      </x:c>
      <x:c r="G282" s="10" t="str">
        <x:v>其他平台／集成；根据 workflow 条件选择</x:v>
      </x:c>
      <x:c r="H282" s="10" t="str">
        <x:v>.github/scripts/hypo/s3.py:192</x:v>
      </x:c>
      <x:c r="I282" s="10" t="str">
        <x:v>https://github.com/juicedata/juicefs/blob/30190ca1094d26e85f19a979ca51b0ea19af1eaa/.github/scripts/hypo/s3.py#L192</x:v>
      </x:c>
      <x:c r="J282" s="10" t="str">
        <x:v>未提升为 Windows 执行项</x:v>
      </x:c>
      <x:c r="K282" s="10" t="str">
        <x:v>rule(target=objects, alias=aliases, bucket_name=buckets, object_name=st_object_name); precondition(lambda self: 'fput_object' not in self.EXCLUDE_RULES)</x:v>
      </x:c>
      <x:c r="L282" s="10" t="str">
        <x:v>状态机运行序列按运行参数生成，未在此展开；级别为源码目录初分，未执行项目不能计作通过</x:v>
      </x:c>
    </x:row>
    <x:row r="283" ht="42" customHeight="1">
      <x:c r="A283" s="11" t="str">
        <x:v>UP-3849e955d8b4</x:v>
      </x:c>
      <x:c r="B283" s="11" t="str">
        <x:v>L2</x:v>
      </x:c>
      <x:c r="C283" s="11" t="str">
        <x:v>网关与后端重试</x:v>
      </x:c>
      <x:c r="D283" s="11" t="str">
        <x:v>S3Machine.fget_object</x:v>
      </x:c>
      <x:c r="E283" s="11" t="str">
        <x:v>Python 状态机规则</x:v>
      </x:c>
      <x:c r="F283" s="11" t="str">
        <x:v>待执行</x:v>
      </x:c>
      <x:c r="G283" s="11" t="str">
        <x:v>其他平台／集成；根据 workflow 条件选择</x:v>
      </x:c>
      <x:c r="H283" s="11" t="str">
        <x:v>.github/scripts/hypo/s3.py:207</x:v>
      </x:c>
      <x:c r="I283" s="11" t="str">
        <x:v>https://github.com/juicedata/juicefs/blob/30190ca1094d26e85f19a979ca51b0ea19af1eaa/.github/scripts/hypo/s3.py#L207</x:v>
      </x:c>
      <x:c r="J283" s="11" t="str">
        <x:v>未提升为 Windows 执行项</x:v>
      </x:c>
      <x:c r="K283" s="11" t="str">
        <x:v>rule(obj=objects, alias=aliases, file_path=st.just('/tmp/file')); precondition(lambda self: 'fget_object' not in self.EXCLUDE_RULES)</x:v>
      </x:c>
      <x:c r="L283" s="11" t="str">
        <x:v>状态机运行序列按运行参数生成，未在此展开；级别为源码目录初分，未执行项目不能计作通过</x:v>
      </x:c>
    </x:row>
    <x:row r="284" ht="42" customHeight="1">
      <x:c r="A284" s="10" t="str">
        <x:v>UP-d74d7ccdb7c2</x:v>
      </x:c>
      <x:c r="B284" s="10" t="str">
        <x:v>L2</x:v>
      </x:c>
      <x:c r="C284" s="10" t="str">
        <x:v>命名与目录</x:v>
      </x:c>
      <x:c r="D284" s="10" t="str">
        <x:v>S3Machine.remove_object</x:v>
      </x:c>
      <x:c r="E284" s="10" t="str">
        <x:v>Python 状态机规则</x:v>
      </x:c>
      <x:c r="F284" s="10" t="str">
        <x:v>待执行</x:v>
      </x:c>
      <x:c r="G284" s="10" t="str">
        <x:v>其他平台／集成；根据 workflow 条件选择</x:v>
      </x:c>
      <x:c r="H284" s="10" t="str">
        <x:v>.github/scripts/hypo/s3.py:220</x:v>
      </x:c>
      <x:c r="I284" s="10" t="str">
        <x:v>https://github.com/juicedata/juicefs/blob/30190ca1094d26e85f19a979ca51b0ea19af1eaa/.github/scripts/hypo/s3.py#L220</x:v>
      </x:c>
      <x:c r="J284" s="10" t="str">
        <x:v>未提升为 Windows 执行项</x:v>
      </x:c>
      <x:c r="K284" s="10" t="str">
        <x:v>rule(target=objects, alias=aliases, obj=consumes(objects)); precondition(lambda self: 'remove_object' not in self.EXCLUDE_RULES)</x:v>
      </x:c>
      <x:c r="L284" s="10" t="str">
        <x:v>状态机运行序列按运行参数生成，未在此展开；级别为源码目录初分，未执行项目不能计作通过</x:v>
      </x:c>
    </x:row>
    <x:row r="285" ht="42" customHeight="1">
      <x:c r="A285" s="11" t="str">
        <x:v>UP-d5ad92ea5db2</x:v>
      </x:c>
      <x:c r="B285" s="11" t="str">
        <x:v>L2</x:v>
      </x:c>
      <x:c r="C285" s="11" t="str">
        <x:v>网关与后端重试</x:v>
      </x:c>
      <x:c r="D285" s="11" t="str">
        <x:v>S3Machine.stat_object</x:v>
      </x:c>
      <x:c r="E285" s="11" t="str">
        <x:v>Python 状态机规则</x:v>
      </x:c>
      <x:c r="F285" s="11" t="str">
        <x:v>待执行</x:v>
      </x:c>
      <x:c r="G285" s="11" t="str">
        <x:v>其他平台／集成；根据 workflow 条件选择</x:v>
      </x:c>
      <x:c r="H285" s="11" t="str">
        <x:v>.github/scripts/hypo/s3.py:236</x:v>
      </x:c>
      <x:c r="I285" s="11" t="str">
        <x:v>https://github.com/juicedata/juicefs/blob/30190ca1094d26e85f19a979ca51b0ea19af1eaa/.github/scripts/hypo/s3.py#L236</x:v>
      </x:c>
      <x:c r="J285" s="11" t="str">
        <x:v>未提升为 Windows 执行项</x:v>
      </x:c>
      <x:c r="K285" s="11" t="str">
        <x:v>rule(obj=objects, alias=aliases); precondition(lambda self: 'stat_object' not in self.EXCLUDE_RULES)</x:v>
      </x:c>
      <x:c r="L285" s="11" t="str">
        <x:v>状态机运行序列按运行参数生成，未在此展开；级别为源码目录初分，未执行项目不能计作通过</x:v>
      </x:c>
    </x:row>
    <x:row r="286" ht="74" customHeight="1">
      <x:c r="A286" s="10" t="str">
        <x:v>UP-4d3ef0d23576</x:v>
      </x:c>
      <x:c r="B286" s="10" t="str">
        <x:v>L2</x:v>
      </x:c>
      <x:c r="C286" s="10" t="str">
        <x:v>网关与后端重试</x:v>
      </x:c>
      <x:c r="D286" s="10" t="str">
        <x:v>S3Machine.list_objects</x:v>
      </x:c>
      <x:c r="E286" s="10" t="str">
        <x:v>Python 状态机规则</x:v>
      </x:c>
      <x:c r="F286" s="10" t="str">
        <x:v>待执行</x:v>
      </x:c>
      <x:c r="G286" s="10" t="str">
        <x:v>其他平台／集成；根据 workflow 条件选择</x:v>
      </x:c>
      <x:c r="H286" s="10" t="str">
        <x:v>.github/scripts/hypo/s3.py:252</x:v>
      </x:c>
      <x:c r="I286" s="10" t="str">
        <x:v>https://github.com/juicedata/juicefs/blob/30190ca1094d26e85f19a979ca51b0ea19af1eaa/.github/scripts/hypo/s3.py#L252</x:v>
      </x:c>
      <x:c r="J286" s="10" t="str">
        <x:v>未提升为 Windows 执行项</x:v>
      </x:c>
      <x:c r="K286" s="10" t="str">
        <x:v>rule(bucket_name=buckets, prefix=st.just(None), start_after=st.one_of(st_object_name, st.just(None)), include_user_meta=st.booleans(), include_version=st.just(False), use_url_encoding_type=st.booleans(), recursive=st.booleans()); precondition(lambda self: 'list_objects' not in self.EXCLUDE_RULES)</x:v>
      </x:c>
      <x:c r="L286" s="10" t="str">
        <x:v>状态机运行序列按运行参数生成，未在此展开；级别为源码目录初分，未执行项目不能计作通过</x:v>
      </x:c>
    </x:row>
    <x:row r="287" ht="42" customHeight="1">
      <x:c r="A287" s="11" t="str">
        <x:v>UP-c8d5dd031959</x:v>
      </x:c>
      <x:c r="B287" s="11" t="str">
        <x:v>L3</x:v>
      </x:c>
      <x:c r="C287" s="11" t="str">
        <x:v>应用与界面兼容</x:v>
      </x:c>
      <x:c r="D287" s="11" t="str">
        <x:v>S3Machine.add_user</x:v>
      </x:c>
      <x:c r="E287" s="11" t="str">
        <x:v>Python 状态机规则</x:v>
      </x:c>
      <x:c r="F287" s="11" t="str">
        <x:v>待执行</x:v>
      </x:c>
      <x:c r="G287" s="11" t="str">
        <x:v>其他平台／集成；根据 workflow 条件选择</x:v>
      </x:c>
      <x:c r="H287" s="11" t="str">
        <x:v>.github/scripts/hypo/s3.py:263</x:v>
      </x:c>
      <x:c r="I287" s="11" t="str">
        <x:v>https://github.com/juicedata/juicefs/blob/30190ca1094d26e85f19a979ca51b0ea19af1eaa/.github/scripts/hypo/s3.py#L263</x:v>
      </x:c>
      <x:c r="J287" s="11" t="str">
        <x:v>未提升为 Windows 执行项</x:v>
      </x:c>
      <x:c r="K287" s="11" t="str">
        <x:v>rule(target=users, alias=aliases, user_name=st_user_name); precondition(lambda self: 'add_user' not in self.EXCLUDE_RULES)</x:v>
      </x:c>
      <x:c r="L287" s="11" t="str">
        <x:v>状态机运行序列按运行参数生成，未在此展开；级别为源码目录初分，未执行项目不能计作通过</x:v>
      </x:c>
    </x:row>
    <x:row r="288" ht="58" customHeight="1">
      <x:c r="A288" s="10" t="str">
        <x:v>UP-5700a1e2c5e0</x:v>
      </x:c>
      <x:c r="B288" s="10" t="str">
        <x:v>L2</x:v>
      </x:c>
      <x:c r="C288" s="10" t="str">
        <x:v>命名与目录</x:v>
      </x:c>
      <x:c r="D288" s="10" t="str">
        <x:v>S3Machine.remove_user</x:v>
      </x:c>
      <x:c r="E288" s="10" t="str">
        <x:v>Python 状态机规则</x:v>
      </x:c>
      <x:c r="F288" s="10" t="str">
        <x:v>待执行</x:v>
      </x:c>
      <x:c r="G288" s="10" t="str">
        <x:v>其他平台／集成；根据 workflow 条件选择</x:v>
      </x:c>
      <x:c r="H288" s="10" t="str">
        <x:v>.github/scripts/hypo/s3.py:278</x:v>
      </x:c>
      <x:c r="I288" s="10" t="str">
        <x:v>https://github.com/juicedata/juicefs/blob/30190ca1094d26e85f19a979ca51b0ea19af1eaa/.github/scripts/hypo/s3.py#L278</x:v>
      </x:c>
      <x:c r="J288" s="10" t="str">
        <x:v>未提升为 Windows 执行项</x:v>
      </x:c>
      <x:c r="K288" s="10" t="str">
        <x:v>rule(target=users, alias=aliases, user_name=consumes(users).filter(lambda x: x != multiple())); precondition(lambda self: 'remove_user' not in self.EXCLUDE_RULES)</x:v>
      </x:c>
      <x:c r="L288" s="10" t="str">
        <x:v>状态机运行序列按运行参数生成，未在此展开；级别为源码目录初分，未执行项目不能计作通过</x:v>
      </x:c>
    </x:row>
    <x:row r="289" ht="42" customHeight="1">
      <x:c r="A289" s="11" t="str">
        <x:v>UP-b500906dbac5</x:v>
      </x:c>
      <x:c r="B289" s="11" t="str">
        <x:v>L3</x:v>
      </x:c>
      <x:c r="C289" s="11" t="str">
        <x:v>应用与界面兼容</x:v>
      </x:c>
      <x:c r="D289" s="11" t="str">
        <x:v>S3Machine.enable_user</x:v>
      </x:c>
      <x:c r="E289" s="11" t="str">
        <x:v>Python 状态机规则</x:v>
      </x:c>
      <x:c r="F289" s="11" t="str">
        <x:v>待执行</x:v>
      </x:c>
      <x:c r="G289" s="11" t="str">
        <x:v>其他平台／集成；根据 workflow 条件选择</x:v>
      </x:c>
      <x:c r="H289" s="11" t="str">
        <x:v>.github/scripts/hypo/s3.py:292</x:v>
      </x:c>
      <x:c r="I289" s="11" t="str">
        <x:v>https://github.com/juicedata/juicefs/blob/30190ca1094d26e85f19a979ca51b0ea19af1eaa/.github/scripts/hypo/s3.py#L292</x:v>
      </x:c>
      <x:c r="J289" s="11" t="str">
        <x:v>未提升为 Windows 执行项</x:v>
      </x:c>
      <x:c r="K289" s="11" t="str">
        <x:v>rule(alias=aliases, user_name=users.filter(lambda x: x != multiple())); precondition(lambda self: 'enable_user' not in self.EXCLUDE_RULES)</x:v>
      </x:c>
      <x:c r="L289" s="11" t="str">
        <x:v>状态机运行序列按运行参数生成，未在此展开；级别为源码目录初分，未执行项目不能计作通过</x:v>
      </x:c>
    </x:row>
    <x:row r="290" ht="42" customHeight="1">
      <x:c r="A290" s="10" t="str">
        <x:v>UP-82c79da564f8</x:v>
      </x:c>
      <x:c r="B290" s="10" t="str">
        <x:v>L3</x:v>
      </x:c>
      <x:c r="C290" s="10" t="str">
        <x:v>应用与界面兼容</x:v>
      </x:c>
      <x:c r="D290" s="10" t="str">
        <x:v>S3Machine.disable_user</x:v>
      </x:c>
      <x:c r="E290" s="10" t="str">
        <x:v>Python 状态机规则</x:v>
      </x:c>
      <x:c r="F290" s="10" t="str">
        <x:v>待执行</x:v>
      </x:c>
      <x:c r="G290" s="10" t="str">
        <x:v>其他平台／集成；根据 workflow 条件选择</x:v>
      </x:c>
      <x:c r="H290" s="10" t="str">
        <x:v>.github/scripts/hypo/s3.py:302</x:v>
      </x:c>
      <x:c r="I290" s="10" t="str">
        <x:v>https://github.com/juicedata/juicefs/blob/30190ca1094d26e85f19a979ca51b0ea19af1eaa/.github/scripts/hypo/s3.py#L302</x:v>
      </x:c>
      <x:c r="J290" s="10" t="str">
        <x:v>未提升为 Windows 执行项</x:v>
      </x:c>
      <x:c r="K290" s="10" t="str">
        <x:v>rule(alias=aliases, user_name=users.filter(lambda x: x != multiple())); precondition(lambda self: 'disable_user' not in self.EXCLUDE_RULES)</x:v>
      </x:c>
      <x:c r="L290" s="10" t="str">
        <x:v>状态机运行序列按运行参数生成，未在此展开；级别为源码目录初分，未执行项目不能计作通过</x:v>
      </x:c>
    </x:row>
    <x:row r="291" ht="42" customHeight="1">
      <x:c r="A291" s="11" t="str">
        <x:v>UP-bdd31f4d079e</x:v>
      </x:c>
      <x:c r="B291" s="11" t="str">
        <x:v>L3</x:v>
      </x:c>
      <x:c r="C291" s="11" t="str">
        <x:v>应用与界面兼容</x:v>
      </x:c>
      <x:c r="D291" s="11" t="str">
        <x:v>S3Machine.user_info</x:v>
      </x:c>
      <x:c r="E291" s="11" t="str">
        <x:v>Python 状态机规则</x:v>
      </x:c>
      <x:c r="F291" s="11" t="str">
        <x:v>待执行</x:v>
      </x:c>
      <x:c r="G291" s="11" t="str">
        <x:v>其他平台／集成；根据 workflow 条件选择</x:v>
      </x:c>
      <x:c r="H291" s="11" t="str">
        <x:v>.github/scripts/hypo/s3.py:312</x:v>
      </x:c>
      <x:c r="I291" s="11" t="str">
        <x:v>https://github.com/juicedata/juicefs/blob/30190ca1094d26e85f19a979ca51b0ea19af1eaa/.github/scripts/hypo/s3.py#L312</x:v>
      </x:c>
      <x:c r="J291" s="11" t="str">
        <x:v>未提升为 Windows 执行项</x:v>
      </x:c>
      <x:c r="K291" s="11" t="str">
        <x:v>rule(alias=aliases, user_name=users.filter(lambda x: x != multiple())); precondition(lambda self: 'user_info' not in self.EXCLUDE_RULES)</x:v>
      </x:c>
      <x:c r="L291" s="11" t="str">
        <x:v>状态机运行序列按运行参数生成，未在此展开；级别为源码目录初分，未执行项目不能计作通过</x:v>
      </x:c>
    </x:row>
    <x:row r="292" ht="42" customHeight="1">
      <x:c r="A292" s="10" t="str">
        <x:v>UP-7160b28989ce</x:v>
      </x:c>
      <x:c r="B292" s="10" t="str">
        <x:v>L3</x:v>
      </x:c>
      <x:c r="C292" s="10" t="str">
        <x:v>应用与界面兼容</x:v>
      </x:c>
      <x:c r="D292" s="10" t="str">
        <x:v>S3Machine.list_users</x:v>
      </x:c>
      <x:c r="E292" s="10" t="str">
        <x:v>Python 状态机规则</x:v>
      </x:c>
      <x:c r="F292" s="10" t="str">
        <x:v>待执行</x:v>
      </x:c>
      <x:c r="G292" s="10" t="str">
        <x:v>其他平台／集成；根据 workflow 条件选择</x:v>
      </x:c>
      <x:c r="H292" s="10" t="str">
        <x:v>.github/scripts/hypo/s3.py:319</x:v>
      </x:c>
      <x:c r="I292" s="10" t="str">
        <x:v>https://github.com/juicedata/juicefs/blob/30190ca1094d26e85f19a979ca51b0ea19af1eaa/.github/scripts/hypo/s3.py#L319</x:v>
      </x:c>
      <x:c r="J292" s="10" t="str">
        <x:v>未提升为 Windows 执行项</x:v>
      </x:c>
      <x:c r="K292" s="10" t="str">
        <x:v>rule(alias=aliases); precondition(lambda self: 'list_users' not in self.EXCLUDE_RULES)</x:v>
      </x:c>
      <x:c r="L292" s="10" t="str">
        <x:v>状态机运行序列按运行参数生成，未在此展开；级别为源码目录初分，未执行项目不能计作通过</x:v>
      </x:c>
    </x:row>
    <x:row r="293" ht="42" customHeight="1">
      <x:c r="A293" s="11" t="str">
        <x:v>UP-70a8896783ee</x:v>
      </x:c>
      <x:c r="B293" s="11" t="str">
        <x:v>L3</x:v>
      </x:c>
      <x:c r="C293" s="11" t="str">
        <x:v>应用与界面兼容</x:v>
      </x:c>
      <x:c r="D293" s="11" t="str">
        <x:v>S3Machine.list_groups</x:v>
      </x:c>
      <x:c r="E293" s="11" t="str">
        <x:v>Python 状态机规则</x:v>
      </x:c>
      <x:c r="F293" s="11" t="str">
        <x:v>待执行</x:v>
      </x:c>
      <x:c r="G293" s="11" t="str">
        <x:v>其他平台／集成；根据 workflow 条件选择</x:v>
      </x:c>
      <x:c r="H293" s="11" t="str">
        <x:v>.github/scripts/hypo/s3.py:326</x:v>
      </x:c>
      <x:c r="I293" s="11" t="str">
        <x:v>https://github.com/juicedata/juicefs/blob/30190ca1094d26e85f19a979ca51b0ea19af1eaa/.github/scripts/hypo/s3.py#L326</x:v>
      </x:c>
      <x:c r="J293" s="11" t="str">
        <x:v>未提升为 Windows 执行项</x:v>
      </x:c>
      <x:c r="K293" s="11" t="str">
        <x:v>rule(alias=aliases); precondition(lambda self: 'list_groups' not in self.EXCLUDE_RULES)</x:v>
      </x:c>
      <x:c r="L293" s="11" t="str">
        <x:v>状态机运行序列按运行参数生成，未在此展开；级别为源码目录初分，未执行项目不能计作通过</x:v>
      </x:c>
    </x:row>
    <x:row r="294" ht="58" customHeight="1">
      <x:c r="A294" s="10" t="str">
        <x:v>UP-ca3ab8ae6831</x:v>
      </x:c>
      <x:c r="B294" s="10" t="str">
        <x:v>L3</x:v>
      </x:c>
      <x:c r="C294" s="10" t="str">
        <x:v>应用与界面兼容</x:v>
      </x:c>
      <x:c r="D294" s="10" t="str">
        <x:v>S3Machine.add_group</x:v>
      </x:c>
      <x:c r="E294" s="10" t="str">
        <x:v>Python 状态机规则</x:v>
      </x:c>
      <x:c r="F294" s="10" t="str">
        <x:v>待执行</x:v>
      </x:c>
      <x:c r="G294" s="10" t="str">
        <x:v>其他平台／集成；根据 workflow 条件选择</x:v>
      </x:c>
      <x:c r="H294" s="10" t="str">
        <x:v>.github/scripts/hypo/s3.py:338</x:v>
      </x:c>
      <x:c r="I294" s="10" t="str">
        <x:v>https://github.com/juicedata/juicefs/blob/30190ca1094d26e85f19a979ca51b0ea19af1eaa/.github/scripts/hypo/s3.py#L338</x:v>
      </x:c>
      <x:c r="J294" s="10" t="str">
        <x:v>未提升为 Windows 执行项</x:v>
      </x:c>
      <x:c r="K294" s="10" t="str">
        <x:v>rule(target=groups, alias=aliases, group_name=st_group_name, members=st.lists(users, min_size=1, max_size=3)); precondition(lambda self: 'add_group' not in self.EXCLUDE_RULES)</x:v>
      </x:c>
      <x:c r="L294" s="10" t="str">
        <x:v>状态机运行序列按运行参数生成，未在此展开；级别为源码目录初分，未执行项目不能计作通过</x:v>
      </x:c>
    </x:row>
    <x:row r="295" ht="42" customHeight="1">
      <x:c r="A295" s="11" t="str">
        <x:v>UP-ddf02823e497</x:v>
      </x:c>
      <x:c r="B295" s="11" t="str">
        <x:v>L3</x:v>
      </x:c>
      <x:c r="C295" s="11" t="str">
        <x:v>应用与界面兼容</x:v>
      </x:c>
      <x:c r="D295" s="11" t="str">
        <x:v>S3Machine.group_info</x:v>
      </x:c>
      <x:c r="E295" s="11" t="str">
        <x:v>Python 状态机规则</x:v>
      </x:c>
      <x:c r="F295" s="11" t="str">
        <x:v>待执行</x:v>
      </x:c>
      <x:c r="G295" s="11" t="str">
        <x:v>其他平台／集成；根据 workflow 条件选择</x:v>
      </x:c>
      <x:c r="H295" s="11" t="str">
        <x:v>.github/scripts/hypo/s3.py:351</x:v>
      </x:c>
      <x:c r="I295" s="11" t="str">
        <x:v>https://github.com/juicedata/juicefs/blob/30190ca1094d26e85f19a979ca51b0ea19af1eaa/.github/scripts/hypo/s3.py#L351</x:v>
      </x:c>
      <x:c r="J295" s="11" t="str">
        <x:v>未提升为 Windows 执行项</x:v>
      </x:c>
      <x:c r="K295" s="11" t="str">
        <x:v>rule(group_name=groups, alias=aliases); precondition(lambda self: 'group_info' not in self.EXCLUDE_RULES)</x:v>
      </x:c>
      <x:c r="L295" s="11" t="str">
        <x:v>状态机运行序列按运行参数生成，未在此展开；级别为源码目录初分，未执行项目不能计作通过</x:v>
      </x:c>
    </x:row>
    <x:row r="296" ht="58" customHeight="1">
      <x:c r="A296" s="10" t="str">
        <x:v>UP-acc187a76760</x:v>
      </x:c>
      <x:c r="B296" s="10" t="str">
        <x:v>L2</x:v>
      </x:c>
      <x:c r="C296" s="10" t="str">
        <x:v>命名与目录</x:v>
      </x:c>
      <x:c r="D296" s="10" t="str">
        <x:v>S3Machine.remove_group</x:v>
      </x:c>
      <x:c r="E296" s="10" t="str">
        <x:v>Python 状态机规则</x:v>
      </x:c>
      <x:c r="F296" s="10" t="str">
        <x:v>待执行</x:v>
      </x:c>
      <x:c r="G296" s="10" t="str">
        <x:v>其他平台／集成；根据 workflow 条件选择</x:v>
      </x:c>
      <x:c r="H296" s="10" t="str">
        <x:v>.github/scripts/hypo/s3.py:363</x:v>
      </x:c>
      <x:c r="I296" s="10" t="str">
        <x:v>https://github.com/juicedata/juicefs/blob/30190ca1094d26e85f19a979ca51b0ea19af1eaa/.github/scripts/hypo/s3.py#L363</x:v>
      </x:c>
      <x:c r="J296" s="10" t="str">
        <x:v>未提升为 Windows 执行项</x:v>
      </x:c>
      <x:c r="K296" s="10" t="str">
        <x:v>rule(target=groups, alias=aliases, group_name=consumes(groups).filter(lambda x: x != multiple()), group_members=st_group_members); precondition(lambda self: 'remove_group' not in self.EXCLUDE_RULES)</x:v>
      </x:c>
      <x:c r="L296" s="10" t="str">
        <x:v>状态机运行序列按运行参数生成，未在此展开；级别为源码目录初分，未执行项目不能计作通过</x:v>
      </x:c>
    </x:row>
    <x:row r="297" ht="42" customHeight="1">
      <x:c r="A297" s="11" t="str">
        <x:v>UP-7ad6345d81da</x:v>
      </x:c>
      <x:c r="B297" s="11" t="str">
        <x:v>L3</x:v>
      </x:c>
      <x:c r="C297" s="11" t="str">
        <x:v>应用与界面兼容</x:v>
      </x:c>
      <x:c r="D297" s="11" t="str">
        <x:v>S3Machine.disable_group</x:v>
      </x:c>
      <x:c r="E297" s="11" t="str">
        <x:v>Python 状态机规则</x:v>
      </x:c>
      <x:c r="F297" s="11" t="str">
        <x:v>待执行</x:v>
      </x:c>
      <x:c r="G297" s="11" t="str">
        <x:v>其他平台／集成；根据 workflow 条件选择</x:v>
      </x:c>
      <x:c r="H297" s="11" t="str">
        <x:v>.github/scripts/hypo/s3.py:377</x:v>
      </x:c>
      <x:c r="I297" s="11" t="str">
        <x:v>https://github.com/juicedata/juicefs/blob/30190ca1094d26e85f19a979ca51b0ea19af1eaa/.github/scripts/hypo/s3.py#L377</x:v>
      </x:c>
      <x:c r="J297" s="11" t="str">
        <x:v>未提升为 Windows 执行项</x:v>
      </x:c>
      <x:c r="K297" s="11" t="str">
        <x:v>rule(alias=aliases, group_name=groups.filter(lambda x: x != multiple())); precondition(lambda self: 'disable_group' not in self.EXCLUDE_RULES)</x:v>
      </x:c>
      <x:c r="L297" s="11" t="str">
        <x:v>状态机运行序列按运行参数生成，未在此展开；级别为源码目录初分，未执行项目不能计作通过</x:v>
      </x:c>
    </x:row>
    <x:row r="298" ht="42" customHeight="1">
      <x:c r="A298" s="10" t="str">
        <x:v>UP-2538029a7f33</x:v>
      </x:c>
      <x:c r="B298" s="10" t="str">
        <x:v>L3</x:v>
      </x:c>
      <x:c r="C298" s="10" t="str">
        <x:v>应用与界面兼容</x:v>
      </x:c>
      <x:c r="D298" s="10" t="str">
        <x:v>S3Machine.enable_group</x:v>
      </x:c>
      <x:c r="E298" s="10" t="str">
        <x:v>Python 状态机规则</x:v>
      </x:c>
      <x:c r="F298" s="10" t="str">
        <x:v>待执行</x:v>
      </x:c>
      <x:c r="G298" s="10" t="str">
        <x:v>其他平台／集成；根据 workflow 条件选择</x:v>
      </x:c>
      <x:c r="H298" s="10" t="str">
        <x:v>.github/scripts/hypo/s3.py:387</x:v>
      </x:c>
      <x:c r="I298" s="10" t="str">
        <x:v>https://github.com/juicedata/juicefs/blob/30190ca1094d26e85f19a979ca51b0ea19af1eaa/.github/scripts/hypo/s3.py#L387</x:v>
      </x:c>
      <x:c r="J298" s="10" t="str">
        <x:v>未提升为 Windows 执行项</x:v>
      </x:c>
      <x:c r="K298" s="10" t="str">
        <x:v>rule(alias=aliases, group_name=groups.filter(lambda x: x != multiple())); precondition(lambda self: 'enable_group' not in self.EXCLUDE_RULES)</x:v>
      </x:c>
      <x:c r="L298" s="10" t="str">
        <x:v>状态机运行序列按运行参数生成，未在此展开；级别为源码目录初分，未执行项目不能计作通过</x:v>
      </x:c>
    </x:row>
    <x:row r="299" ht="58" customHeight="1">
      <x:c r="A299" s="11" t="str">
        <x:v>UP-f52caa578d86</x:v>
      </x:c>
      <x:c r="B299" s="11" t="str">
        <x:v>L3</x:v>
      </x:c>
      <x:c r="C299" s="11" t="str">
        <x:v>应用与界面兼容</x:v>
      </x:c>
      <x:c r="D299" s="11" t="str">
        <x:v>S3Machine.add_policy</x:v>
      </x:c>
      <x:c r="E299" s="11" t="str">
        <x:v>Python 状态机规则</x:v>
      </x:c>
      <x:c r="F299" s="11" t="str">
        <x:v>待执行</x:v>
      </x:c>
      <x:c r="G299" s="11" t="str">
        <x:v>其他平台／集成；根据 workflow 条件选择</x:v>
      </x:c>
      <x:c r="H299" s="11" t="str">
        <x:v>.github/scripts/hypo/s3.py:399</x:v>
      </x:c>
      <x:c r="I299" s="11" t="str">
        <x:v>https://github.com/juicedata/juicefs/blob/30190ca1094d26e85f19a979ca51b0ea19af1eaa/.github/scripts/hypo/s3.py#L399</x:v>
      </x:c>
      <x:c r="J299" s="11" t="str">
        <x:v>未提升为 Windows 执行项</x:v>
      </x:c>
      <x:c r="K299" s="11" t="str">
        <x:v>rule(target=policies, alias=st.just(ROOT_ALIAS), policy_name=st_policy_name, policy_document=st_policy); precondition(lambda self: 'add_policy' not in self.EXCLUDE_RULES)</x:v>
      </x:c>
      <x:c r="L299" s="11" t="str">
        <x:v>状态机运行序列按运行参数生成，未在此展开；级别为源码目录初分，未执行项目不能计作通过</x:v>
      </x:c>
    </x:row>
    <x:row r="300" ht="58" customHeight="1">
      <x:c r="A300" s="10" t="str">
        <x:v>UP-faa4e1840c7b</x:v>
      </x:c>
      <x:c r="B300" s="10" t="str">
        <x:v>L2</x:v>
      </x:c>
      <x:c r="C300" s="10" t="str">
        <x:v>命名与目录</x:v>
      </x:c>
      <x:c r="D300" s="10" t="str">
        <x:v>S3Machine.remove_policy</x:v>
      </x:c>
      <x:c r="E300" s="10" t="str">
        <x:v>Python 状态机规则</x:v>
      </x:c>
      <x:c r="F300" s="10" t="str">
        <x:v>待执行</x:v>
      </x:c>
      <x:c r="G300" s="10" t="str">
        <x:v>其他平台／集成；根据 workflow 条件选择</x:v>
      </x:c>
      <x:c r="H300" s="10" t="str">
        <x:v>.github/scripts/hypo/s3.py:414</x:v>
      </x:c>
      <x:c r="I300" s="10" t="str">
        <x:v>https://github.com/juicedata/juicefs/blob/30190ca1094d26e85f19a979ca51b0ea19af1eaa/.github/scripts/hypo/s3.py#L414</x:v>
      </x:c>
      <x:c r="J300" s="10" t="str">
        <x:v>未提升为 Windows 执行项</x:v>
      </x:c>
      <x:c r="K300" s="10" t="str">
        <x:v>rule(target=policies, alias=st.just(ROOT_ALIAS), policy_name=consumes(policies).filter(lambda x: x != multiple()).filter(lambda x: x not in BUILD_IN_POLICIES)); precondition(lambda self: 'remove_policy' not in self.EXCLUDE_RULES)</x:v>
      </x:c>
      <x:c r="L300" s="10" t="str">
        <x:v>状态机运行序列按运行参数生成，未在此展开；级别为源码目录初分，未执行项目不能计作通过</x:v>
      </x:c>
    </x:row>
    <x:row r="301" ht="42" customHeight="1">
      <x:c r="A301" s="11" t="str">
        <x:v>UP-c0f21a8455d2</x:v>
      </x:c>
      <x:c r="B301" s="11" t="str">
        <x:v>L3</x:v>
      </x:c>
      <x:c r="C301" s="11" t="str">
        <x:v>应用与界面兼容</x:v>
      </x:c>
      <x:c r="D301" s="11" t="str">
        <x:v>S3Machine.policy_info</x:v>
      </x:c>
      <x:c r="E301" s="11" t="str">
        <x:v>Python 状态机规则</x:v>
      </x:c>
      <x:c r="F301" s="11" t="str">
        <x:v>待执行</x:v>
      </x:c>
      <x:c r="G301" s="11" t="str">
        <x:v>其他平台／集成；根据 workflow 条件选择</x:v>
      </x:c>
      <x:c r="H301" s="11" t="str">
        <x:v>.github/scripts/hypo/s3.py:430</x:v>
      </x:c>
      <x:c r="I301" s="11" t="str">
        <x:v>https://github.com/juicedata/juicefs/blob/30190ca1094d26e85f19a979ca51b0ea19af1eaa/.github/scripts/hypo/s3.py#L430</x:v>
      </x:c>
      <x:c r="J301" s="11" t="str">
        <x:v>未提升为 Windows 执行项</x:v>
      </x:c>
      <x:c r="K301" s="11" t="str">
        <x:v>rule(alias=st.just(ROOT_ALIAS), policy_name=policies.filter(lambda x: x != multiple())); precondition(lambda self: 'policy_info' not in self.EXCLUDE_RULES)</x:v>
      </x:c>
      <x:c r="L301" s="11" t="str">
        <x:v>状态机运行序列按运行参数生成，未在此展开；级别为源码目录初分，未执行项目不能计作通过</x:v>
      </x:c>
    </x:row>
    <x:row r="302" ht="42" customHeight="1">
      <x:c r="A302" s="10" t="str">
        <x:v>UP-892f4e8ba488</x:v>
      </x:c>
      <x:c r="B302" s="10" t="str">
        <x:v>L3</x:v>
      </x:c>
      <x:c r="C302" s="10" t="str">
        <x:v>应用与界面兼容</x:v>
      </x:c>
      <x:c r="D302" s="10" t="str">
        <x:v>S3Machine.list_policies</x:v>
      </x:c>
      <x:c r="E302" s="10" t="str">
        <x:v>Python 状态机规则</x:v>
      </x:c>
      <x:c r="F302" s="10" t="str">
        <x:v>待执行</x:v>
      </x:c>
      <x:c r="G302" s="10" t="str">
        <x:v>其他平台／集成；根据 workflow 条件选择</x:v>
      </x:c>
      <x:c r="H302" s="10" t="str">
        <x:v>.github/scripts/hypo/s3.py:437</x:v>
      </x:c>
      <x:c r="I302" s="10" t="str">
        <x:v>https://github.com/juicedata/juicefs/blob/30190ca1094d26e85f19a979ca51b0ea19af1eaa/.github/scripts/hypo/s3.py#L437</x:v>
      </x:c>
      <x:c r="J302" s="10" t="str">
        <x:v>未提升为 Windows 执行项</x:v>
      </x:c>
      <x:c r="K302" s="10" t="str">
        <x:v>rule(alias=st.just(ROOT_ALIAS)); precondition(lambda self: 'list_policies' not in self.EXCLUDE_RULES)</x:v>
      </x:c>
      <x:c r="L302" s="10" t="str">
        <x:v>状态机运行序列按运行参数生成，未在此展开；级别为源码目录初分，未执行项目不能计作通过</x:v>
      </x:c>
    </x:row>
    <x:row r="303" ht="58" customHeight="1">
      <x:c r="A303" s="11" t="str">
        <x:v>UP-f950bfde8dc2</x:v>
      </x:c>
      <x:c r="B303" s="11" t="str">
        <x:v>L3</x:v>
      </x:c>
      <x:c r="C303" s="11" t="str">
        <x:v>应用与界面兼容</x:v>
      </x:c>
      <x:c r="D303" s="11" t="str">
        <x:v>S3Machine.set_policy_to_user</x:v>
      </x:c>
      <x:c r="E303" s="11" t="str">
        <x:v>Python 状态机规则</x:v>
      </x:c>
      <x:c r="F303" s="11" t="str">
        <x:v>待执行</x:v>
      </x:c>
      <x:c r="G303" s="11" t="str">
        <x:v>其他平台／集成；根据 workflow 条件选择</x:v>
      </x:c>
      <x:c r="H303" s="11" t="str">
        <x:v>.github/scripts/hypo/s3.py:449</x:v>
      </x:c>
      <x:c r="I303" s="11" t="str">
        <x:v>https://github.com/juicedata/juicefs/blob/30190ca1094d26e85f19a979ca51b0ea19af1eaa/.github/scripts/hypo/s3.py#L449</x:v>
      </x:c>
      <x:c r="J303" s="11" t="str">
        <x:v>未提升为 Windows 执行项</x:v>
      </x:c>
      <x:c r="K303" s="11" t="str">
        <x:v>rule(target=user_policies, alias=st.just(ROOT_ALIAS), user_name=users.filter(lambda x: x != multiple()), policy_name=policies.filter(lambda x: x != multiple())); precondition(lambda self: 'set_policy_to_user' not in self.EXCLUDE_RULES)</x:v>
      </x:c>
      <x:c r="L303" s="11" t="str">
        <x:v>状态机运行序列按运行参数生成，未在此展开；级别为源码目录初分，未执行项目不能计作通过</x:v>
      </x:c>
    </x:row>
    <x:row r="304" ht="58" customHeight="1">
      <x:c r="A304" s="10" t="str">
        <x:v>UP-8578818b56a0</x:v>
      </x:c>
      <x:c r="B304" s="10" t="str">
        <x:v>L3</x:v>
      </x:c>
      <x:c r="C304" s="10" t="str">
        <x:v>应用与界面兼容</x:v>
      </x:c>
      <x:c r="D304" s="10" t="str">
        <x:v>S3Machine.set_policy_to_group</x:v>
      </x:c>
      <x:c r="E304" s="10" t="str">
        <x:v>Python 状态机规则</x:v>
      </x:c>
      <x:c r="F304" s="10" t="str">
        <x:v>待执行</x:v>
      </x:c>
      <x:c r="G304" s="10" t="str">
        <x:v>其他平台／集成；根据 workflow 条件选择</x:v>
      </x:c>
      <x:c r="H304" s="10" t="str">
        <x:v>.github/scripts/hypo/s3.py:465</x:v>
      </x:c>
      <x:c r="I304" s="10" t="str">
        <x:v>https://github.com/juicedata/juicefs/blob/30190ca1094d26e85f19a979ca51b0ea19af1eaa/.github/scripts/hypo/s3.py#L465</x:v>
      </x:c>
      <x:c r="J304" s="10" t="str">
        <x:v>未提升为 Windows 执行项</x:v>
      </x:c>
      <x:c r="K304" s="10" t="str">
        <x:v>rule(target=group_policies, alias=st.just(ROOT_ALIAS), group_name=groups.filter(lambda x: x != multiple()), policy_name=policies.filter(lambda x: x != multiple())); precondition(lambda self: 'set_policy_to_group' not in self.EXCLUDE_RULES)</x:v>
      </x:c>
      <x:c r="L304" s="10" t="str">
        <x:v>状态机运行序列按运行参数生成，未在此展开；级别为源码目录初分，未执行项目不能计作通过</x:v>
      </x:c>
    </x:row>
    <x:row r="305" ht="58" customHeight="1">
      <x:c r="A305" s="11" t="str">
        <x:v>UP-6caa7eb6f205</x:v>
      </x:c>
      <x:c r="B305" s="11" t="str">
        <x:v>L3</x:v>
      </x:c>
      <x:c r="C305" s="11" t="str">
        <x:v>应用与界面兼容</x:v>
      </x:c>
      <x:c r="D305" s="11" t="str">
        <x:v>S3Machine.unset_policy_from_user</x:v>
      </x:c>
      <x:c r="E305" s="11" t="str">
        <x:v>Python 状态机规则</x:v>
      </x:c>
      <x:c r="F305" s="11" t="str">
        <x:v>待执行</x:v>
      </x:c>
      <x:c r="G305" s="11" t="str">
        <x:v>其他平台／集成；根据 workflow 条件选择</x:v>
      </x:c>
      <x:c r="H305" s="11" t="str">
        <x:v>.github/scripts/hypo/s3.py:480</x:v>
      </x:c>
      <x:c r="I305" s="11" t="str">
        <x:v>https://github.com/juicedata/juicefs/blob/30190ca1094d26e85f19a979ca51b0ea19af1eaa/.github/scripts/hypo/s3.py#L480</x:v>
      </x:c>
      <x:c r="J305" s="11" t="str">
        <x:v>未提升为 Windows 执行项</x:v>
      </x:c>
      <x:c r="K305" s="11" t="str">
        <x:v>rule(target=user_policies, alias=st.just(ROOT_ALIAS), user_policy=consumes(user_policies).filter(lambda x: x != multiple())); precondition(lambda self: 'unset_policy_from_user' not in self.EXCLUDE_RULES)</x:v>
      </x:c>
      <x:c r="L305" s="11" t="str">
        <x:v>状态机运行序列按运行参数生成，未在此展开；级别为源码目录初分，未执行项目不能计作通过</x:v>
      </x:c>
    </x:row>
    <x:row r="306" ht="58" customHeight="1">
      <x:c r="A306" s="10" t="str">
        <x:v>UP-d74d517b3218</x:v>
      </x:c>
      <x:c r="B306" s="10" t="str">
        <x:v>L3</x:v>
      </x:c>
      <x:c r="C306" s="10" t="str">
        <x:v>应用与界面兼容</x:v>
      </x:c>
      <x:c r="D306" s="10" t="str">
        <x:v>S3Machine.unset_policy_from_group</x:v>
      </x:c>
      <x:c r="E306" s="10" t="str">
        <x:v>Python 状态机规则</x:v>
      </x:c>
      <x:c r="F306" s="10" t="str">
        <x:v>待执行</x:v>
      </x:c>
      <x:c r="G306" s="10" t="str">
        <x:v>其他平台／集成；根据 workflow 条件选择</x:v>
      </x:c>
      <x:c r="H306" s="10" t="str">
        <x:v>.github/scripts/hypo/s3.py:497</x:v>
      </x:c>
      <x:c r="I306" s="10" t="str">
        <x:v>https://github.com/juicedata/juicefs/blob/30190ca1094d26e85f19a979ca51b0ea19af1eaa/.github/scripts/hypo/s3.py#L497</x:v>
      </x:c>
      <x:c r="J306" s="10" t="str">
        <x:v>未提升为 Windows 执行项</x:v>
      </x:c>
      <x:c r="K306" s="10" t="str">
        <x:v>rule(target=group_policies, alias=st.just(ROOT_ALIAS), group_policy=consumes(group_policies).filter(lambda x: x != multiple())); precondition(lambda self: 'unset_policy_from_group' not in self.EXCLUDE_RULES)</x:v>
      </x:c>
      <x:c r="L306" s="10" t="str">
        <x:v>状态机运行序列按运行参数生成，未在此展开；级别为源码目录初分，未执行项目不能计作通过</x:v>
      </x:c>
    </x:row>
    <x:row r="307" ht="58" customHeight="1">
      <x:c r="A307" s="11" t="str">
        <x:v>UP-7e1bbb142bdc</x:v>
      </x:c>
      <x:c r="B307" s="11" t="str">
        <x:v>L3</x:v>
      </x:c>
      <x:c r="C307" s="11" t="str">
        <x:v>应用与界面兼容</x:v>
      </x:c>
      <x:c r="D307" s="11" t="str">
        <x:v>S3Machine.set_alias</x:v>
      </x:c>
      <x:c r="E307" s="11" t="str">
        <x:v>Python 状态机规则</x:v>
      </x:c>
      <x:c r="F307" s="11" t="str">
        <x:v>待执行</x:v>
      </x:c>
      <x:c r="G307" s="11" t="str">
        <x:v>其他平台／集成；根据 workflow 条件选择</x:v>
      </x:c>
      <x:c r="H307" s="11" t="str">
        <x:v>.github/scripts/hypo/s3.py:516</x:v>
      </x:c>
      <x:c r="I307" s="11" t="str">
        <x:v>https://github.com/juicedata/juicefs/blob/30190ca1094d26e85f19a979ca51b0ea19af1eaa/.github/scripts/hypo/s3.py#L516</x:v>
      </x:c>
      <x:c r="J307" s="11" t="str">
        <x:v>未提升为 Windows 执行项</x:v>
      </x:c>
      <x:c r="K307" s="11" t="str">
        <x:v>rule(target=aliases, alias=st_alias_name, user_name=st_user_name, url1=st.just(URL1), url2=st.sampled_from([URL2])); precondition(lambda self: 'set_alias' not in self.EXCLUDE_RULES)</x:v>
      </x:c>
      <x:c r="L307" s="11" t="str">
        <x:v>状态机运行序列按运行参数生成，未在此展开；级别为源码目录初分，未执行项目不能计作通过</x:v>
      </x:c>
    </x:row>
    <x:row r="308" ht="42" customHeight="1">
      <x:c r="A308" s="10" t="str">
        <x:v>UP-6566d7aee438</x:v>
      </x:c>
      <x:c r="B308" s="10" t="str">
        <x:v>L2</x:v>
      </x:c>
      <x:c r="C308" s="10" t="str">
        <x:v>命名与目录</x:v>
      </x:c>
      <x:c r="D308" s="10" t="str">
        <x:v>S3Machine.remove_alias</x:v>
      </x:c>
      <x:c r="E308" s="10" t="str">
        <x:v>Python 状态机规则</x:v>
      </x:c>
      <x:c r="F308" s="10" t="str">
        <x:v>待执行</x:v>
      </x:c>
      <x:c r="G308" s="10" t="str">
        <x:v>其他平台／集成；根据 workflow 条件选择</x:v>
      </x:c>
      <x:c r="H308" s="10" t="str">
        <x:v>.github/scripts/hypo/s3.py:530</x:v>
      </x:c>
      <x:c r="I308" s="10" t="str">
        <x:v>https://github.com/juicedata/juicefs/blob/30190ca1094d26e85f19a979ca51b0ea19af1eaa/.github/scripts/hypo/s3.py#L530</x:v>
      </x:c>
      <x:c r="J308" s="10" t="str">
        <x:v>未提升为 Windows 执行项</x:v>
      </x:c>
      <x:c r="K308" s="10" t="str">
        <x:v>rule(target=aliases, alias=consumes(aliases)); precondition(lambda self: 'remove_alias' not in self.EXCLUDE_RULES)</x:v>
      </x:c>
      <x:c r="L308" s="10" t="str">
        <x:v>状态机运行序列按运行参数生成，未在此展开；级别为源码目录初分，未执行项目不能计作通过</x:v>
      </x:c>
    </x:row>
    <x:row r="309" ht="42" customHeight="1">
      <x:c r="A309" s="11" t="str">
        <x:v>UP-61e4da7fde43</x:v>
      </x:c>
      <x:c r="B309" s="11" t="str">
        <x:v>L3</x:v>
      </x:c>
      <x:c r="C309" s="11" t="str">
        <x:v>应用与界面兼容</x:v>
      </x:c>
      <x:c r="D309" s="11" t="str">
        <x:v>文件入口</x:v>
      </x:c>
      <x:c r="E309" s="11" t="str">
        <x:v>脚本／文件入口</x:v>
      </x:c>
      <x:c r="F309" s="11" t="str">
        <x:v>待执行</x:v>
      </x:c>
      <x:c r="G309" s="11" t="str">
        <x:v>其他平台／集成；根据 workflow 条件选择</x:v>
      </x:c>
      <x:c r="H309" s="11" t="str">
        <x:v>.github/scripts/hypo/s3_contant.py:1</x:v>
      </x:c>
      <x:c r="I309" s="11" t="str">
        <x:v>https://github.com/juicedata/juicefs/blob/30190ca1094d26e85f19a979ca51b0ea19af1eaa/.github/scripts/hypo/s3_contant.py#L1</x:v>
      </x:c>
      <x:c r="J309" s="11" t="str">
        <x:v>未提升为 Windows 执行项</x:v>
      </x:c>
      <x:c r="K309" s="11" t="str">
        <x:v>见源文件及 CI 条件</x:v>
      </x:c>
      <x:c r="L309" s="11" t="str">
        <x:v>无可静态枚举的命名测试函数；保留文件范围，不推定已执行；级别为源码目录初分，未执行项目不能计作通过</x:v>
      </x:c>
    </x:row>
    <x:row r="310" ht="42" customHeight="1">
      <x:c r="A310" s="10" t="str">
        <x:v>UP-dccb593cf06c</x:v>
      </x:c>
      <x:c r="B310" s="10" t="str">
        <x:v>L3</x:v>
      </x:c>
      <x:c r="C310" s="10" t="str">
        <x:v>应用与界面兼容</x:v>
      </x:c>
      <x:c r="D310" s="10" t="str">
        <x:v>文件入口</x:v>
      </x:c>
      <x:c r="E310" s="10" t="str">
        <x:v>脚本／文件入口</x:v>
      </x:c>
      <x:c r="F310" s="10" t="str">
        <x:v>待执行</x:v>
      </x:c>
      <x:c r="G310" s="10" t="str">
        <x:v>其他平台／集成；根据 workflow 条件选择</x:v>
      </x:c>
      <x:c r="H310" s="10" t="str">
        <x:v>.github/scripts/hypo/s3_op.py:1</x:v>
      </x:c>
      <x:c r="I310" s="10" t="str">
        <x:v>https://github.com/juicedata/juicefs/blob/30190ca1094d26e85f19a979ca51b0ea19af1eaa/.github/scripts/hypo/s3_op.py#L1</x:v>
      </x:c>
      <x:c r="J310" s="10" t="str">
        <x:v>未提升为 Windows 执行项</x:v>
      </x:c>
      <x:c r="K310" s="10" t="str">
        <x:v>见源文件及 CI 条件</x:v>
      </x:c>
      <x:c r="L310" s="10" t="str">
        <x:v>无可静态枚举的命名测试函数；保留文件范围，不推定已执行；级别为源码目录初分，未执行项目不能计作通过</x:v>
      </x:c>
    </x:row>
    <x:row r="311" ht="42" customHeight="1">
      <x:c r="A311" s="11" t="str">
        <x:v>UP-585cefc35bce</x:v>
      </x:c>
      <x:c r="B311" s="11" t="str">
        <x:v>L3</x:v>
      </x:c>
      <x:c r="C311" s="11" t="str">
        <x:v>应用与界面兼容</x:v>
      </x:c>
      <x:c r="D311" s="11" t="str">
        <x:v>文件入口</x:v>
      </x:c>
      <x:c r="E311" s="11" t="str">
        <x:v>脚本／文件入口</x:v>
      </x:c>
      <x:c r="F311" s="11" t="str">
        <x:v>待执行</x:v>
      </x:c>
      <x:c r="G311" s="11" t="str">
        <x:v>其他平台／集成；根据 workflow 条件选择</x:v>
      </x:c>
      <x:c r="H311" s="11" t="str">
        <x:v>.github/scripts/hypo/s3_strategy.py:1</x:v>
      </x:c>
      <x:c r="I311" s="11" t="str">
        <x:v>https://github.com/juicedata/juicefs/blob/30190ca1094d26e85f19a979ca51b0ea19af1eaa/.github/scripts/hypo/s3_strategy.py#L1</x:v>
      </x:c>
      <x:c r="J311" s="11" t="str">
        <x:v>未提升为 Windows 执行项</x:v>
      </x:c>
      <x:c r="K311" s="11" t="str">
        <x:v>见源文件及 CI 条件</x:v>
      </x:c>
      <x:c r="L311" s="11" t="str">
        <x:v>无可静态枚举的命名测试函数；保留文件范围，不推定已执行；级别为源码目录初分，未执行项目不能计作通过</x:v>
      </x:c>
    </x:row>
    <x:row r="312" ht="42" customHeight="1">
      <x:c r="A312" s="10" t="str">
        <x:v>UP-476f8bc9f173</x:v>
      </x:c>
      <x:c r="B312" s="10" t="str">
        <x:v>L3</x:v>
      </x:c>
      <x:c r="C312" s="10" t="str">
        <x:v>应用与界面兼容</x:v>
      </x:c>
      <x:c r="D312" s="10" t="str">
        <x:v>TestS3.test_bucket</x:v>
      </x:c>
      <x:c r="E312" s="10" t="str">
        <x:v>Python 测试</x:v>
      </x:c>
      <x:c r="F312" s="10" t="str">
        <x:v>待执行</x:v>
      </x:c>
      <x:c r="G312" s="10" t="str">
        <x:v>其他平台／集成；根据 workflow 条件选择</x:v>
      </x:c>
      <x:c r="H312" s="10" t="str">
        <x:v>.github/scripts/hypo/s3_test.py:5</x:v>
      </x:c>
      <x:c r="I312" s="10" t="str">
        <x:v>https://github.com/juicedata/juicefs/blob/30190ca1094d26e85f19a979ca51b0ea19af1eaa/.github/scripts/hypo/s3_test.py#L5</x:v>
      </x:c>
      <x:c r="J312" s="10" t="str">
        <x:v>未提升为 Windows 执行项</x:v>
      </x:c>
      <x:c r="K312" s="10" t="str">
        <x:v>见源文件及 CI 条件</x:v>
      </x:c>
      <x:c r="L312" s="10" t="str">
        <x:v>状态机运行序列按运行参数生成，未在此展开；级别为源码目录初分，未执行项目不能计作通过</x:v>
      </x:c>
    </x:row>
    <x:row r="313" ht="42" customHeight="1">
      <x:c r="A313" s="11" t="str">
        <x:v>UP-9f45e03c5472</x:v>
      </x:c>
      <x:c r="B313" s="11" t="str">
        <x:v>L3</x:v>
      </x:c>
      <x:c r="C313" s="11" t="str">
        <x:v>应用与界面兼容</x:v>
      </x:c>
      <x:c r="D313" s="11" t="str">
        <x:v>TestS3.test_user</x:v>
      </x:c>
      <x:c r="E313" s="11" t="str">
        <x:v>Python 测试</x:v>
      </x:c>
      <x:c r="F313" s="11" t="str">
        <x:v>待执行</x:v>
      </x:c>
      <x:c r="G313" s="11" t="str">
        <x:v>其他平台／集成；根据 workflow 条件选择</x:v>
      </x:c>
      <x:c r="H313" s="11" t="str">
        <x:v>.github/scripts/hypo/s3_test.py:24</x:v>
      </x:c>
      <x:c r="I313" s="11" t="str">
        <x:v>https://github.com/juicedata/juicefs/blob/30190ca1094d26e85f19a979ca51b0ea19af1eaa/.github/scripts/hypo/s3_test.py#L24</x:v>
      </x:c>
      <x:c r="J313" s="11" t="str">
        <x:v>未提升为 Windows 执行项</x:v>
      </x:c>
      <x:c r="K313" s="11" t="str">
        <x:v>见源文件及 CI 条件</x:v>
      </x:c>
      <x:c r="L313" s="11" t="str">
        <x:v>状态机运行序列按运行参数生成，未在此展开；级别为源码目录初分，未执行项目不能计作通过</x:v>
      </x:c>
    </x:row>
    <x:row r="314" ht="42" customHeight="1">
      <x:c r="A314" s="10" t="str">
        <x:v>UP-e94524408f23</x:v>
      </x:c>
      <x:c r="B314" s="10" t="str">
        <x:v>L3</x:v>
      </x:c>
      <x:c r="C314" s="10" t="str">
        <x:v>应用与界面兼容</x:v>
      </x:c>
      <x:c r="D314" s="10" t="str">
        <x:v>TestS3.test_group</x:v>
      </x:c>
      <x:c r="E314" s="10" t="str">
        <x:v>Python 测试</x:v>
      </x:c>
      <x:c r="F314" s="10" t="str">
        <x:v>待执行</x:v>
      </x:c>
      <x:c r="G314" s="10" t="str">
        <x:v>其他平台／集成；根据 workflow 条件选择</x:v>
      </x:c>
      <x:c r="H314" s="10" t="str">
        <x:v>.github/scripts/hypo/s3_test.py:39</x:v>
      </x:c>
      <x:c r="I314" s="10" t="str">
        <x:v>https://github.com/juicedata/juicefs/blob/30190ca1094d26e85f19a979ca51b0ea19af1eaa/.github/scripts/hypo/s3_test.py#L39</x:v>
      </x:c>
      <x:c r="J314" s="10" t="str">
        <x:v>未提升为 Windows 执行项</x:v>
      </x:c>
      <x:c r="K314" s="10" t="str">
        <x:v>见源文件及 CI 条件</x:v>
      </x:c>
      <x:c r="L314" s="10" t="str">
        <x:v>状态机运行序列按运行参数生成，未在此展开；级别为源码目录初分，未执行项目不能计作通过</x:v>
      </x:c>
    </x:row>
    <x:row r="315" ht="42" customHeight="1">
      <x:c r="A315" s="11" t="str">
        <x:v>UP-17527a8f8ad3</x:v>
      </x:c>
      <x:c r="B315" s="11" t="str">
        <x:v>L3</x:v>
      </x:c>
      <x:c r="C315" s="11" t="str">
        <x:v>应用与界面兼容</x:v>
      </x:c>
      <x:c r="D315" s="11" t="str">
        <x:v>TestS3.test_issue_4682</x:v>
      </x:c>
      <x:c r="E315" s="11" t="str">
        <x:v>Python 测试</x:v>
      </x:c>
      <x:c r="F315" s="11" t="str">
        <x:v>待执行</x:v>
      </x:c>
      <x:c r="G315" s="11" t="str">
        <x:v>其他平台／集成；根据 workflow 条件选择</x:v>
      </x:c>
      <x:c r="H315" s="11" t="str">
        <x:v>.github/scripts/hypo/s3_test.py:78</x:v>
      </x:c>
      <x:c r="I315" s="11" t="str">
        <x:v>https://github.com/juicedata/juicefs/blob/30190ca1094d26e85f19a979ca51b0ea19af1eaa/.github/scripts/hypo/s3_test.py#L78</x:v>
      </x:c>
      <x:c r="J315" s="11" t="str">
        <x:v>未提升为 Windows 执行项</x:v>
      </x:c>
      <x:c r="K315" s="11" t="str">
        <x:v>见源文件及 CI 条件</x:v>
      </x:c>
      <x:c r="L315" s="11" t="str">
        <x:v>状态机运行序列按运行参数生成，未在此展开；级别为源码目录初分，未执行项目不能计作通过</x:v>
      </x:c>
    </x:row>
    <x:row r="316" ht="42" customHeight="1">
      <x:c r="A316" s="10" t="str">
        <x:v>UP-f3541215c027</x:v>
      </x:c>
      <x:c r="B316" s="10" t="str">
        <x:v>L3</x:v>
      </x:c>
      <x:c r="C316" s="10" t="str">
        <x:v>应用与界面兼容</x:v>
      </x:c>
      <x:c r="D316" s="10" t="str">
        <x:v>文件入口</x:v>
      </x:c>
      <x:c r="E316" s="10" t="str">
        <x:v>脚本／文件入口</x:v>
      </x:c>
      <x:c r="F316" s="10" t="str">
        <x:v>待执行</x:v>
      </x:c>
      <x:c r="G316" s="10" t="str">
        <x:v>其他平台／集成；根据 workflow 条件选择</x:v>
      </x:c>
      <x:c r="H316" s="10" t="str">
        <x:v>.github/scripts/hypo/stats.py:1</x:v>
      </x:c>
      <x:c r="I316" s="10" t="str">
        <x:v>https://github.com/juicedata/juicefs/blob/30190ca1094d26e85f19a979ca51b0ea19af1eaa/.github/scripts/hypo/stats.py#L1</x:v>
      </x:c>
      <x:c r="J316" s="10" t="str">
        <x:v>未提升为 Windows 执行项</x:v>
      </x:c>
      <x:c r="K316" s="10" t="str">
        <x:v>见源文件及 CI 条件</x:v>
      </x:c>
      <x:c r="L316" s="10" t="str">
        <x:v>无可静态枚举的命名测试函数；保留文件范围，不推定已执行；级别为源码目录初分，未执行项目不能计作通过</x:v>
      </x:c>
    </x:row>
    <x:row r="317" ht="42" customHeight="1">
      <x:c r="A317" s="11" t="str">
        <x:v>UP-1d985772c570</x:v>
      </x:c>
      <x:c r="B317" s="11" t="str">
        <x:v>L3</x:v>
      </x:c>
      <x:c r="C317" s="11" t="str">
        <x:v>应用与界面兼容</x:v>
      </x:c>
      <x:c r="D317" s="11" t="str">
        <x:v>文件入口</x:v>
      </x:c>
      <x:c r="E317" s="11" t="str">
        <x:v>脚本／文件入口</x:v>
      </x:c>
      <x:c r="F317" s="11" t="str">
        <x:v>待执行</x:v>
      </x:c>
      <x:c r="G317" s="11" t="str">
        <x:v>其他平台／集成；根据 workflow 条件选择</x:v>
      </x:c>
      <x:c r="H317" s="11" t="str">
        <x:v>.github/scripts/hypo/strategy.py:1</x:v>
      </x:c>
      <x:c r="I317" s="11" t="str">
        <x:v>https://github.com/juicedata/juicefs/blob/30190ca1094d26e85f19a979ca51b0ea19af1eaa/.github/scripts/hypo/strategy.py#L1</x:v>
      </x:c>
      <x:c r="J317" s="11" t="str">
        <x:v>未提升为 Windows 执行项</x:v>
      </x:c>
      <x:c r="K317" s="11" t="str">
        <x:v>见源文件及 CI 条件</x:v>
      </x:c>
      <x:c r="L317" s="11" t="str">
        <x:v>无可静态枚举的命名测试函数；保留文件范围，不推定已执行；级别为源码目录初分，未执行项目不能计作通过</x:v>
      </x:c>
    </x:row>
    <x:row r="318" ht="42" customHeight="1">
      <x:c r="A318" s="10" t="str">
        <x:v>UP-38ded8815812</x:v>
      </x:c>
      <x:c r="B318" s="10" t="str">
        <x:v>L2</x:v>
      </x:c>
      <x:c r="C318" s="10" t="str">
        <x:v>网关与后端重试</x:v>
      </x:c>
      <x:c r="D318" s="10" t="str">
        <x:v>SyncMachine.init_folders</x:v>
      </x:c>
      <x:c r="E318" s="10" t="str">
        <x:v>Python 状态机规则</x:v>
      </x:c>
      <x:c r="F318" s="10" t="str">
        <x:v>待执行</x:v>
      </x:c>
      <x:c r="G318" s="10" t="str">
        <x:v>其他平台／集成；根据 workflow 条件选择</x:v>
      </x:c>
      <x:c r="H318" s="10" t="str">
        <x:v>.github/scripts/hypo/sync.py:41</x:v>
      </x:c>
      <x:c r="I318" s="10" t="str">
        <x:v>https://github.com/juicedata/juicefs/blob/30190ca1094d26e85f19a979ca51b0ea19af1eaa/.github/scripts/hypo/sync.py#L41</x:v>
      </x:c>
      <x:c r="J318" s="10" t="str">
        <x:v>未提升为 Windows 执行项</x:v>
      </x:c>
      <x:c r="K318" s="10" t="str">
        <x:v>initialize(target=Folders)</x:v>
      </x:c>
      <x:c r="L318" s="10" t="str">
        <x:v>状态机运行序列按运行参数生成，未在此展开；级别为源码目录初分，未执行项目不能计作通过</x:v>
      </x:c>
    </x:row>
    <x:row r="319" ht="42" customHeight="1">
      <x:c r="A319" s="11" t="str">
        <x:v>UP-d73e884c340d</x:v>
      </x:c>
      <x:c r="B319" s="11" t="str">
        <x:v>L2</x:v>
      </x:c>
      <x:c r="C319" s="11" t="str">
        <x:v>网关与后端重试</x:v>
      </x:c>
      <x:c r="D319" s="11" t="str">
        <x:v>SyncMachine.create_file</x:v>
      </x:c>
      <x:c r="E319" s="11" t="str">
        <x:v>Python 状态机规则</x:v>
      </x:c>
      <x:c r="F319" s="11" t="str">
        <x:v>待执行</x:v>
      </x:c>
      <x:c r="G319" s="11" t="str">
        <x:v>其他平台／集成；根据 workflow 条件选择</x:v>
      </x:c>
      <x:c r="H319" s="11" t="str">
        <x:v>.github/scripts/hypo/sync.py:74</x:v>
      </x:c>
      <x:c r="I319" s="11" t="str">
        <x:v>https://github.com/juicedata/juicefs/blob/30190ca1094d26e85f19a979ca51b0ea19af1eaa/.github/scripts/hypo/sync.py#L74</x:v>
      </x:c>
      <x:c r="J319" s="11" t="str">
        <x:v>未提升为 Windows 执行项</x:v>
      </x:c>
      <x:c r="K319" s="11" t="str">
        <x:v>rule(target=Files, parent=Folders.filter(lambda x: x != multiple()), file_name=st_entry_name, umask=st_umask)</x:v>
      </x:c>
      <x:c r="L319" s="11" t="str">
        <x:v>状态机运行序列按运行参数生成，未在此展开；级别为源码目录初分，未执行项目不能计作通过</x:v>
      </x:c>
    </x:row>
    <x:row r="320" ht="42" customHeight="1">
      <x:c r="A320" s="10" t="str">
        <x:v>UP-cc1c7c8fd152</x:v>
      </x:c>
      <x:c r="B320" s="10" t="str">
        <x:v>L2</x:v>
      </x:c>
      <x:c r="C320" s="10" t="str">
        <x:v>命名与目录</x:v>
      </x:c>
      <x:c r="D320" s="10" t="str">
        <x:v>SyncMachine.mkdir</x:v>
      </x:c>
      <x:c r="E320" s="10" t="str">
        <x:v>Python 状态机规则</x:v>
      </x:c>
      <x:c r="F320" s="10" t="str">
        <x:v>待执行</x:v>
      </x:c>
      <x:c r="G320" s="10" t="str">
        <x:v>其他平台／集成；根据 workflow 条件选择</x:v>
      </x:c>
      <x:c r="H320" s="10" t="str">
        <x:v>.github/scripts/hypo/sync.py:89</x:v>
      </x:c>
      <x:c r="I320" s="10" t="str">
        <x:v>https://github.com/juicedata/juicefs/blob/30190ca1094d26e85f19a979ca51b0ea19af1eaa/.github/scripts/hypo/sync.py#L89</x:v>
      </x:c>
      <x:c r="J320" s="10" t="str">
        <x:v>未提升为 Windows 执行项</x:v>
      </x:c>
      <x:c r="K320" s="10" t="str">
        <x:v>rule(target=Folders, parent=Folders.filter(lambda x: x != multiple()), subdir=st_entry_name, mode=st_entry_mode, umask=st_umask)</x:v>
      </x:c>
      <x:c r="L320" s="10" t="str">
        <x:v>状态机运行序列按运行参数生成，未在此展开；级别为源码目录初分，未执行项目不能计作通过</x:v>
      </x:c>
    </x:row>
    <x:row r="321" ht="42" customHeight="1">
      <x:c r="A321" s="11" t="str">
        <x:v>UP-74f8f0bdce5f</x:v>
      </x:c>
      <x:c r="B321" s="11" t="str">
        <x:v>L2</x:v>
      </x:c>
      <x:c r="C321" s="11" t="str">
        <x:v>网关与后端重试</x:v>
      </x:c>
      <x:c r="D321" s="11" t="str">
        <x:v>SyncMachine.sync</x:v>
      </x:c>
      <x:c r="E321" s="11" t="str">
        <x:v>Python 状态机规则</x:v>
      </x:c>
      <x:c r="F321" s="11" t="str">
        <x:v>待执行</x:v>
      </x:c>
      <x:c r="G321" s="11" t="str">
        <x:v>其他平台／集成；根据 workflow 条件选择</x:v>
      </x:c>
      <x:c r="H321" s="11" t="str">
        <x:v>.github/scripts/hypo/sync.py:100</x:v>
      </x:c>
      <x:c r="I321" s="11" t="str">
        <x:v>https://github.com/juicedata/juicefs/blob/30190ca1094d26e85f19a979ca51b0ea19af1eaa/.github/scripts/hypo/sync.py#L100</x:v>
      </x:c>
      <x:c r="J321" s="11" t="str">
        <x:v>未提升为 Windows 执行项</x:v>
      </x:c>
      <x:c r="K321" s="11" t="str">
        <x:v>rule(options=st_options)</x:v>
      </x:c>
      <x:c r="L321" s="11" t="str">
        <x:v>状态机运行序列按运行参数生成，未在此展开；级别为源码目录初分，未执行项目不能计作通过</x:v>
      </x:c>
    </x:row>
    <x:row r="322" ht="42" customHeight="1">
      <x:c r="A322" s="10" t="str">
        <x:v>UP-04fcf491dd95</x:v>
      </x:c>
      <x:c r="B322" s="10" t="str">
        <x:v>L2</x:v>
      </x:c>
      <x:c r="C322" s="10" t="str">
        <x:v>网关与后端重试</x:v>
      </x:c>
      <x:c r="D322" s="10" t="str">
        <x:v>TestFsrand2.test_sync1</x:v>
      </x:c>
      <x:c r="E322" s="10" t="str">
        <x:v>Python 测试</x:v>
      </x:c>
      <x:c r="F322" s="10" t="str">
        <x:v>待执行</x:v>
      </x:c>
      <x:c r="G322" s="10" t="str">
        <x:v>其他平台／集成；根据 workflow 条件选择</x:v>
      </x:c>
      <x:c r="H322" s="10" t="str">
        <x:v>.github/scripts/hypo/sync_test.py:6</x:v>
      </x:c>
      <x:c r="I322" s="10" t="str">
        <x:v>https://github.com/juicedata/juicefs/blob/30190ca1094d26e85f19a979ca51b0ea19af1eaa/.github/scripts/hypo/sync_test.py#L6</x:v>
      </x:c>
      <x:c r="J322" s="10" t="str">
        <x:v>未提升为 Windows 执行项</x:v>
      </x:c>
      <x:c r="K322" s="10" t="str">
        <x:v>见源文件及 CI 条件</x:v>
      </x:c>
      <x:c r="L322" s="10" t="str">
        <x:v>状态机运行序列按运行参数生成，未在此展开；级别为源码目录初分，未执行项目不能计作通过</x:v>
      </x:c>
    </x:row>
    <x:row r="323" ht="42" customHeight="1">
      <x:c r="A323" s="11" t="str">
        <x:v>UP-1e0d07634d54</x:v>
      </x:c>
      <x:c r="B323" s="11" t="str">
        <x:v>L2</x:v>
      </x:c>
      <x:c r="C323" s="11" t="str">
        <x:v>网关与后端重试</x:v>
      </x:c>
      <x:c r="D323" s="11" t="str">
        <x:v>TestFsrand2.test_sync2</x:v>
      </x:c>
      <x:c r="E323" s="11" t="str">
        <x:v>Python 测试</x:v>
      </x:c>
      <x:c r="F323" s="11" t="str">
        <x:v>待执行</x:v>
      </x:c>
      <x:c r="G323" s="11" t="str">
        <x:v>其他平台／集成；根据 workflow 条件选择</x:v>
      </x:c>
      <x:c r="H323" s="11" t="str">
        <x:v>.github/scripts/hypo/sync_test.py:15</x:v>
      </x:c>
      <x:c r="I323" s="11" t="str">
        <x:v>https://github.com/juicedata/juicefs/blob/30190ca1094d26e85f19a979ca51b0ea19af1eaa/.github/scripts/hypo/sync_test.py#L15</x:v>
      </x:c>
      <x:c r="J323" s="11" t="str">
        <x:v>未提升为 Windows 执行项</x:v>
      </x:c>
      <x:c r="K323" s="11" t="str">
        <x:v>见源文件及 CI 条件</x:v>
      </x:c>
      <x:c r="L323" s="11" t="str">
        <x:v>状态机运行序列按运行参数生成，未在此展开；级别为源码目录初分，未执行项目不能计作通过</x:v>
      </x:c>
    </x:row>
    <x:row r="324" ht="42" customHeight="1">
      <x:c r="A324" s="10" t="str">
        <x:v>UP-bbf23d7a942a</x:v>
      </x:c>
      <x:c r="B324" s="10" t="str">
        <x:v>L2</x:v>
      </x:c>
      <x:c r="C324" s="10" t="str">
        <x:v>网关与后端重试</x:v>
      </x:c>
      <x:c r="D324" s="10" t="str">
        <x:v>TestFsrand2.test_sync3</x:v>
      </x:c>
      <x:c r="E324" s="10" t="str">
        <x:v>Python 测试</x:v>
      </x:c>
      <x:c r="F324" s="10" t="str">
        <x:v>待执行</x:v>
      </x:c>
      <x:c r="G324" s="10" t="str">
        <x:v>其他平台／集成；根据 workflow 条件选择</x:v>
      </x:c>
      <x:c r="H324" s="10" t="str">
        <x:v>.github/scripts/hypo/sync_test.py:22</x:v>
      </x:c>
      <x:c r="I324" s="10" t="str">
        <x:v>https://github.com/juicedata/juicefs/blob/30190ca1094d26e85f19a979ca51b0ea19af1eaa/.github/scripts/hypo/sync_test.py#L22</x:v>
      </x:c>
      <x:c r="J324" s="10" t="str">
        <x:v>未提升为 Windows 执行项</x:v>
      </x:c>
      <x:c r="K324" s="10" t="str">
        <x:v>见源文件及 CI 条件</x:v>
      </x:c>
      <x:c r="L324" s="10" t="str">
        <x:v>状态机运行序列按运行参数生成，未在此展开；级别为源码目录初分，未执行项目不能计作通过</x:v>
      </x:c>
    </x:row>
    <x:row r="325" ht="42" customHeight="1">
      <x:c r="A325" s="11" t="str">
        <x:v>UP-f8a155d9a3a1</x:v>
      </x:c>
      <x:c r="B325" s="11" t="str">
        <x:v>L2</x:v>
      </x:c>
      <x:c r="C325" s="11" t="str">
        <x:v>网关与后端重试</x:v>
      </x:c>
      <x:c r="D325" s="11" t="str">
        <x:v>TestFsrand2.test_sync4</x:v>
      </x:c>
      <x:c r="E325" s="11" t="str">
        <x:v>Python 测试</x:v>
      </x:c>
      <x:c r="F325" s="11" t="str">
        <x:v>待执行</x:v>
      </x:c>
      <x:c r="G325" s="11" t="str">
        <x:v>其他平台／集成；根据 workflow 条件选择</x:v>
      </x:c>
      <x:c r="H325" s="11" t="str">
        <x:v>.github/scripts/hypo/sync_test.py:29</x:v>
      </x:c>
      <x:c r="I325" s="11" t="str">
        <x:v>https://github.com/juicedata/juicefs/blob/30190ca1094d26e85f19a979ca51b0ea19af1eaa/.github/scripts/hypo/sync_test.py#L29</x:v>
      </x:c>
      <x:c r="J325" s="11" t="str">
        <x:v>未提升为 Windows 执行项</x:v>
      </x:c>
      <x:c r="K325" s="11" t="str">
        <x:v>见源文件及 CI 条件</x:v>
      </x:c>
      <x:c r="L325" s="11" t="str">
        <x:v>状态机运行序列按运行参数生成，未在此展开；级别为源码目录初分，未执行项目不能计作通过</x:v>
      </x:c>
    </x:row>
    <x:row r="326" ht="42" customHeight="1">
      <x:c r="A326" s="10" t="str">
        <x:v>UP-9021ff60dbe6</x:v>
      </x:c>
      <x:c r="B326" s="10" t="str">
        <x:v>L2</x:v>
      </x:c>
      <x:c r="C326" s="10" t="str">
        <x:v>网关与后端重试</x:v>
      </x:c>
      <x:c r="D326" s="10" t="str">
        <x:v>TestFsrand2.test_sync5</x:v>
      </x:c>
      <x:c r="E326" s="10" t="str">
        <x:v>Python 测试</x:v>
      </x:c>
      <x:c r="F326" s="10" t="str">
        <x:v>待执行</x:v>
      </x:c>
      <x:c r="G326" s="10" t="str">
        <x:v>其他平台／集成；根据 workflow 条件选择</x:v>
      </x:c>
      <x:c r="H326" s="10" t="str">
        <x:v>.github/scripts/hypo/sync_test.py:36</x:v>
      </x:c>
      <x:c r="I326" s="10" t="str">
        <x:v>https://github.com/juicedata/juicefs/blob/30190ca1094d26e85f19a979ca51b0ea19af1eaa/.github/scripts/hypo/sync_test.py#L36</x:v>
      </x:c>
      <x:c r="J326" s="10" t="str">
        <x:v>未提升为 Windows 执行项</x:v>
      </x:c>
      <x:c r="K326" s="10" t="str">
        <x:v>见源文件及 CI 条件</x:v>
      </x:c>
      <x:c r="L326" s="10" t="str">
        <x:v>状态机运行序列按运行参数生成，未在此展开；级别为源码目录初分，未执行项目不能计作通过</x:v>
      </x:c>
    </x:row>
    <x:row r="327" ht="42" customHeight="1">
      <x:c r="A327" s="11" t="str">
        <x:v>UP-e6c7b97ff2fd</x:v>
      </x:c>
      <x:c r="B327" s="11" t="str">
        <x:v>L2</x:v>
      </x:c>
      <x:c r="C327" s="11" t="str">
        <x:v>网关与后端重试</x:v>
      </x:c>
      <x:c r="D327" s="11" t="str">
        <x:v>TestFsrand2.test_sync6</x:v>
      </x:c>
      <x:c r="E327" s="11" t="str">
        <x:v>Python 测试</x:v>
      </x:c>
      <x:c r="F327" s="11" t="str">
        <x:v>待执行</x:v>
      </x:c>
      <x:c r="G327" s="11" t="str">
        <x:v>其他平台／集成；根据 workflow 条件选择</x:v>
      </x:c>
      <x:c r="H327" s="11" t="str">
        <x:v>.github/scripts/hypo/sync_test.py:46</x:v>
      </x:c>
      <x:c r="I327" s="11" t="str">
        <x:v>https://github.com/juicedata/juicefs/blob/30190ca1094d26e85f19a979ca51b0ea19af1eaa/.github/scripts/hypo/sync_test.py#L46</x:v>
      </x:c>
      <x:c r="J327" s="11" t="str">
        <x:v>未提升为 Windows 执行项</x:v>
      </x:c>
      <x:c r="K327" s="11" t="str">
        <x:v>见源文件及 CI 条件</x:v>
      </x:c>
      <x:c r="L327" s="11" t="str">
        <x:v>状态机运行序列按运行参数生成，未在此展开；级别为源码目录初分，未执行项目不能计作通过</x:v>
      </x:c>
    </x:row>
    <x:row r="328" ht="42" customHeight="1">
      <x:c r="A328" s="10" t="str">
        <x:v>UP-94c0b56908bd</x:v>
      </x:c>
      <x:c r="B328" s="10" t="str">
        <x:v>L2</x:v>
      </x:c>
      <x:c r="C328" s="10" t="str">
        <x:v>网关与后端重试</x:v>
      </x:c>
      <x:c r="D328" s="10" t="str">
        <x:v>TestFsrand2.test_sync7</x:v>
      </x:c>
      <x:c r="E328" s="10" t="str">
        <x:v>Python 测试</x:v>
      </x:c>
      <x:c r="F328" s="10" t="str">
        <x:v>待执行</x:v>
      </x:c>
      <x:c r="G328" s="10" t="str">
        <x:v>其他平台／集成；根据 workflow 条件选择</x:v>
      </x:c>
      <x:c r="H328" s="10" t="str">
        <x:v>.github/scripts/hypo/sync_test.py:53</x:v>
      </x:c>
      <x:c r="I328" s="10" t="str">
        <x:v>https://github.com/juicedata/juicefs/blob/30190ca1094d26e85f19a979ca51b0ea19af1eaa/.github/scripts/hypo/sync_test.py#L53</x:v>
      </x:c>
      <x:c r="J328" s="10" t="str">
        <x:v>未提升为 Windows 执行项</x:v>
      </x:c>
      <x:c r="K328" s="10" t="str">
        <x:v>见源文件及 CI 条件</x:v>
      </x:c>
      <x:c r="L328" s="10" t="str">
        <x:v>状态机运行序列按运行参数生成，未在此展开；级别为源码目录初分，未执行项目不能计作通过</x:v>
      </x:c>
    </x:row>
    <x:row r="329" ht="42" customHeight="1">
      <x:c r="A329" s="11" t="str">
        <x:v>UP-fc3de4c47927</x:v>
      </x:c>
      <x:c r="B329" s="11" t="str">
        <x:v>L2</x:v>
      </x:c>
      <x:c r="C329" s="11" t="str">
        <x:v>网关与后端重试</x:v>
      </x:c>
      <x:c r="D329" s="11" t="str">
        <x:v>TestFsrand2.test_sync8</x:v>
      </x:c>
      <x:c r="E329" s="11" t="str">
        <x:v>Python 测试</x:v>
      </x:c>
      <x:c r="F329" s="11" t="str">
        <x:v>待执行</x:v>
      </x:c>
      <x:c r="G329" s="11" t="str">
        <x:v>其他平台／集成；根据 workflow 条件选择</x:v>
      </x:c>
      <x:c r="H329" s="11" t="str">
        <x:v>.github/scripts/hypo/sync_test.py:60</x:v>
      </x:c>
      <x:c r="I329" s="11" t="str">
        <x:v>https://github.com/juicedata/juicefs/blob/30190ca1094d26e85f19a979ca51b0ea19af1eaa/.github/scripts/hypo/sync_test.py#L60</x:v>
      </x:c>
      <x:c r="J329" s="11" t="str">
        <x:v>未提升为 Windows 执行项</x:v>
      </x:c>
      <x:c r="K329" s="11" t="str">
        <x:v>见源文件及 CI 条件</x:v>
      </x:c>
      <x:c r="L329" s="11" t="str">
        <x:v>状态机运行序列按运行参数生成，未在此展开；级别为源码目录初分，未执行项目不能计作通过</x:v>
      </x:c>
    </x:row>
    <x:row r="330" ht="42" customHeight="1">
      <x:c r="A330" s="10" t="str">
        <x:v>UP-2d4401763a0a</x:v>
      </x:c>
      <x:c r="B330" s="10" t="str">
        <x:v>L2</x:v>
      </x:c>
      <x:c r="C330" s="10" t="str">
        <x:v>网关与后端重试</x:v>
      </x:c>
      <x:c r="D330" s="10" t="str">
        <x:v>TestFsrand2.test_sync9</x:v>
      </x:c>
      <x:c r="E330" s="10" t="str">
        <x:v>Python 测试</x:v>
      </x:c>
      <x:c r="F330" s="10" t="str">
        <x:v>待执行</x:v>
      </x:c>
      <x:c r="G330" s="10" t="str">
        <x:v>其他平台／集成；根据 workflow 条件选择</x:v>
      </x:c>
      <x:c r="H330" s="10" t="str">
        <x:v>.github/scripts/hypo/sync_test.py:68</x:v>
      </x:c>
      <x:c r="I330" s="10" t="str">
        <x:v>https://github.com/juicedata/juicefs/blob/30190ca1094d26e85f19a979ca51b0ea19af1eaa/.github/scripts/hypo/sync_test.py#L68</x:v>
      </x:c>
      <x:c r="J330" s="10" t="str">
        <x:v>未提升为 Windows 执行项</x:v>
      </x:c>
      <x:c r="K330" s="10" t="str">
        <x:v>见源文件及 CI 条件</x:v>
      </x:c>
      <x:c r="L330" s="10" t="str">
        <x:v>状态机运行序列按运行参数生成，未在此展开；级别为源码目录初分，未执行项目不能计作通过</x:v>
      </x:c>
    </x:row>
    <x:row r="331" ht="42" customHeight="1">
      <x:c r="A331" s="11" t="str">
        <x:v>UP-0d95458acaf3</x:v>
      </x:c>
      <x:c r="B331" s="11" t="str">
        <x:v>L3</x:v>
      </x:c>
      <x:c r="C331" s="11" t="str">
        <x:v>应用与界面兼容</x:v>
      </x:c>
      <x:c r="D331" s="11" t="str">
        <x:v>文件入口</x:v>
      </x:c>
      <x:c r="E331" s="11" t="str">
        <x:v>脚本／文件入口</x:v>
      </x:c>
      <x:c r="F331" s="11" t="str">
        <x:v>待执行</x:v>
      </x:c>
      <x:c r="G331" s="11" t="str">
        <x:v>其他平台／集成；根据 workflow 条件选择</x:v>
      </x:c>
      <x:c r="H331" s="11" t="str">
        <x:v>.github/scripts/mutate/check_coverage.py:1</x:v>
      </x:c>
      <x:c r="I331" s="11" t="str">
        <x:v>https://github.com/juicedata/juicefs/blob/30190ca1094d26e85f19a979ca51b0ea19af1eaa/.github/scripts/mutate/check_coverage.py#L1</x:v>
      </x:c>
      <x:c r="J331" s="11" t="str">
        <x:v>未提升为 Windows 执行项</x:v>
      </x:c>
      <x:c r="K331" s="11" t="str">
        <x:v>见源文件及 CI 条件</x:v>
      </x:c>
      <x:c r="L331" s="11" t="str">
        <x:v>无可静态枚举的命名测试函数；保留文件范围，不推定已执行；级别为源码目录初分，未执行项目不能计作通过</x:v>
      </x:c>
    </x:row>
    <x:row r="332" ht="42" customHeight="1">
      <x:c r="A332" s="10" t="str">
        <x:v>UP-7109ad97b899</x:v>
      </x:c>
      <x:c r="B332" s="10" t="str">
        <x:v>L3</x:v>
      </x:c>
      <x:c r="C332" s="10" t="str">
        <x:v>应用与界面兼容</x:v>
      </x:c>
      <x:c r="D332" s="10" t="str">
        <x:v>文件入口</x:v>
      </x:c>
      <x:c r="E332" s="10" t="str">
        <x:v>脚本／文件入口</x:v>
      </x:c>
      <x:c r="F332" s="10" t="str">
        <x:v>待执行</x:v>
      </x:c>
      <x:c r="G332" s="10" t="str">
        <x:v>其他平台／集成；根据 workflow 条件选择</x:v>
      </x:c>
      <x:c r="H332" s="10" t="str">
        <x:v>.github/scripts/mutate/check_skip_by_comment.py:1</x:v>
      </x:c>
      <x:c r="I332" s="10" t="str">
        <x:v>https://github.com/juicedata/juicefs/blob/30190ca1094d26e85f19a979ca51b0ea19af1eaa/.github/scripts/mutate/check_skip_by_comment.py#L1</x:v>
      </x:c>
      <x:c r="J332" s="10" t="str">
        <x:v>未提升为 Windows 执行项</x:v>
      </x:c>
      <x:c r="K332" s="10" t="str">
        <x:v>见源文件及 CI 条件</x:v>
      </x:c>
      <x:c r="L332" s="10" t="str">
        <x:v>无可静态枚举的命名测试函数；保留文件范围，不推定已执行；级别为源码目录初分，未执行项目不能计作通过</x:v>
      </x:c>
    </x:row>
    <x:row r="333" ht="42" customHeight="1">
      <x:c r="A333" s="11" t="str">
        <x:v>UP-0ca4107daad8</x:v>
      </x:c>
      <x:c r="B333" s="11" t="str">
        <x:v>L3</x:v>
      </x:c>
      <x:c r="C333" s="11" t="str">
        <x:v>应用与界面兼容</x:v>
      </x:c>
      <x:c r="D333" s="11" t="str">
        <x:v>文件入口</x:v>
      </x:c>
      <x:c r="E333" s="11" t="str">
        <x:v>脚本／文件入口</x:v>
      </x:c>
      <x:c r="F333" s="11" t="str">
        <x:v>待执行</x:v>
      </x:c>
      <x:c r="G333" s="11" t="str">
        <x:v>其他平台／集成；根据 workflow 条件选择</x:v>
      </x:c>
      <x:c r="H333" s="11" t="str">
        <x:v>.github/scripts/mutate/modify_sdk_pom.py:1</x:v>
      </x:c>
      <x:c r="I333" s="11" t="str">
        <x:v>https://github.com/juicedata/juicefs/blob/30190ca1094d26e85f19a979ca51b0ea19af1eaa/.github/scripts/mutate/modify_sdk_pom.py#L1</x:v>
      </x:c>
      <x:c r="J333" s="11" t="str">
        <x:v>未提升为 Windows 执行项</x:v>
      </x:c>
      <x:c r="K333" s="11" t="str">
        <x:v>见源文件及 CI 条件</x:v>
      </x:c>
      <x:c r="L333" s="11" t="str">
        <x:v>无可静态枚举的命名测试函数；保留文件范围，不推定已执行；级别为源码目录初分，未执行项目不能计作通过</x:v>
      </x:c>
    </x:row>
    <x:row r="334" ht="42" customHeight="1">
      <x:c r="A334" s="10" t="str">
        <x:v>UP-4ed1324f5ecd</x:v>
      </x:c>
      <x:c r="B334" s="10" t="str">
        <x:v>L3</x:v>
      </x:c>
      <x:c r="C334" s="10" t="str">
        <x:v>应用与界面兼容</x:v>
      </x:c>
      <x:c r="D334" s="10" t="str">
        <x:v>文件入口</x:v>
      </x:c>
      <x:c r="E334" s="10" t="str">
        <x:v>脚本／文件入口</x:v>
      </x:c>
      <x:c r="F334" s="10" t="str">
        <x:v>待执行</x:v>
      </x:c>
      <x:c r="G334" s="10" t="str">
        <x:v>其他平台／集成；根据 workflow 条件选择</x:v>
      </x:c>
      <x:c r="H334" s="10" t="str">
        <x:v>.github/scripts/mutate/mutest.sh:1</x:v>
      </x:c>
      <x:c r="I334" s="10" t="str">
        <x:v>https://github.com/juicedata/juicefs/blob/30190ca1094d26e85f19a979ca51b0ea19af1eaa/.github/scripts/mutate/mutest.sh#L1</x:v>
      </x:c>
      <x:c r="J334" s="10" t="str">
        <x:v>未提升为 Windows 执行项</x:v>
      </x:c>
      <x:c r="K334" s="10" t="str">
        <x:v>见源文件及 CI 条件</x:v>
      </x:c>
      <x:c r="L334" s="10" t="str">
        <x:v>无可静态枚举的命名测试函数；保留文件范围，不推定已执行；级别为源码目录初分，未执行项目不能计作通过</x:v>
      </x:c>
    </x:row>
    <x:row r="335" ht="42" customHeight="1">
      <x:c r="A335" s="11" t="str">
        <x:v>UP-ce36d17873ab</x:v>
      </x:c>
      <x:c r="B335" s="11" t="str">
        <x:v>L3</x:v>
      </x:c>
      <x:c r="C335" s="11" t="str">
        <x:v>应用与界面兼容</x:v>
      </x:c>
      <x:c r="D335" s="11" t="str">
        <x:v>文件入口</x:v>
      </x:c>
      <x:c r="E335" s="11" t="str">
        <x:v>脚本／文件入口</x:v>
      </x:c>
      <x:c r="F335" s="11" t="str">
        <x:v>待执行</x:v>
      </x:c>
      <x:c r="G335" s="11" t="str">
        <x:v>其他平台／集成；根据 workflow 条件选择</x:v>
      </x:c>
      <x:c r="H335" s="11" t="str">
        <x:v>.github/scripts/mutate/mutesting.py:1</x:v>
      </x:c>
      <x:c r="I335" s="11" t="str">
        <x:v>https://github.com/juicedata/juicefs/blob/30190ca1094d26e85f19a979ca51b0ea19af1eaa/.github/scripts/mutate/mutesting.py#L1</x:v>
      </x:c>
      <x:c r="J335" s="11" t="str">
        <x:v>未提升为 Windows 执行项</x:v>
      </x:c>
      <x:c r="K335" s="11" t="str">
        <x:v>见源文件及 CI 条件</x:v>
      </x:c>
      <x:c r="L335" s="11" t="str">
        <x:v>无可静态枚举的命名测试函数；保留文件范围，不推定已执行；级别为源码目录初分，未执行项目不能计作通过</x:v>
      </x:c>
    </x:row>
    <x:row r="336" ht="42" customHeight="1">
      <x:c r="A336" s="10" t="str">
        <x:v>UP-577ccf8e41f2</x:v>
      </x:c>
      <x:c r="B336" s="10" t="str">
        <x:v>L3</x:v>
      </x:c>
      <x:c r="C336" s="10" t="str">
        <x:v>应用与界面兼容</x:v>
      </x:c>
      <x:c r="D336" s="10" t="str">
        <x:v>文件入口</x:v>
      </x:c>
      <x:c r="E336" s="10" t="str">
        <x:v>脚本／文件入口</x:v>
      </x:c>
      <x:c r="F336" s="10" t="str">
        <x:v>待执行</x:v>
      </x:c>
      <x:c r="G336" s="10" t="str">
        <x:v>其他平台／集成；根据 workflow 条件选择</x:v>
      </x:c>
      <x:c r="H336" s="10" t="str">
        <x:v>.github/scripts/mutate/parse_black_list.py:1</x:v>
      </x:c>
      <x:c r="I336" s="10" t="str">
        <x:v>https://github.com/juicedata/juicefs/blob/30190ca1094d26e85f19a979ca51b0ea19af1eaa/.github/scripts/mutate/parse_black_list.py#L1</x:v>
      </x:c>
      <x:c r="J336" s="10" t="str">
        <x:v>未提升为 Windows 执行项</x:v>
      </x:c>
      <x:c r="K336" s="10" t="str">
        <x:v>见源文件及 CI 条件</x:v>
      </x:c>
      <x:c r="L336" s="10" t="str">
        <x:v>无可静态枚举的命名测试函数；保留文件范围，不推定已执行；级别为源码目录初分，未执行项目不能计作通过</x:v>
      </x:c>
    </x:row>
    <x:row r="337" ht="42" customHeight="1">
      <x:c r="A337" s="11" t="str">
        <x:v>UP-719f2dc620ab</x:v>
      </x:c>
      <x:c r="B337" s="11" t="str">
        <x:v>L3</x:v>
      </x:c>
      <x:c r="C337" s="11" t="str">
        <x:v>应用与界面兼容</x:v>
      </x:c>
      <x:c r="D337" s="11" t="str">
        <x:v>文件入口</x:v>
      </x:c>
      <x:c r="E337" s="11" t="str">
        <x:v>脚本／文件入口</x:v>
      </x:c>
      <x:c r="F337" s="11" t="str">
        <x:v>待执行</x:v>
      </x:c>
      <x:c r="G337" s="11" t="str">
        <x:v>其他平台／集成；根据 workflow 条件选择</x:v>
      </x:c>
      <x:c r="H337" s="11" t="str">
        <x:v>.github/scripts/mutate/parse_job_total.py:1</x:v>
      </x:c>
      <x:c r="I337" s="11" t="str">
        <x:v>https://github.com/juicedata/juicefs/blob/30190ca1094d26e85f19a979ca51b0ea19af1eaa/.github/scripts/mutate/parse_job_total.py#L1</x:v>
      </x:c>
      <x:c r="J337" s="11" t="str">
        <x:v>未提升为 Windows 执行项</x:v>
      </x:c>
      <x:c r="K337" s="11" t="str">
        <x:v>见源文件及 CI 条件</x:v>
      </x:c>
      <x:c r="L337" s="11" t="str">
        <x:v>无可静态枚举的命名测试函数；保留文件范围，不推定已执行；级别为源码目录初分，未执行项目不能计作通过</x:v>
      </x:c>
    </x:row>
    <x:row r="338" ht="42" customHeight="1">
      <x:c r="A338" s="10" t="str">
        <x:v>UP-0a01fe342e43</x:v>
      </x:c>
      <x:c r="B338" s="10" t="str">
        <x:v>L3</x:v>
      </x:c>
      <x:c r="C338" s="10" t="str">
        <x:v>应用与界面兼容</x:v>
      </x:c>
      <x:c r="D338" s="10" t="str">
        <x:v>文件入口</x:v>
      </x:c>
      <x:c r="E338" s="10" t="str">
        <x:v>脚本／文件入口</x:v>
      </x:c>
      <x:c r="F338" s="10" t="str">
        <x:v>待执行</x:v>
      </x:c>
      <x:c r="G338" s="10" t="str">
        <x:v>其他平台／集成；根据 workflow 条件选择</x:v>
      </x:c>
      <x:c r="H338" s="10" t="str">
        <x:v>.github/scripts/mutate/parse_mutate_log.py:1</x:v>
      </x:c>
      <x:c r="I338" s="10" t="str">
        <x:v>https://github.com/juicedata/juicefs/blob/30190ca1094d26e85f19a979ca51b0ea19af1eaa/.github/scripts/mutate/parse_mutate_log.py#L1</x:v>
      </x:c>
      <x:c r="J338" s="10" t="str">
        <x:v>未提升为 Windows 执行项</x:v>
      </x:c>
      <x:c r="K338" s="10" t="str">
        <x:v>见源文件及 CI 条件</x:v>
      </x:c>
      <x:c r="L338" s="10" t="str">
        <x:v>无可静态枚举的命名测试函数；保留文件范围，不推定已执行；级别为源码目录初分，未执行项目不能计作通过</x:v>
      </x:c>
    </x:row>
    <x:row r="339" ht="42" customHeight="1">
      <x:c r="A339" s="11" t="str">
        <x:v>UP-dbb9dff5a03e</x:v>
      </x:c>
      <x:c r="B339" s="11" t="str">
        <x:v>L3</x:v>
      </x:c>
      <x:c r="C339" s="11" t="str">
        <x:v>应用与界面兼容</x:v>
      </x:c>
      <x:c r="D339" s="11" t="str">
        <x:v>文件入口</x:v>
      </x:c>
      <x:c r="E339" s="11" t="str">
        <x:v>脚本／文件入口</x:v>
      </x:c>
      <x:c r="F339" s="11" t="str">
        <x:v>待执行</x:v>
      </x:c>
      <x:c r="G339" s="11" t="str">
        <x:v>其他平台／集成；根据 workflow 条件选择</x:v>
      </x:c>
      <x:c r="H339" s="11" t="str">
        <x:v>.github/scripts/mutate/parse_test_cases.py:1</x:v>
      </x:c>
      <x:c r="I339" s="11" t="str">
        <x:v>https://github.com/juicedata/juicefs/blob/30190ca1094d26e85f19a979ca51b0ea19af1eaa/.github/scripts/mutate/parse_test_cases.py#L1</x:v>
      </x:c>
      <x:c r="J339" s="11" t="str">
        <x:v>未提升为 Windows 执行项</x:v>
      </x:c>
      <x:c r="K339" s="11" t="str">
        <x:v>见源文件及 CI 条件</x:v>
      </x:c>
      <x:c r="L339" s="11" t="str">
        <x:v>无可静态枚举的命名测试函数；保留文件范围，不推定已执行；级别为源码目录初分，未执行项目不能计作通过</x:v>
      </x:c>
    </x:row>
    <x:row r="340" ht="42" customHeight="1">
      <x:c r="A340" s="10" t="str">
        <x:v>UP-503c59c32a40</x:v>
      </x:c>
      <x:c r="B340" s="10" t="str">
        <x:v>L3</x:v>
      </x:c>
      <x:c r="C340" s="10" t="str">
        <x:v>应用与界面兼容</x:v>
      </x:c>
      <x:c r="D340" s="10" t="str">
        <x:v>文件入口</x:v>
      </x:c>
      <x:c r="E340" s="10" t="str">
        <x:v>脚本／文件入口</x:v>
      </x:c>
      <x:c r="F340" s="10" t="str">
        <x:v>待执行</x:v>
      </x:c>
      <x:c r="G340" s="10" t="str">
        <x:v>其他平台／集成；根据 workflow 条件选择</x:v>
      </x:c>
      <x:c r="H340" s="10" t="str">
        <x:v>.github/scripts/mutate/query_report.py:1</x:v>
      </x:c>
      <x:c r="I340" s="10" t="str">
        <x:v>https://github.com/juicedata/juicefs/blob/30190ca1094d26e85f19a979ca51b0ea19af1eaa/.github/scripts/mutate/query_report.py#L1</x:v>
      </x:c>
      <x:c r="J340" s="10" t="str">
        <x:v>未提升为 Windows 执行项</x:v>
      </x:c>
      <x:c r="K340" s="10" t="str">
        <x:v>见源文件及 CI 条件</x:v>
      </x:c>
      <x:c r="L340" s="10" t="str">
        <x:v>无可静态枚举的命名测试函数；保留文件范围，不推定已执行；级别为源码目录初分，未执行项目不能计作通过</x:v>
      </x:c>
    </x:row>
    <x:row r="341" ht="42" customHeight="1">
      <x:c r="A341" s="11" t="str">
        <x:v>UP-76a3550fb953</x:v>
      </x:c>
      <x:c r="B341" s="11" t="str">
        <x:v>L3</x:v>
      </x:c>
      <x:c r="C341" s="11" t="str">
        <x:v>应用与界面兼容</x:v>
      </x:c>
      <x:c r="D341" s="11" t="str">
        <x:v>文件入口</x:v>
      </x:c>
      <x:c r="E341" s="11" t="str">
        <x:v>脚本／文件入口</x:v>
      </x:c>
      <x:c r="F341" s="11" t="str">
        <x:v>待执行</x:v>
      </x:c>
      <x:c r="G341" s="11" t="str">
        <x:v>其他平台／集成；根据 workflow 条件选择</x:v>
      </x:c>
      <x:c r="H341" s="11" t="str">
        <x:v>.github/scripts/mutate/save_report.py:1</x:v>
      </x:c>
      <x:c r="I341" s="11" t="str">
        <x:v>https://github.com/juicedata/juicefs/blob/30190ca1094d26e85f19a979ca51b0ea19af1eaa/.github/scripts/mutate/save_report.py#L1</x:v>
      </x:c>
      <x:c r="J341" s="11" t="str">
        <x:v>未提升为 Windows 执行项</x:v>
      </x:c>
      <x:c r="K341" s="11" t="str">
        <x:v>见源文件及 CI 条件</x:v>
      </x:c>
      <x:c r="L341" s="11" t="str">
        <x:v>无可静态枚举的命名测试函数；保留文件范围，不推定已执行；级别为源码目录初分，未执行项目不能计作通过</x:v>
      </x:c>
    </x:row>
    <x:row r="342" ht="42" customHeight="1">
      <x:c r="A342" s="10" t="str">
        <x:v>UP-9fb152e7907b</x:v>
      </x:c>
      <x:c r="B342" s="10" t="str">
        <x:v>L3</x:v>
      </x:c>
      <x:c r="C342" s="10" t="str">
        <x:v>应用与界面兼容</x:v>
      </x:c>
      <x:c r="D342" s="10" t="str">
        <x:v>文件入口</x:v>
      </x:c>
      <x:c r="E342" s="10" t="str">
        <x:v>配置或辅助文件</x:v>
      </x:c>
      <x:c r="F342" s="10" t="str">
        <x:v>辅助文件</x:v>
      </x:c>
      <x:c r="G342" s="10" t="str">
        <x:v>其他平台／集成；根据 workflow 条件选择</x:v>
      </x:c>
      <x:c r="H342" s="10" t="str">
        <x:v>.github/scripts/prepare_db.sh:1</x:v>
      </x:c>
      <x:c r="I342" s="10" t="str">
        <x:v>https://github.com/juicedata/juicefs/blob/30190ca1094d26e85f19a979ca51b0ea19af1eaa/.github/scripts/prepare_db.sh#L1</x:v>
      </x:c>
      <x:c r="J342" s="10" t="str">
        <x:v>未提升为 Windows 执行项</x:v>
      </x:c>
      <x:c r="K342" s="10" t="str">
        <x:v>见源文件及 CI 条件</x:v>
      </x:c>
      <x:c r="L342" s="10" t="str">
        <x:v>无可静态枚举的命名测试函数；保留文件范围，不推定已执行；级别为源码目录初分，未执行项目不能计作通过</x:v>
      </x:c>
    </x:row>
    <x:row r="343" ht="42" customHeight="1">
      <x:c r="A343" s="11" t="str">
        <x:v>UP-a1d343579e23</x:v>
      </x:c>
      <x:c r="B343" s="11" t="str">
        <x:v>L3</x:v>
      </x:c>
      <x:c r="C343" s="11" t="str">
        <x:v>应用与界面兼容</x:v>
      </x:c>
      <x:c r="D343" s="11" t="str">
        <x:v>文件入口</x:v>
      </x:c>
      <x:c r="E343" s="11" t="str">
        <x:v>脚本／文件入口</x:v>
      </x:c>
      <x:c r="F343" s="11" t="str">
        <x:v>待执行</x:v>
      </x:c>
      <x:c r="G343" s="11" t="str">
        <x:v>其他平台／集成；根据 workflow 条件选择</x:v>
      </x:c>
      <x:c r="H343" s="11" t="str">
        <x:v>.github/scripts/pysdk/bench.py:1</x:v>
      </x:c>
      <x:c r="I343" s="11" t="str">
        <x:v>https://github.com/juicedata/juicefs/blob/30190ca1094d26e85f19a979ca51b0ea19af1eaa/.github/scripts/pysdk/bench.py#L1</x:v>
      </x:c>
      <x:c r="J343" s="11" t="str">
        <x:v>未提升为 Windows 执行项</x:v>
      </x:c>
      <x:c r="K343" s="11" t="str">
        <x:v>见源文件及 CI 条件</x:v>
      </x:c>
      <x:c r="L343" s="11" t="str">
        <x:v>无可静态枚举的命名测试函数；保留文件范围，不推定已执行；级别为源码目录初分，未执行项目不能计作通过</x:v>
      </x:c>
    </x:row>
    <x:row r="344" ht="42" customHeight="1">
      <x:c r="A344" s="10" t="str">
        <x:v>UP-7115c630ff61</x:v>
      </x:c>
      <x:c r="B344" s="10" t="str">
        <x:v>L1</x:v>
      </x:c>
      <x:c r="C344" s="10" t="str">
        <x:v>文件读写与完整性</x:v>
      </x:c>
      <x:c r="D344" s="10" t="str">
        <x:v>FileTests.test_read</x:v>
      </x:c>
      <x:c r="E344" s="10" t="str">
        <x:v>Python 测试</x:v>
      </x:c>
      <x:c r="F344" s="10" t="str">
        <x:v>待执行</x:v>
      </x:c>
      <x:c r="G344" s="10" t="str">
        <x:v>其他平台／集成；根据 workflow 条件选择</x:v>
      </x:c>
      <x:c r="H344" s="10" t="str">
        <x:v>.github/scripts/pysdk/pysdk_test.py:32</x:v>
      </x:c>
      <x:c r="I344" s="10" t="str">
        <x:v>https://github.com/juicedata/juicefs/blob/30190ca1094d26e85f19a979ca51b0ea19af1eaa/.github/scripts/pysdk/pysdk_test.py#L32</x:v>
      </x:c>
      <x:c r="J344" s="10" t="str">
        <x:v>未提升为 Windows 执行项</x:v>
      </x:c>
      <x:c r="K344" s="10" t="str">
        <x:v>见源文件及 CI 条件</x:v>
      </x:c>
      <x:c r="L344" s="10" t="str">
        <x:v>状态机运行序列按运行参数生成，未在此展开；级别为源码目录初分，未执行项目不能计作通过</x:v>
      </x:c>
    </x:row>
    <x:row r="345" ht="42" customHeight="1">
      <x:c r="A345" s="11" t="str">
        <x:v>UP-e260237c4a19</x:v>
      </x:c>
      <x:c r="B345" s="11" t="str">
        <x:v>L1</x:v>
      </x:c>
      <x:c r="C345" s="11" t="str">
        <x:v>文件读写与完整性</x:v>
      </x:c>
      <x:c r="D345" s="11" t="str">
        <x:v>FileTests.test_write</x:v>
      </x:c>
      <x:c r="E345" s="11" t="str">
        <x:v>Python 测试</x:v>
      </x:c>
      <x:c r="F345" s="11" t="str">
        <x:v>待执行</x:v>
      </x:c>
      <x:c r="G345" s="11" t="str">
        <x:v>其他平台／集成；根据 workflow 条件选择</x:v>
      </x:c>
      <x:c r="H345" s="11" t="str">
        <x:v>.github/scripts/pysdk/pysdk_test.py:42</x:v>
      </x:c>
      <x:c r="I345" s="11" t="str">
        <x:v>https://github.com/juicedata/juicefs/blob/30190ca1094d26e85f19a979ca51b0ea19af1eaa/.github/scripts/pysdk/pysdk_test.py#L42</x:v>
      </x:c>
      <x:c r="J345" s="11" t="str">
        <x:v>未提升为 Windows 执行项</x:v>
      </x:c>
      <x:c r="K345" s="11" t="str">
        <x:v>见源文件及 CI 条件</x:v>
      </x:c>
      <x:c r="L345" s="11" t="str">
        <x:v>状态机运行序列按运行参数生成，未在此展开；级别为源码目录初分，未执行项目不能计作通过</x:v>
      </x:c>
    </x:row>
    <x:row r="346" ht="42" customHeight="1">
      <x:c r="A346" s="10" t="str">
        <x:v>UP-f7aa80ddd6b3</x:v>
      </x:c>
      <x:c r="B346" s="10" t="str">
        <x:v>L3</x:v>
      </x:c>
      <x:c r="C346" s="10" t="str">
        <x:v>应用与界面兼容</x:v>
      </x:c>
      <x:c r="D346" s="10" t="str">
        <x:v>UtimeTests.test_utime</x:v>
      </x:c>
      <x:c r="E346" s="10" t="str">
        <x:v>Python 测试</x:v>
      </x:c>
      <x:c r="F346" s="10" t="str">
        <x:v>待执行</x:v>
      </x:c>
      <x:c r="G346" s="10" t="str">
        <x:v>其他平台／集成；根据 workflow 条件选择</x:v>
      </x:c>
      <x:c r="H346" s="10" t="str">
        <x:v>.github/scripts/pysdk/pysdk_test.py:68</x:v>
      </x:c>
      <x:c r="I346" s="10" t="str">
        <x:v>https://github.com/juicedata/juicefs/blob/30190ca1094d26e85f19a979ca51b0ea19af1eaa/.github/scripts/pysdk/pysdk_test.py#L68</x:v>
      </x:c>
      <x:c r="J346" s="10" t="str">
        <x:v>未提升为 Windows 执行项</x:v>
      </x:c>
      <x:c r="K346" s="10" t="str">
        <x:v>见源文件及 CI 条件</x:v>
      </x:c>
      <x:c r="L346" s="10" t="str">
        <x:v>状态机运行序列按运行参数生成，未在此展开；级别为源码目录初分，未执行项目不能计作通过</x:v>
      </x:c>
    </x:row>
    <x:row r="347" ht="42" customHeight="1">
      <x:c r="A347" s="11" t="str">
        <x:v>UP-e2aff1d77465</x:v>
      </x:c>
      <x:c r="B347" s="11" t="str">
        <x:v>L3</x:v>
      </x:c>
      <x:c r="C347" s="11" t="str">
        <x:v>应用与界面兼容</x:v>
      </x:c>
      <x:c r="D347" s="11" t="str">
        <x:v>UtimeTests.test_utime_by_times</x:v>
      </x:c>
      <x:c r="E347" s="11" t="str">
        <x:v>Python 测试</x:v>
      </x:c>
      <x:c r="F347" s="11" t="str">
        <x:v>待执行</x:v>
      </x:c>
      <x:c r="G347" s="11" t="str">
        <x:v>其他平台／集成；根据 workflow 条件选择</x:v>
      </x:c>
      <x:c r="H347" s="11" t="str">
        <x:v>.github/scripts/pysdk/pysdk_test.py:73</x:v>
      </x:c>
      <x:c r="I347" s="11" t="str">
        <x:v>https://github.com/juicedata/juicefs/blob/30190ca1094d26e85f19a979ca51b0ea19af1eaa/.github/scripts/pysdk/pysdk_test.py#L73</x:v>
      </x:c>
      <x:c r="J347" s="11" t="str">
        <x:v>未提升为 Windows 执行项</x:v>
      </x:c>
      <x:c r="K347" s="11" t="str">
        <x:v>见源文件及 CI 条件</x:v>
      </x:c>
      <x:c r="L347" s="11" t="str">
        <x:v>状态机运行序列按运行参数生成，未在此展开；级别为源码目录初分，未执行项目不能计作通过</x:v>
      </x:c>
    </x:row>
    <x:row r="348" ht="42" customHeight="1">
      <x:c r="A348" s="10" t="str">
        <x:v>UP-5e1524adc0d7</x:v>
      </x:c>
      <x:c r="B348" s="10" t="str">
        <x:v>L3</x:v>
      </x:c>
      <x:c r="C348" s="10" t="str">
        <x:v>应用与界面兼容</x:v>
      </x:c>
      <x:c r="D348" s="10" t="str">
        <x:v>MakedirTests.test_makedir</x:v>
      </x:c>
      <x:c r="E348" s="10" t="str">
        <x:v>Python 测试</x:v>
      </x:c>
      <x:c r="F348" s="10" t="str">
        <x:v>待执行</x:v>
      </x:c>
      <x:c r="G348" s="10" t="str">
        <x:v>其他平台／集成；根据 workflow 条件选择</x:v>
      </x:c>
      <x:c r="H348" s="10" t="str">
        <x:v>.github/scripts/pysdk/pysdk_test.py:78</x:v>
      </x:c>
      <x:c r="I348" s="10" t="str">
        <x:v>https://github.com/juicedata/juicefs/blob/30190ca1094d26e85f19a979ca51b0ea19af1eaa/.github/scripts/pysdk/pysdk_test.py#L78</x:v>
      </x:c>
      <x:c r="J348" s="10" t="str">
        <x:v>未提升为 Windows 执行项</x:v>
      </x:c>
      <x:c r="K348" s="10" t="str">
        <x:v>见源文件及 CI 条件</x:v>
      </x:c>
      <x:c r="L348" s="10" t="str">
        <x:v>状态机运行序列按运行参数生成，未在此展开；级别为源码目录初分，未执行项目不能计作通过</x:v>
      </x:c>
    </x:row>
    <x:row r="349" ht="42" customHeight="1">
      <x:c r="A349" s="11" t="str">
        <x:v>UP-13521c114b79</x:v>
      </x:c>
      <x:c r="B349" s="11" t="str">
        <x:v>L2</x:v>
      </x:c>
      <x:c r="C349" s="11" t="str">
        <x:v>属性与权限</x:v>
      </x:c>
      <x:c r="D349" s="11" t="str">
        <x:v>ChownFileTests.test_chown_uid_gid_arguments_must_be_index</x:v>
      </x:c>
      <x:c r="E349" s="11" t="str">
        <x:v>Python 测试</x:v>
      </x:c>
      <x:c r="F349" s="11" t="str">
        <x:v>待执行</x:v>
      </x:c>
      <x:c r="G349" s="11" t="str">
        <x:v>其他平台／集成；根据 workflow 条件选择</x:v>
      </x:c>
      <x:c r="H349" s="11" t="str">
        <x:v>.github/scripts/pysdk/pysdk_test.py:92</x:v>
      </x:c>
      <x:c r="I349" s="11" t="str">
        <x:v>https://github.com/juicedata/juicefs/blob/30190ca1094d26e85f19a979ca51b0ea19af1eaa/.github/scripts/pysdk/pysdk_test.py#L92</x:v>
      </x:c>
      <x:c r="J349" s="11" t="str">
        <x:v>未提升为 Windows 执行项</x:v>
      </x:c>
      <x:c r="K349" s="11" t="str">
        <x:v>见源文件及 CI 条件</x:v>
      </x:c>
      <x:c r="L349" s="11" t="str">
        <x:v>状态机运行序列按运行参数生成，未在此展开；级别为源码目录初分，未执行项目不能计作通过</x:v>
      </x:c>
    </x:row>
    <x:row r="350" ht="42" customHeight="1">
      <x:c r="A350" s="10" t="str">
        <x:v>UP-57131c59449a</x:v>
      </x:c>
      <x:c r="B350" s="10" t="str">
        <x:v>L2</x:v>
      </x:c>
      <x:c r="C350" s="10" t="str">
        <x:v>属性与权限</x:v>
      </x:c>
      <x:c r="D350" s="10" t="str">
        <x:v>ChownFileTests.test_chown_with_root</x:v>
      </x:c>
      <x:c r="E350" s="10" t="str">
        <x:v>Python 测试</x:v>
      </x:c>
      <x:c r="F350" s="10" t="str">
        <x:v>待执行</x:v>
      </x:c>
      <x:c r="G350" s="10" t="str">
        <x:v>其他平台／集成；根据 workflow 条件选择</x:v>
      </x:c>
      <x:c r="H350" s="10" t="str">
        <x:v>.github/scripts/pysdk/pysdk_test.py:101</x:v>
      </x:c>
      <x:c r="I350" s="10" t="str">
        <x:v>https://github.com/juicedata/juicefs/blob/30190ca1094d26e85f19a979ca51b0ea19af1eaa/.github/scripts/pysdk/pysdk_test.py#L101</x:v>
      </x:c>
      <x:c r="J350" s="10" t="str">
        <x:v>未提升为 Windows 执行项</x:v>
      </x:c>
      <x:c r="K350" s="10" t="str">
        <x:v>见源文件及 CI 条件</x:v>
      </x:c>
      <x:c r="L350" s="10" t="str">
        <x:v>状态机运行序列按运行参数生成，未在此展开；级别为源码目录初分，未执行项目不能计作通过</x:v>
      </x:c>
    </x:row>
    <x:row r="351" ht="42" customHeight="1">
      <x:c r="A351" s="11" t="str">
        <x:v>UP-3c12998de763</x:v>
      </x:c>
      <x:c r="B351" s="11" t="str">
        <x:v>L3</x:v>
      </x:c>
      <x:c r="C351" s="11" t="str">
        <x:v>应用与界面兼容</x:v>
      </x:c>
      <x:c r="D351" s="11" t="str">
        <x:v>LinkTests.test_link</x:v>
      </x:c>
      <x:c r="E351" s="11" t="str">
        <x:v>Python 测试</x:v>
      </x:c>
      <x:c r="F351" s="11" t="str">
        <x:v>待执行</x:v>
      </x:c>
      <x:c r="G351" s="11" t="str">
        <x:v>其他平台／集成；根据 workflow 条件选择</x:v>
      </x:c>
      <x:c r="H351" s="11" t="str">
        <x:v>.github/scripts/pysdk/pysdk_test.py:136</x:v>
      </x:c>
      <x:c r="I351" s="11" t="str">
        <x:v>https://github.com/juicedata/juicefs/blob/30190ca1094d26e85f19a979ca51b0ea19af1eaa/.github/scripts/pysdk/pysdk_test.py#L136</x:v>
      </x:c>
      <x:c r="J351" s="11" t="str">
        <x:v>未提升为 Windows 执行项</x:v>
      </x:c>
      <x:c r="K351" s="11" t="str">
        <x:v>见源文件及 CI 条件</x:v>
      </x:c>
      <x:c r="L351" s="11" t="str">
        <x:v>状态机运行序列按运行参数生成，未在此展开；级别为源码目录初分，未执行项目不能计作通过</x:v>
      </x:c>
    </x:row>
    <x:row r="352" ht="42" customHeight="1">
      <x:c r="A352" s="10" t="str">
        <x:v>UP-76cf3680d374</x:v>
      </x:c>
      <x:c r="B352" s="10" t="str">
        <x:v>L3</x:v>
      </x:c>
      <x:c r="C352" s="10" t="str">
        <x:v>应用与界面兼容</x:v>
      </x:c>
      <x:c r="D352" s="10" t="str">
        <x:v>SummaryTests.test_summary</x:v>
      </x:c>
      <x:c r="E352" s="10" t="str">
        <x:v>Python 测试</x:v>
      </x:c>
      <x:c r="F352" s="10" t="str">
        <x:v>待执行</x:v>
      </x:c>
      <x:c r="G352" s="10" t="str">
        <x:v>其他平台／集成；根据 workflow 条件选择</x:v>
      </x:c>
      <x:c r="H352" s="10" t="str">
        <x:v>.github/scripts/pysdk/pysdk_test.py:151</x:v>
      </x:c>
      <x:c r="I352" s="10" t="str">
        <x:v>https://github.com/juicedata/juicefs/blob/30190ca1094d26e85f19a979ca51b0ea19af1eaa/.github/scripts/pysdk/pysdk_test.py#L151</x:v>
      </x:c>
      <x:c r="J352" s="10" t="str">
        <x:v>未提升为 Windows 执行项</x:v>
      </x:c>
      <x:c r="K352" s="10" t="str">
        <x:v>见源文件及 CI 条件</x:v>
      </x:c>
      <x:c r="L352" s="10" t="str">
        <x:v>状态机运行序列按运行参数生成，未在此展开；级别为源码目录初分，未执行项目不能计作通过</x:v>
      </x:c>
    </x:row>
    <x:row r="353" ht="42" customHeight="1">
      <x:c r="A353" s="11" t="str">
        <x:v>UP-c527b5e3987a</x:v>
      </x:c>
      <x:c r="B353" s="11" t="str">
        <x:v>L1</x:v>
      </x:c>
      <x:c r="C353" s="11" t="str">
        <x:v>崩溃与资源耗尽</x:v>
      </x:c>
      <x:c r="D353" s="11" t="str">
        <x:v>QuotaTests.test_quota</x:v>
      </x:c>
      <x:c r="E353" s="11" t="str">
        <x:v>Python 测试</x:v>
      </x:c>
      <x:c r="F353" s="11" t="str">
        <x:v>待执行</x:v>
      </x:c>
      <x:c r="G353" s="11" t="str">
        <x:v>其他平台／集成；根据 workflow 条件选择</x:v>
      </x:c>
      <x:c r="H353" s="11" t="str">
        <x:v>.github/scripts/pysdk/pysdk_test.py:188</x:v>
      </x:c>
      <x:c r="I353" s="11" t="str">
        <x:v>https://github.com/juicedata/juicefs/blob/30190ca1094d26e85f19a979ca51b0ea19af1eaa/.github/scripts/pysdk/pysdk_test.py#L188</x:v>
      </x:c>
      <x:c r="J353" s="11" t="str">
        <x:v>未提升为 Windows 执行项</x:v>
      </x:c>
      <x:c r="K353" s="11" t="str">
        <x:v>见源文件及 CI 条件</x:v>
      </x:c>
      <x:c r="L353" s="11" t="str">
        <x:v>状态机运行序列按运行参数生成，未在此展开；级别为源码目录初分，未执行项目不能计作通过</x:v>
      </x:c>
    </x:row>
    <x:row r="354" ht="42" customHeight="1">
      <x:c r="A354" s="10" t="str">
        <x:v>UP-981e76351b4b</x:v>
      </x:c>
      <x:c r="B354" s="10" t="str">
        <x:v>L2</x:v>
      </x:c>
      <x:c r="C354" s="10" t="str">
        <x:v>命名与目录</x:v>
      </x:c>
      <x:c r="D354" s="10" t="str">
        <x:v>NonLocalSymlinkTests.test_directory_link_nonlocal</x:v>
      </x:c>
      <x:c r="E354" s="10" t="str">
        <x:v>Python 测试</x:v>
      </x:c>
      <x:c r="F354" s="10" t="str">
        <x:v>待执行</x:v>
      </x:c>
      <x:c r="G354" s="10" t="str">
        <x:v>其他平台／集成；根据 workflow 条件选择</x:v>
      </x:c>
      <x:c r="H354" s="10" t="str">
        <x:v>.github/scripts/pysdk/pysdk_test.py:230</x:v>
      </x:c>
      <x:c r="I354" s="10" t="str">
        <x:v>https://github.com/juicedata/juicefs/blob/30190ca1094d26e85f19a979ca51b0ea19af1eaa/.github/scripts/pysdk/pysdk_test.py#L230</x:v>
      </x:c>
      <x:c r="J354" s="10" t="str">
        <x:v>未提升为 Windows 执行项</x:v>
      </x:c>
      <x:c r="K354" s="10" t="str">
        <x:v>见源文件及 CI 条件</x:v>
      </x:c>
      <x:c r="L354" s="10" t="str">
        <x:v>状态机运行序列按运行参数生成，未在此展开；级别为源码目录初分，未执行项目不能计作通过</x:v>
      </x:c>
    </x:row>
    <x:row r="355" ht="42" customHeight="1">
      <x:c r="A355" s="11" t="str">
        <x:v>UP-f20c7b27f361</x:v>
      </x:c>
      <x:c r="B355" s="11" t="str">
        <x:v>L3</x:v>
      </x:c>
      <x:c r="C355" s="11" t="str">
        <x:v>应用与界面兼容</x:v>
      </x:c>
      <x:c r="D355" s="11" t="str">
        <x:v>ExtendedAttributeTests.test_simple</x:v>
      </x:c>
      <x:c r="E355" s="11" t="str">
        <x:v>Python 测试</x:v>
      </x:c>
      <x:c r="F355" s="11" t="str">
        <x:v>待执行</x:v>
      </x:c>
      <x:c r="G355" s="11" t="str">
        <x:v>其他平台／集成；根据 workflow 条件选择</x:v>
      </x:c>
      <x:c r="H355" s="11" t="str">
        <x:v>.github/scripts/pysdk/pysdk_test.py:293</x:v>
      </x:c>
      <x:c r="I355" s="11" t="str">
        <x:v>https://github.com/juicedata/juicefs/blob/30190ca1094d26e85f19a979ca51b0ea19af1eaa/.github/scripts/pysdk/pysdk_test.py#L293</x:v>
      </x:c>
      <x:c r="J355" s="11" t="str">
        <x:v>未提升为 Windows 执行项</x:v>
      </x:c>
      <x:c r="K355" s="11" t="str">
        <x:v>见源文件及 CI 条件</x:v>
      </x:c>
      <x:c r="L355" s="11" t="str">
        <x:v>状态机运行序列按运行参数生成，未在此展开；级别为源码目录初分，未执行项目不能计作通过</x:v>
      </x:c>
    </x:row>
    <x:row r="356" ht="42" customHeight="1">
      <x:c r="A356" s="10" t="str">
        <x:v>UP-fd320f49445c</x:v>
      </x:c>
      <x:c r="B356" s="10" t="str">
        <x:v>L3</x:v>
      </x:c>
      <x:c r="C356" s="10" t="str">
        <x:v>应用与界面兼容</x:v>
      </x:c>
      <x:c r="D356" s="10" t="str">
        <x:v>ExtendedAttributeTests.test_fds</x:v>
      </x:c>
      <x:c r="E356" s="10" t="str">
        <x:v>Python 测试</x:v>
      </x:c>
      <x:c r="F356" s="10" t="str">
        <x:v>待执行</x:v>
      </x:c>
      <x:c r="G356" s="10" t="str">
        <x:v>其他平台／集成；根据 workflow 条件选择</x:v>
      </x:c>
      <x:c r="H356" s="10" t="str">
        <x:v>.github/scripts/pysdk/pysdk_test.py:297</x:v>
      </x:c>
      <x:c r="I356" s="10" t="str">
        <x:v>https://github.com/juicedata/juicefs/blob/30190ca1094d26e85f19a979ca51b0ea19af1eaa/.github/scripts/pysdk/pysdk_test.py#L297</x:v>
      </x:c>
      <x:c r="J356" s="10" t="str">
        <x:v>未提升为 Windows 执行项</x:v>
      </x:c>
      <x:c r="K356" s="10" t="str">
        <x:v>见源文件及 CI 条件</x:v>
      </x:c>
      <x:c r="L356" s="10" t="str">
        <x:v>状态机运行序列按运行参数生成，未在此展开；级别为源码目录初分，未执行项目不能计作通过</x:v>
      </x:c>
    </x:row>
    <x:row r="357" ht="42" customHeight="1">
      <x:c r="A357" s="11" t="str">
        <x:v>UP-06b1485cc85b</x:v>
      </x:c>
      <x:c r="B357" s="11" t="str">
        <x:v>L1</x:v>
      </x:c>
      <x:c r="C357" s="11" t="str">
        <x:v>文件读写与完整性</x:v>
      </x:c>
      <x:c r="D357" s="11" t="str">
        <x:v>BenchTests.test_seq_write</x:v>
      </x:c>
      <x:c r="E357" s="11" t="str">
        <x:v>Python 测试</x:v>
      </x:c>
      <x:c r="F357" s="11" t="str">
        <x:v>待执行</x:v>
      </x:c>
      <x:c r="G357" s="11" t="str">
        <x:v>其他平台／集成；根据 workflow 条件选择</x:v>
      </x:c>
      <x:c r="H357" s="11" t="str">
        <x:v>.github/scripts/pysdk/pysdk_test.py:323</x:v>
      </x:c>
      <x:c r="I357" s="11" t="str">
        <x:v>https://github.com/juicedata/juicefs/blob/30190ca1094d26e85f19a979ca51b0ea19af1eaa/.github/scripts/pysdk/pysdk_test.py#L323</x:v>
      </x:c>
      <x:c r="J357" s="11" t="str">
        <x:v>未提升为 Windows 执行项</x:v>
      </x:c>
      <x:c r="K357" s="11" t="str">
        <x:v>见源文件及 CI 条件</x:v>
      </x:c>
      <x:c r="L357" s="11" t="str">
        <x:v>状态机运行序列按运行参数生成，未在此展开；级别为源码目录初分，未执行项目不能计作通过</x:v>
      </x:c>
    </x:row>
    <x:row r="358" ht="42" customHeight="1">
      <x:c r="A358" s="10" t="str">
        <x:v>UP-e1b50cf84bbf</x:v>
      </x:c>
      <x:c r="B358" s="10" t="str">
        <x:v>L1</x:v>
      </x:c>
      <x:c r="C358" s="10" t="str">
        <x:v>文件读写与完整性</x:v>
      </x:c>
      <x:c r="D358" s="10" t="str">
        <x:v>BenchTests.test_random_write</x:v>
      </x:c>
      <x:c r="E358" s="10" t="str">
        <x:v>Python 测试</x:v>
      </x:c>
      <x:c r="F358" s="10" t="str">
        <x:v>待执行</x:v>
      </x:c>
      <x:c r="G358" s="10" t="str">
        <x:v>其他平台／集成；根据 workflow 条件选择</x:v>
      </x:c>
      <x:c r="H358" s="10" t="str">
        <x:v>.github/scripts/pysdk/pysdk_test.py:338</x:v>
      </x:c>
      <x:c r="I358" s="10" t="str">
        <x:v>https://github.com/juicedata/juicefs/blob/30190ca1094d26e85f19a979ca51b0ea19af1eaa/.github/scripts/pysdk/pysdk_test.py#L338</x:v>
      </x:c>
      <x:c r="J358" s="10" t="str">
        <x:v>未提升为 Windows 执行项</x:v>
      </x:c>
      <x:c r="K358" s="10" t="str">
        <x:v>见源文件及 CI 条件</x:v>
      </x:c>
      <x:c r="L358" s="10" t="str">
        <x:v>状态机运行序列按运行参数生成，未在此展开；级别为源码目录初分，未执行项目不能计作通过</x:v>
      </x:c>
    </x:row>
    <x:row r="359" ht="42" customHeight="1">
      <x:c r="A359" s="11" t="str">
        <x:v>UP-8351f19fc418</x:v>
      </x:c>
      <x:c r="B359" s="11" t="str">
        <x:v>L1</x:v>
      </x:c>
      <x:c r="C359" s="11" t="str">
        <x:v>文件读写与完整性</x:v>
      </x:c>
      <x:c r="D359" s="11" t="str">
        <x:v>BenchTests.test_seq_read</x:v>
      </x:c>
      <x:c r="E359" s="11" t="str">
        <x:v>Python 测试</x:v>
      </x:c>
      <x:c r="F359" s="11" t="str">
        <x:v>待执行</x:v>
      </x:c>
      <x:c r="G359" s="11" t="str">
        <x:v>其他平台／集成；根据 workflow 条件选择</x:v>
      </x:c>
      <x:c r="H359" s="11" t="str">
        <x:v>.github/scripts/pysdk/pysdk_test.py:354</x:v>
      </x:c>
      <x:c r="I359" s="11" t="str">
        <x:v>https://github.com/juicedata/juicefs/blob/30190ca1094d26e85f19a979ca51b0ea19af1eaa/.github/scripts/pysdk/pysdk_test.py#L354</x:v>
      </x:c>
      <x:c r="J359" s="11" t="str">
        <x:v>未提升为 Windows 执行项</x:v>
      </x:c>
      <x:c r="K359" s="11" t="str">
        <x:v>见源文件及 CI 条件</x:v>
      </x:c>
      <x:c r="L359" s="11" t="str">
        <x:v>状态机运行序列按运行参数生成，未在此展开；级别为源码目录初分，未执行项目不能计作通过</x:v>
      </x:c>
    </x:row>
    <x:row r="360" ht="42" customHeight="1">
      <x:c r="A360" s="10" t="str">
        <x:v>UP-7a3fbd59fa41</x:v>
      </x:c>
      <x:c r="B360" s="10" t="str">
        <x:v>L1</x:v>
      </x:c>
      <x:c r="C360" s="10" t="str">
        <x:v>文件读写与完整性</x:v>
      </x:c>
      <x:c r="D360" s="10" t="str">
        <x:v>BenchTests.test_random_read</x:v>
      </x:c>
      <x:c r="E360" s="10" t="str">
        <x:v>Python 测试</x:v>
      </x:c>
      <x:c r="F360" s="10" t="str">
        <x:v>待执行</x:v>
      </x:c>
      <x:c r="G360" s="10" t="str">
        <x:v>其他平台／集成；根据 workflow 条件选择</x:v>
      </x:c>
      <x:c r="H360" s="10" t="str">
        <x:v>.github/scripts/pysdk/pysdk_test.py:367</x:v>
      </x:c>
      <x:c r="I360" s="10" t="str">
        <x:v>https://github.com/juicedata/juicefs/blob/30190ca1094d26e85f19a979ca51b0ea19af1eaa/.github/scripts/pysdk/pysdk_test.py#L367</x:v>
      </x:c>
      <x:c r="J360" s="10" t="str">
        <x:v>未提升为 Windows 执行项</x:v>
      </x:c>
      <x:c r="K360" s="10" t="str">
        <x:v>见源文件及 CI 条件</x:v>
      </x:c>
      <x:c r="L360" s="10" t="str">
        <x:v>状态机运行序列按运行参数生成，未在此展开；级别为源码目录初分，未执行项目不能计作通过</x:v>
      </x:c>
    </x:row>
    <x:row r="361" ht="42" customHeight="1">
      <x:c r="A361" s="11" t="str">
        <x:v>UP-0bb83b73c899</x:v>
      </x:c>
      <x:c r="B361" s="11" t="str">
        <x:v>L1</x:v>
      </x:c>
      <x:c r="C361" s="11" t="str">
        <x:v>文件读写与完整性</x:v>
      </x:c>
      <x:c r="D361" s="11" t="str">
        <x:v>ClientParamsTests.test_readonly_param</x:v>
      </x:c>
      <x:c r="E361" s="11" t="str">
        <x:v>Python 测试</x:v>
      </x:c>
      <x:c r="F361" s="11" t="str">
        <x:v>待执行</x:v>
      </x:c>
      <x:c r="G361" s="11" t="str">
        <x:v>其他平台／集成；根据 workflow 条件选择</x:v>
      </x:c>
      <x:c r="H361" s="11" t="str">
        <x:v>.github/scripts/pysdk/pysdk_test.py:386</x:v>
      </x:c>
      <x:c r="I361" s="11" t="str">
        <x:v>https://github.com/juicedata/juicefs/blob/30190ca1094d26e85f19a979ca51b0ea19af1eaa/.github/scripts/pysdk/pysdk_test.py#L386</x:v>
      </x:c>
      <x:c r="J361" s="11" t="str">
        <x:v>未提升为 Windows 执行项</x:v>
      </x:c>
      <x:c r="K361" s="11" t="str">
        <x:v>见源文件及 CI 条件</x:v>
      </x:c>
      <x:c r="L361" s="11" t="str">
        <x:v>状态机运行序列按运行参数生成，未在此展开；级别为源码目录初分，未执行项目不能计作通过</x:v>
      </x:c>
    </x:row>
    <x:row r="362" ht="42" customHeight="1">
      <x:c r="A362" s="10" t="str">
        <x:v>UP-306329d46c42</x:v>
      </x:c>
      <x:c r="B362" s="10" t="str">
        <x:v>L2</x:v>
      </x:c>
      <x:c r="C362" s="10" t="str">
        <x:v>缓存与后台上传</x:v>
      </x:c>
      <x:c r="D362" s="10" t="str">
        <x:v>ClientParamsTests.test_cache_params</x:v>
      </x:c>
      <x:c r="E362" s="10" t="str">
        <x:v>Python 测试</x:v>
      </x:c>
      <x:c r="F362" s="10" t="str">
        <x:v>待执行</x:v>
      </x:c>
      <x:c r="G362" s="10" t="str">
        <x:v>其他平台／集成；根据 workflow 条件选择</x:v>
      </x:c>
      <x:c r="H362" s="10" t="str">
        <x:v>.github/scripts/pysdk/pysdk_test.py:395</x:v>
      </x:c>
      <x:c r="I362" s="10" t="str">
        <x:v>https://github.com/juicedata/juicefs/blob/30190ca1094d26e85f19a979ca51b0ea19af1eaa/.github/scripts/pysdk/pysdk_test.py#L395</x:v>
      </x:c>
      <x:c r="J362" s="10" t="str">
        <x:v>未提升为 Windows 执行项</x:v>
      </x:c>
      <x:c r="K362" s="10" t="str">
        <x:v>见源文件及 CI 条件</x:v>
      </x:c>
      <x:c r="L362" s="10" t="str">
        <x:v>状态机运行序列按运行参数生成，未在此展开；级别为源码目录初分，未执行项目不能计作通过</x:v>
      </x:c>
    </x:row>
    <x:row r="363" ht="42" customHeight="1">
      <x:c r="A363" s="11" t="str">
        <x:v>UP-f7766368e22d</x:v>
      </x:c>
      <x:c r="B363" s="11" t="str">
        <x:v>L3</x:v>
      </x:c>
      <x:c r="C363" s="11" t="str">
        <x:v>应用与界面兼容</x:v>
      </x:c>
      <x:c r="D363" s="11" t="str">
        <x:v>ClientParamsTests.test_io_limits</x:v>
      </x:c>
      <x:c r="E363" s="11" t="str">
        <x:v>Python 测试</x:v>
      </x:c>
      <x:c r="F363" s="11" t="str">
        <x:v>待执行</x:v>
      </x:c>
      <x:c r="G363" s="11" t="str">
        <x:v>其他平台／集成；根据 workflow 条件选择</x:v>
      </x:c>
      <x:c r="H363" s="11" t="str">
        <x:v>.github/scripts/pysdk/pysdk_test.py:420</x:v>
      </x:c>
      <x:c r="I363" s="11" t="str">
        <x:v>https://github.com/juicedata/juicefs/blob/30190ca1094d26e85f19a979ca51b0ea19af1eaa/.github/scripts/pysdk/pysdk_test.py#L420</x:v>
      </x:c>
      <x:c r="J363" s="11" t="str">
        <x:v>未提升为 Windows 执行项</x:v>
      </x:c>
      <x:c r="K363" s="11" t="str">
        <x:v>见源文件及 CI 条件</x:v>
      </x:c>
      <x:c r="L363" s="11" t="str">
        <x:v>状态机运行序列按运行参数生成，未在此展开；级别为源码目录初分，未执行项目不能计作通过</x:v>
      </x:c>
    </x:row>
    <x:row r="364" ht="42" customHeight="1">
      <x:c r="A364" s="10" t="str">
        <x:v>UP-06868c1f1976</x:v>
      </x:c>
      <x:c r="B364" s="10" t="str">
        <x:v>L3</x:v>
      </x:c>
      <x:c r="C364" s="10" t="str">
        <x:v>应用与界面兼容</x:v>
      </x:c>
      <x:c r="D364" s="10" t="str">
        <x:v>CloneTests.test_basic_clone</x:v>
      </x:c>
      <x:c r="E364" s="10" t="str">
        <x:v>Python 测试</x:v>
      </x:c>
      <x:c r="F364" s="10" t="str">
        <x:v>待执行</x:v>
      </x:c>
      <x:c r="G364" s="10" t="str">
        <x:v>其他平台／集成；根据 workflow 条件选择</x:v>
      </x:c>
      <x:c r="H364" s="10" t="str">
        <x:v>.github/scripts/pysdk/pysdk_test.py:447</x:v>
      </x:c>
      <x:c r="I364" s="10" t="str">
        <x:v>https://github.com/juicedata/juicefs/blob/30190ca1094d26e85f19a979ca51b0ea19af1eaa/.github/scripts/pysdk/pysdk_test.py#L447</x:v>
      </x:c>
      <x:c r="J364" s="10" t="str">
        <x:v>未提升为 Windows 执行项</x:v>
      </x:c>
      <x:c r="K364" s="10" t="str">
        <x:v>见源文件及 CI 条件</x:v>
      </x:c>
      <x:c r="L364" s="10" t="str">
        <x:v>状态机运行序列按运行参数生成，未在此展开；级别为源码目录初分，未执行项目不能计作通过</x:v>
      </x:c>
    </x:row>
    <x:row r="365" ht="42" customHeight="1">
      <x:c r="A365" s="11" t="str">
        <x:v>UP-a31660f2b2f8</x:v>
      </x:c>
      <x:c r="B365" s="11" t="str">
        <x:v>L3</x:v>
      </x:c>
      <x:c r="C365" s="11" t="str">
        <x:v>应用与界面兼容</x:v>
      </x:c>
      <x:c r="D365" s="11" t="str">
        <x:v>CloneTests.test_clone_with_preserve</x:v>
      </x:c>
      <x:c r="E365" s="11" t="str">
        <x:v>Python 测试</x:v>
      </x:c>
      <x:c r="F365" s="11" t="str">
        <x:v>待执行</x:v>
      </x:c>
      <x:c r="G365" s="11" t="str">
        <x:v>其他平台／集成；根据 workflow 条件选择</x:v>
      </x:c>
      <x:c r="H365" s="11" t="str">
        <x:v>.github/scripts/pysdk/pysdk_test.py:460</x:v>
      </x:c>
      <x:c r="I365" s="11" t="str">
        <x:v>https://github.com/juicedata/juicefs/blob/30190ca1094d26e85f19a979ca51b0ea19af1eaa/.github/scripts/pysdk/pysdk_test.py#L460</x:v>
      </x:c>
      <x:c r="J365" s="11" t="str">
        <x:v>未提升为 Windows 执行项</x:v>
      </x:c>
      <x:c r="K365" s="11" t="str">
        <x:v>见源文件及 CI 条件</x:v>
      </x:c>
      <x:c r="L365" s="11" t="str">
        <x:v>状态机运行序列按运行参数生成，未在此展开；级别为源码目录初分，未执行项目不能计作通过</x:v>
      </x:c>
    </x:row>
    <x:row r="366" ht="42" customHeight="1">
      <x:c r="A366" s="10" t="str">
        <x:v>UP-8bc80cb0f6d7</x:v>
      </x:c>
      <x:c r="B366" s="10" t="str">
        <x:v>L2</x:v>
      </x:c>
      <x:c r="C366" s="10" t="str">
        <x:v>缓存与后台上传</x:v>
      </x:c>
      <x:c r="D366" s="10" t="str">
        <x:v>WarmupTests.test_basic_warmup</x:v>
      </x:c>
      <x:c r="E366" s="10" t="str">
        <x:v>Python 测试</x:v>
      </x:c>
      <x:c r="F366" s="10" t="str">
        <x:v>待执行</x:v>
      </x:c>
      <x:c r="G366" s="10" t="str">
        <x:v>其他平台／集成；根据 workflow 条件选择</x:v>
      </x:c>
      <x:c r="H366" s="10" t="str">
        <x:v>.github/scripts/pysdk/pysdk_test.py:498</x:v>
      </x:c>
      <x:c r="I366" s="10" t="str">
        <x:v>https://github.com/juicedata/juicefs/blob/30190ca1094d26e85f19a979ca51b0ea19af1eaa/.github/scripts/pysdk/pysdk_test.py#L498</x:v>
      </x:c>
      <x:c r="J366" s="10" t="str">
        <x:v>未提升为 Windows 执行项</x:v>
      </x:c>
      <x:c r="K366" s="10" t="str">
        <x:v>见源文件及 CI 条件</x:v>
      </x:c>
      <x:c r="L366" s="10" t="str">
        <x:v>状态机运行序列按运行参数生成，未在此展开；级别为源码目录初分，未执行项目不能计作通过</x:v>
      </x:c>
    </x:row>
    <x:row r="367" ht="42" customHeight="1">
      <x:c r="A367" s="11" t="str">
        <x:v>UP-6b5f2cd9a010</x:v>
      </x:c>
      <x:c r="B367" s="11" t="str">
        <x:v>L2</x:v>
      </x:c>
      <x:c r="C367" s="11" t="str">
        <x:v>缓存与后台上传</x:v>
      </x:c>
      <x:c r="D367" s="11" t="str">
        <x:v>WarmupTests.test_warmup_check</x:v>
      </x:c>
      <x:c r="E367" s="11" t="str">
        <x:v>Python 测试</x:v>
      </x:c>
      <x:c r="F367" s="11" t="str">
        <x:v>待执行</x:v>
      </x:c>
      <x:c r="G367" s="11" t="str">
        <x:v>其他平台／集成；根据 workflow 条件选择</x:v>
      </x:c>
      <x:c r="H367" s="11" t="str">
        <x:v>.github/scripts/pysdk/pysdk_test.py:515</x:v>
      </x:c>
      <x:c r="I367" s="11" t="str">
        <x:v>https://github.com/juicedata/juicefs/blob/30190ca1094d26e85f19a979ca51b0ea19af1eaa/.github/scripts/pysdk/pysdk_test.py#L515</x:v>
      </x:c>
      <x:c r="J367" s="11" t="str">
        <x:v>未提升为 Windows 执行项</x:v>
      </x:c>
      <x:c r="K367" s="11" t="str">
        <x:v>见源文件及 CI 条件</x:v>
      </x:c>
      <x:c r="L367" s="11" t="str">
        <x:v>状态机运行序列按运行参数生成，未在此展开；级别为源码目录初分，未执行项目不能计作通过</x:v>
      </x:c>
    </x:row>
    <x:row r="368" ht="42" customHeight="1">
      <x:c r="A368" s="10" t="str">
        <x:v>UP-2f2eac659463</x:v>
      </x:c>
      <x:c r="B368" s="10" t="str">
        <x:v>L2</x:v>
      </x:c>
      <x:c r="C368" s="10" t="str">
        <x:v>缓存与后台上传</x:v>
      </x:c>
      <x:c r="D368" s="10" t="str">
        <x:v>WarmupTests.test_warmup_evict</x:v>
      </x:c>
      <x:c r="E368" s="10" t="str">
        <x:v>Python 测试</x:v>
      </x:c>
      <x:c r="F368" s="10" t="str">
        <x:v>待执行</x:v>
      </x:c>
      <x:c r="G368" s="10" t="str">
        <x:v>其他平台／集成；根据 workflow 条件选择</x:v>
      </x:c>
      <x:c r="H368" s="10" t="str">
        <x:v>.github/scripts/pysdk/pysdk_test.py:522</x:v>
      </x:c>
      <x:c r="I368" s="10" t="str">
        <x:v>https://github.com/juicedata/juicefs/blob/30190ca1094d26e85f19a979ca51b0ea19af1eaa/.github/scripts/pysdk/pysdk_test.py#L522</x:v>
      </x:c>
      <x:c r="J368" s="10" t="str">
        <x:v>未提升为 Windows 执行项</x:v>
      </x:c>
      <x:c r="K368" s="10" t="str">
        <x:v>见源文件及 CI 条件</x:v>
      </x:c>
      <x:c r="L368" s="10" t="str">
        <x:v>状态机运行序列按运行参数生成，未在此展开；级别为源码目录初分，未执行项目不能计作通过</x:v>
      </x:c>
    </x:row>
    <x:row r="369" ht="42" customHeight="1">
      <x:c r="A369" s="11" t="str">
        <x:v>UP-39e394d1ca48</x:v>
      </x:c>
      <x:c r="B369" s="11" t="str">
        <x:v>L3</x:v>
      </x:c>
      <x:c r="C369" s="11" t="str">
        <x:v>应用与界面兼容</x:v>
      </x:c>
      <x:c r="D369" s="11" t="str">
        <x:v>InfoTests.test_file_info</x:v>
      </x:c>
      <x:c r="E369" s="11" t="str">
        <x:v>Python 测试</x:v>
      </x:c>
      <x:c r="F369" s="11" t="str">
        <x:v>待执行</x:v>
      </x:c>
      <x:c r="G369" s="11" t="str">
        <x:v>其他平台／集成；根据 workflow 条件选择</x:v>
      </x:c>
      <x:c r="H369" s="11" t="str">
        <x:v>.github/scripts/pysdk/pysdk_test.py:538</x:v>
      </x:c>
      <x:c r="I369" s="11" t="str">
        <x:v>https://github.com/juicedata/juicefs/blob/30190ca1094d26e85f19a979ca51b0ea19af1eaa/.github/scripts/pysdk/pysdk_test.py#L538</x:v>
      </x:c>
      <x:c r="J369" s="11" t="str">
        <x:v>未提升为 Windows 执行项</x:v>
      </x:c>
      <x:c r="K369" s="11" t="str">
        <x:v>见源文件及 CI 条件</x:v>
      </x:c>
      <x:c r="L369" s="11" t="str">
        <x:v>状态机运行序列按运行参数生成，未在此展开；级别为源码目录初分，未执行项目不能计作通过</x:v>
      </x:c>
    </x:row>
    <x:row r="370" ht="42" customHeight="1">
      <x:c r="A370" s="10" t="str">
        <x:v>UP-c7a7707c464e</x:v>
      </x:c>
      <x:c r="B370" s="10" t="str">
        <x:v>L1</x:v>
      </x:c>
      <x:c r="C370" s="10" t="str">
        <x:v>文件读写与完整性</x:v>
      </x:c>
      <x:c r="D370" s="10" t="str">
        <x:v>文件入口</x:v>
      </x:c>
      <x:c r="E370" s="10" t="str">
        <x:v>脚本／文件入口</x:v>
      </x:c>
      <x:c r="F370" s="10" t="str">
        <x:v>待执行</x:v>
      </x:c>
      <x:c r="G370" s="10" t="str">
        <x:v>其他平台／集成；根据 workflow 条件选择</x:v>
      </x:c>
      <x:c r="H370" s="10" t="str">
        <x:v>.github/scripts/random_read_write.py:1</x:v>
      </x:c>
      <x:c r="I370" s="10" t="str">
        <x:v>https://github.com/juicedata/juicefs/blob/30190ca1094d26e85f19a979ca51b0ea19af1eaa/.github/scripts/random_read_write.py#L1</x:v>
      </x:c>
      <x:c r="J370" s="10" t="str">
        <x:v>未提升为 Windows 执行项</x:v>
      </x:c>
      <x:c r="K370" s="10" t="str">
        <x:v>见源文件及 CI 条件</x:v>
      </x:c>
      <x:c r="L370" s="10" t="str">
        <x:v>无可静态枚举的命名测试函数；保留文件范围，不推定已执行；级别为源码目录初分，未执行项目不能计作通过</x:v>
      </x:c>
    </x:row>
    <x:row r="371" ht="42" customHeight="1">
      <x:c r="A371" s="11" t="str">
        <x:v>UP-953c9cef3e62</x:v>
      </x:c>
      <x:c r="B371" s="11" t="str">
        <x:v>L3</x:v>
      </x:c>
      <x:c r="C371" s="11" t="str">
        <x:v>应用与界面兼容</x:v>
      </x:c>
      <x:c r="D371" s="11" t="str">
        <x:v>文件入口</x:v>
      </x:c>
      <x:c r="E371" s="11" t="str">
        <x:v>配置或辅助文件</x:v>
      </x:c>
      <x:c r="F371" s="11" t="str">
        <x:v>辅助文件</x:v>
      </x:c>
      <x:c r="G371" s="11" t="str">
        <x:v>其他平台／集成；根据 workflow 条件选择</x:v>
      </x:c>
      <x:c r="H371" s="11" t="str">
        <x:v>.github/scripts/save_benchmark.sh:1</x:v>
      </x:c>
      <x:c r="I371" s="11" t="str">
        <x:v>https://github.com/juicedata/juicefs/blob/30190ca1094d26e85f19a979ca51b0ea19af1eaa/.github/scripts/save_benchmark.sh#L1</x:v>
      </x:c>
      <x:c r="J371" s="11" t="str">
        <x:v>未提升为 Windows 执行项</x:v>
      </x:c>
      <x:c r="K371" s="11" t="str">
        <x:v>见源文件及 CI 条件</x:v>
      </x:c>
      <x:c r="L371" s="11" t="str">
        <x:v>无可静态枚举的命名测试函数；保留文件范围，不推定已执行；级别为源码目录初分，未执行项目不能计作通过</x:v>
      </x:c>
    </x:row>
    <x:row r="372" ht="42" customHeight="1">
      <x:c r="A372" s="10" t="str">
        <x:v>UP-938a86a548f3</x:v>
      </x:c>
      <x:c r="B372" s="10" t="str">
        <x:v>L3</x:v>
      </x:c>
      <x:c r="C372" s="10" t="str">
        <x:v>应用与界面兼容</x:v>
      </x:c>
      <x:c r="D372" s="10" t="str">
        <x:v>文件入口</x:v>
      </x:c>
      <x:c r="E372" s="10" t="str">
        <x:v>配置或辅助文件</x:v>
      </x:c>
      <x:c r="F372" s="10" t="str">
        <x:v>辅助文件</x:v>
      </x:c>
      <x:c r="G372" s="10" t="str">
        <x:v>其他平台／集成；根据 workflow 条件选择</x:v>
      </x:c>
      <x:c r="H372" s="10" t="str">
        <x:v>.github/scripts/setup-hdfs.sh:1</x:v>
      </x:c>
      <x:c r="I372" s="10" t="str">
        <x:v>https://github.com/juicedata/juicefs/blob/30190ca1094d26e85f19a979ca51b0ea19af1eaa/.github/scripts/setup-hdfs.sh#L1</x:v>
      </x:c>
      <x:c r="J372" s="10" t="str">
        <x:v>未提升为 Windows 执行项</x:v>
      </x:c>
      <x:c r="K372" s="10" t="str">
        <x:v>见源文件及 CI 条件</x:v>
      </x:c>
      <x:c r="L372" s="10" t="str">
        <x:v>无可静态枚举的命名测试函数；保留文件范围，不推定已执行；级别为源码目录初分，未执行项目不能计作通过</x:v>
      </x:c>
    </x:row>
    <x:row r="373" ht="42" customHeight="1">
      <x:c r="A373" s="11" t="str">
        <x:v>UP-966cebe5b8e0</x:v>
      </x:c>
      <x:c r="B373" s="11" t="str">
        <x:v>L1</x:v>
      </x:c>
      <x:c r="C373" s="11" t="str">
        <x:v>挂载与元数据生命周期</x:v>
      </x:c>
      <x:c r="D373" s="11" t="str">
        <x:v>文件入口</x:v>
      </x:c>
      <x:c r="E373" s="11" t="str">
        <x:v>配置或辅助文件</x:v>
      </x:c>
      <x:c r="F373" s="11" t="str">
        <x:v>辅助文件</x:v>
      </x:c>
      <x:c r="G373" s="11" t="str">
        <x:v>其他平台／集成；根据 workflow 条件选择</x:v>
      </x:c>
      <x:c r="H373" s="11" t="str">
        <x:v>.github/scripts/start_meta_engine.sh:1</x:v>
      </x:c>
      <x:c r="I373" s="11" t="str">
        <x:v>https://github.com/juicedata/juicefs/blob/30190ca1094d26e85f19a979ca51b0ea19af1eaa/.github/scripts/start_meta_engine.sh#L1</x:v>
      </x:c>
      <x:c r="J373" s="11" t="str">
        <x:v>未提升为 Windows 执行项</x:v>
      </x:c>
      <x:c r="K373" s="11" t="str">
        <x:v>见源文件及 CI 条件</x:v>
      </x:c>
      <x:c r="L373" s="11" t="str">
        <x:v>无可静态枚举的命名测试函数；保留文件范围，不推定已执行；级别为源码目录初分，未执行项目不能计作通过</x:v>
      </x:c>
    </x:row>
    <x:row r="374" ht="42" customHeight="1">
      <x:c r="A374" s="10" t="str">
        <x:v>UP-445e13586f69</x:v>
      </x:c>
      <x:c r="B374" s="10" t="str">
        <x:v>L2</x:v>
      </x:c>
      <x:c r="C374" s="10" t="str">
        <x:v>网关与后端重试</x:v>
      </x:c>
      <x:c r="D374" s="10" t="str">
        <x:v>test_sync_with_mount_point</x:v>
      </x:c>
      <x:c r="E374" s="10" t="str">
        <x:v>Shell 测试函数</x:v>
      </x:c>
      <x:c r="F374" s="10" t="str">
        <x:v>待执行</x:v>
      </x:c>
      <x:c r="G374" s="10" t="str">
        <x:v>其他平台／集成；根据 workflow 条件选择</x:v>
      </x:c>
      <x:c r="H374" s="10" t="str">
        <x:v>.github/scripts/sync/sync.sh:38</x:v>
      </x:c>
      <x:c r="I374" s="10" t="str">
        <x:v>https://github.com/juicedata/juicefs/blob/30190ca1094d26e85f19a979ca51b0ea19af1eaa/.github/scripts/sync/sync.sh#L38</x:v>
      </x:c>
      <x:c r="J374" s="10" t="str">
        <x:v>未提升为 Windows 执行项</x:v>
      </x:c>
      <x:c r="K374" s="10" t="str">
        <x:v>见源文件及 CI 条件</x:v>
      </x:c>
      <x:c r="L374" s="10" t="str">
        <x:v>级别为源码目录初分，未执行项目不能计作通过</x:v>
      </x:c>
    </x:row>
    <x:row r="375" ht="42" customHeight="1">
      <x:c r="A375" s="11" t="str">
        <x:v>UP-60b087e1155e</x:v>
      </x:c>
      <x:c r="B375" s="11" t="str">
        <x:v>L2</x:v>
      </x:c>
      <x:c r="C375" s="11" t="str">
        <x:v>网关与后端重试</x:v>
      </x:c>
      <x:c r="D375" s="11" t="str">
        <x:v>test_sync_without_mount_point</x:v>
      </x:c>
      <x:c r="E375" s="11" t="str">
        <x:v>Shell 测试函数</x:v>
      </x:c>
      <x:c r="F375" s="11" t="str">
        <x:v>待执行</x:v>
      </x:c>
      <x:c r="G375" s="11" t="str">
        <x:v>其他平台／集成；根据 workflow 条件选择</x:v>
      </x:c>
      <x:c r="H375" s="11" t="str">
        <x:v>.github/scripts/sync/sync.sh:45</x:v>
      </x:c>
      <x:c r="I375" s="11" t="str">
        <x:v>https://github.com/juicedata/juicefs/blob/30190ca1094d26e85f19a979ca51b0ea19af1eaa/.github/scripts/sync/sync.sh#L45</x:v>
      </x:c>
      <x:c r="J375" s="11" t="str">
        <x:v>未提升为 Windows 执行项</x:v>
      </x:c>
      <x:c r="K375" s="11" t="str">
        <x:v>见源文件及 CI 条件</x:v>
      </x:c>
      <x:c r="L375" s="11" t="str">
        <x:v>级别为源码目录初分，未执行项目不能计作通过</x:v>
      </x:c>
    </x:row>
    <x:row r="376" ht="42" customHeight="1">
      <x:c r="A376" s="10" t="str">
        <x:v>UP-c843e6999932</x:v>
      </x:c>
      <x:c r="B376" s="10" t="str">
        <x:v>L2</x:v>
      </x:c>
      <x:c r="C376" s="10" t="str">
        <x:v>网关与后端重试</x:v>
      </x:c>
      <x:c r="D376" s="10" t="str">
        <x:v>test_sync_with_loop_link</x:v>
      </x:c>
      <x:c r="E376" s="10" t="str">
        <x:v>Shell 测试函数</x:v>
      </x:c>
      <x:c r="F376" s="10" t="str">
        <x:v>待执行</x:v>
      </x:c>
      <x:c r="G376" s="10" t="str">
        <x:v>其他平台／集成；根据 workflow 条件选择</x:v>
      </x:c>
      <x:c r="H376" s="10" t="str">
        <x:v>.github/scripts/sync/sync.sh:80</x:v>
      </x:c>
      <x:c r="I376" s="10" t="str">
        <x:v>https://github.com/juicedata/juicefs/blob/30190ca1094d26e85f19a979ca51b0ea19af1eaa/.github/scripts/sync/sync.sh#L80</x:v>
      </x:c>
      <x:c r="J376" s="10" t="str">
        <x:v>未提升为 Windows 执行项</x:v>
      </x:c>
      <x:c r="K376" s="10" t="str">
        <x:v>见源文件及 CI 条件</x:v>
      </x:c>
      <x:c r="L376" s="10" t="str">
        <x:v>级别为源码目录初分，未执行项目不能计作通过</x:v>
      </x:c>
    </x:row>
    <x:row r="377" ht="42" customHeight="1">
      <x:c r="A377" s="11" t="str">
        <x:v>UP-9d76f283fc97</x:v>
      </x:c>
      <x:c r="B377" s="11" t="str">
        <x:v>L2</x:v>
      </x:c>
      <x:c r="C377" s="11" t="str">
        <x:v>网关与后端重试</x:v>
      </x:c>
      <x:c r="D377" s="11" t="str">
        <x:v>test_sync_with_deep_link</x:v>
      </x:c>
      <x:c r="E377" s="11" t="str">
        <x:v>Shell 测试函数</x:v>
      </x:c>
      <x:c r="F377" s="11" t="str">
        <x:v>待执行</x:v>
      </x:c>
      <x:c r="G377" s="11" t="str">
        <x:v>其他平台／集成；根据 workflow 条件选择</x:v>
      </x:c>
      <x:c r="H377" s="11" t="str">
        <x:v>.github/scripts/sync/sync.sh:91</x:v>
      </x:c>
      <x:c r="I377" s="11" t="str">
        <x:v>https://github.com/juicedata/juicefs/blob/30190ca1094d26e85f19a979ca51b0ea19af1eaa/.github/scripts/sync/sync.sh#L91</x:v>
      </x:c>
      <x:c r="J377" s="11" t="str">
        <x:v>未提升为 Windows 执行项</x:v>
      </x:c>
      <x:c r="K377" s="11" t="str">
        <x:v>见源文件及 CI 条件</x:v>
      </x:c>
      <x:c r="L377" s="11" t="str">
        <x:v>级别为源码目录初分，未执行项目不能计作通过</x:v>
      </x:c>
    </x:row>
    <x:row r="378" ht="42" customHeight="1">
      <x:c r="A378" s="10" t="str">
        <x:v>UP-dd1998b30d12</x:v>
      </x:c>
      <x:c r="B378" s="10" t="str">
        <x:v>L2</x:v>
      </x:c>
      <x:c r="C378" s="10" t="str">
        <x:v>网关与后端重试</x:v>
      </x:c>
      <x:c r="D378" s="10" t="str">
        <x:v>test_sync_include_exclude_option</x:v>
      </x:c>
      <x:c r="E378" s="10" t="str">
        <x:v>Shell 测试函数</x:v>
      </x:c>
      <x:c r="F378" s="10" t="str">
        <x:v>待执行</x:v>
      </x:c>
      <x:c r="G378" s="10" t="str">
        <x:v>其他平台／集成；根据 workflow 条件选择</x:v>
      </x:c>
      <x:c r="H378" s="10" t="str">
        <x:v>.github/scripts/sync/sync.sh:126</x:v>
      </x:c>
      <x:c r="I378" s="10" t="str">
        <x:v>https://github.com/juicedata/juicefs/blob/30190ca1094d26e85f19a979ca51b0ea19af1eaa/.github/scripts/sync/sync.sh#L126</x:v>
      </x:c>
      <x:c r="J378" s="10" t="str">
        <x:v>未提升为 Windows 执行项</x:v>
      </x:c>
      <x:c r="K378" s="10" t="str">
        <x:v>见源文件及 CI 条件</x:v>
      </x:c>
      <x:c r="L378" s="10" t="str">
        <x:v>级别为源码目录初分，未执行项目不能计作通过</x:v>
      </x:c>
    </x:row>
    <x:row r="379" ht="42" customHeight="1">
      <x:c r="A379" s="11" t="str">
        <x:v>UP-8dd505119840</x:v>
      </x:c>
      <x:c r="B379" s="11" t="str">
        <x:v>L2</x:v>
      </x:c>
      <x:c r="C379" s="11" t="str">
        <x:v>网关与后端重试</x:v>
      </x:c>
      <x:c r="D379" s="11" t="str">
        <x:v>test_sync_with_time</x:v>
      </x:c>
      <x:c r="E379" s="11" t="str">
        <x:v>Shell 测试函数</x:v>
      </x:c>
      <x:c r="F379" s="11" t="str">
        <x:v>待执行</x:v>
      </x:c>
      <x:c r="G379" s="11" t="str">
        <x:v>其他平台／集成；根据 workflow 条件选择</x:v>
      </x:c>
      <x:c r="H379" s="11" t="str">
        <x:v>.github/scripts/sync/sync.sh:156</x:v>
      </x:c>
      <x:c r="I379" s="11" t="str">
        <x:v>https://github.com/juicedata/juicefs/blob/30190ca1094d26e85f19a979ca51b0ea19af1eaa/.github/scripts/sync/sync.sh#L156</x:v>
      </x:c>
      <x:c r="J379" s="11" t="str">
        <x:v>未提升为 Windows 执行项</x:v>
      </x:c>
      <x:c r="K379" s="11" t="str">
        <x:v>见源文件及 CI 条件</x:v>
      </x:c>
      <x:c r="L379" s="11" t="str">
        <x:v>级别为源码目录初分，未执行项目不能计作通过</x:v>
      </x:c>
    </x:row>
    <x:row r="380" ht="42" customHeight="1">
      <x:c r="A380" s="10" t="str">
        <x:v>UP-c5656a738b91</x:v>
      </x:c>
      <x:c r="B380" s="10" t="str">
        <x:v>L2</x:v>
      </x:c>
      <x:c r="C380" s="10" t="str">
        <x:v>网关与后端重试</x:v>
      </x:c>
      <x:c r="D380" s="10" t="str">
        <x:v>test_sync_check_change</x:v>
      </x:c>
      <x:c r="E380" s="10" t="str">
        <x:v>Shell 测试函数</x:v>
      </x:c>
      <x:c r="F380" s="10" t="str">
        <x:v>待执行</x:v>
      </x:c>
      <x:c r="G380" s="10" t="str">
        <x:v>其他平台／集成；根据 workflow 条件选择</x:v>
      </x:c>
      <x:c r="H380" s="10" t="str">
        <x:v>.github/scripts/sync/sync.sh:186</x:v>
      </x:c>
      <x:c r="I380" s="10" t="str">
        <x:v>https://github.com/juicedata/juicefs/blob/30190ca1094d26e85f19a979ca51b0ea19af1eaa/.github/scripts/sync/sync.sh#L186</x:v>
      </x:c>
      <x:c r="J380" s="10" t="str">
        <x:v>未提升为 Windows 执行项</x:v>
      </x:c>
      <x:c r="K380" s="10" t="str">
        <x:v>见源文件及 CI 条件</x:v>
      </x:c>
      <x:c r="L380" s="10" t="str">
        <x:v>级别为源码目录初分，未执行项目不能计作通过</x:v>
      </x:c>
    </x:row>
    <x:row r="381" ht="42" customHeight="1">
      <x:c r="A381" s="11" t="str">
        <x:v>UP-5aa960aa8704</x:v>
      </x:c>
      <x:c r="B381" s="11" t="str">
        <x:v>L2</x:v>
      </x:c>
      <x:c r="C381" s="11" t="str">
        <x:v>网关与后端重试</x:v>
      </x:c>
      <x:c r="D381" s="11" t="str">
        <x:v>test_ignore_existing</x:v>
      </x:c>
      <x:c r="E381" s="11" t="str">
        <x:v>Shell 测试函数</x:v>
      </x:c>
      <x:c r="F381" s="11" t="str">
        <x:v>待执行</x:v>
      </x:c>
      <x:c r="G381" s="11" t="str">
        <x:v>其他平台／集成；根据 workflow 条件选择</x:v>
      </x:c>
      <x:c r="H381" s="11" t="str">
        <x:v>.github/scripts/sync/sync.sh:200</x:v>
      </x:c>
      <x:c r="I381" s="11" t="str">
        <x:v>https://github.com/juicedata/juicefs/blob/30190ca1094d26e85f19a979ca51b0ea19af1eaa/.github/scripts/sync/sync.sh#L200</x:v>
      </x:c>
      <x:c r="J381" s="11" t="str">
        <x:v>未提升为 Windows 执行项</x:v>
      </x:c>
      <x:c r="K381" s="11" t="str">
        <x:v>见源文件及 CI 条件</x:v>
      </x:c>
      <x:c r="L381" s="11" t="str">
        <x:v>级别为源码目录初分，未执行项目不能计作通过</x:v>
      </x:c>
    </x:row>
    <x:row r="382" ht="42" customHeight="1">
      <x:c r="A382" s="10" t="str">
        <x:v>UP-5051433dd0b9</x:v>
      </x:c>
      <x:c r="B382" s="10" t="str">
        <x:v>L2</x:v>
      </x:c>
      <x:c r="C382" s="10" t="str">
        <x:v>网关与后端重试</x:v>
      </x:c>
      <x:c r="D382" s="10" t="str">
        <x:v>test_file_head</x:v>
      </x:c>
      <x:c r="E382" s="10" t="str">
        <x:v>Shell 测试函数</x:v>
      </x:c>
      <x:c r="F382" s="10" t="str">
        <x:v>待执行</x:v>
      </x:c>
      <x:c r="G382" s="10" t="str">
        <x:v>其他平台／集成；根据 workflow 条件选择</x:v>
      </x:c>
      <x:c r="H382" s="10" t="str">
        <x:v>.github/scripts/sync/sync.sh:235</x:v>
      </x:c>
      <x:c r="I382" s="10" t="str">
        <x:v>https://github.com/juicedata/juicefs/blob/30190ca1094d26e85f19a979ca51b0ea19af1eaa/.github/scripts/sync/sync.sh#L235</x:v>
      </x:c>
      <x:c r="J382" s="10" t="str">
        <x:v>未提升为 Windows 执行项</x:v>
      </x:c>
      <x:c r="K382" s="10" t="str">
        <x:v>见源文件及 CI 条件</x:v>
      </x:c>
      <x:c r="L382" s="10" t="str">
        <x:v>级别为源码目录初分，未执行项目不能计作通过</x:v>
      </x:c>
    </x:row>
    <x:row r="383" ht="42" customHeight="1">
      <x:c r="A383" s="11" t="str">
        <x:v>UP-b98336772b29</x:v>
      </x:c>
      <x:c r="B383" s="11" t="str">
        <x:v>L2</x:v>
      </x:c>
      <x:c r="C383" s="11" t="str">
        <x:v>网关与后端重试</x:v>
      </x:c>
      <x:c r="D383" s="11" t="str">
        <x:v>test_sync_without_mount_point</x:v>
      </x:c>
      <x:c r="E383" s="11" t="str">
        <x:v>Shell 测试函数</x:v>
      </x:c>
      <x:c r="F383" s="11" t="str">
        <x:v>待执行</x:v>
      </x:c>
      <x:c r="G383" s="11" t="str">
        <x:v>其他平台／集成；根据 workflow 条件选择</x:v>
      </x:c>
      <x:c r="H383" s="11" t="str">
        <x:v>.github/scripts/sync/sync_cluster.sh:52</x:v>
      </x:c>
      <x:c r="I383" s="11" t="str">
        <x:v>https://github.com/juicedata/juicefs/blob/30190ca1094d26e85f19a979ca51b0ea19af1eaa/.github/scripts/sync/sync_cluster.sh#L52</x:v>
      </x:c>
      <x:c r="J383" s="11" t="str">
        <x:v>未提升为 Windows 执行项</x:v>
      </x:c>
      <x:c r="K383" s="11" t="str">
        <x:v>见源文件及 CI 条件</x:v>
      </x:c>
      <x:c r="L383" s="11" t="str">
        <x:v>级别为源码目录初分，未执行项目不能计作通过</x:v>
      </x:c>
    </x:row>
    <x:row r="384" ht="42" customHeight="1">
      <x:c r="A384" s="10" t="str">
        <x:v>UP-7cc3a70ed407</x:v>
      </x:c>
      <x:c r="B384" s="10" t="str">
        <x:v>L2</x:v>
      </x:c>
      <x:c r="C384" s="10" t="str">
        <x:v>网关与后端重试</x:v>
      </x:c>
      <x:c r="D384" s="10" t="str">
        <x:v>test_sync_without_mount_point2</x:v>
      </x:c>
      <x:c r="E384" s="10" t="str">
        <x:v>Shell 测试函数</x:v>
      </x:c>
      <x:c r="F384" s="10" t="str">
        <x:v>待执行</x:v>
      </x:c>
      <x:c r="G384" s="10" t="str">
        <x:v>其他平台／集成；根据 workflow 条件选择</x:v>
      </x:c>
      <x:c r="H384" s="10" t="str">
        <x:v>.github/scripts/sync/sync_cluster.sh:71</x:v>
      </x:c>
      <x:c r="I384" s="10" t="str">
        <x:v>https://github.com/juicedata/juicefs/blob/30190ca1094d26e85f19a979ca51b0ea19af1eaa/.github/scripts/sync/sync_cluster.sh#L71</x:v>
      </x:c>
      <x:c r="J384" s="10" t="str">
        <x:v>未提升为 Windows 执行项</x:v>
      </x:c>
      <x:c r="K384" s="10" t="str">
        <x:v>见源文件及 CI 条件</x:v>
      </x:c>
      <x:c r="L384" s="10" t="str">
        <x:v>级别为源码目录初分，未执行项目不能计作通过</x:v>
      </x:c>
    </x:row>
    <x:row r="385" ht="42" customHeight="1">
      <x:c r="A385" s="11" t="str">
        <x:v>UP-ccd4d5c5f219</x:v>
      </x:c>
      <x:c r="B385" s="11" t="str">
        <x:v>L2</x:v>
      </x:c>
      <x:c r="C385" s="11" t="str">
        <x:v>命名与目录</x:v>
      </x:c>
      <x:c r="D385" s="11" t="str">
        <x:v>test_sync_delete_src_and_update</x:v>
      </x:c>
      <x:c r="E385" s="11" t="str">
        <x:v>Shell 测试函数</x:v>
      </x:c>
      <x:c r="F385" s="11" t="str">
        <x:v>待执行</x:v>
      </x:c>
      <x:c r="G385" s="11" t="str">
        <x:v>其他平台／集成；根据 workflow 条件选择</x:v>
      </x:c>
      <x:c r="H385" s="11" t="str">
        <x:v>.github/scripts/sync/sync_cluster.sh:118</x:v>
      </x:c>
      <x:c r="I385" s="11" t="str">
        <x:v>https://github.com/juicedata/juicefs/blob/30190ca1094d26e85f19a979ca51b0ea19af1eaa/.github/scripts/sync/sync_cluster.sh#L118</x:v>
      </x:c>
      <x:c r="J385" s="11" t="str">
        <x:v>未提升为 Windows 执行项</x:v>
      </x:c>
      <x:c r="K385" s="11" t="str">
        <x:v>见源文件及 CI 条件</x:v>
      </x:c>
      <x:c r="L385" s="11" t="str">
        <x:v>级别为源码目录初分，未执行项目不能计作通过</x:v>
      </x:c>
    </x:row>
    <x:row r="386" ht="42" customHeight="1">
      <x:c r="A386" s="10" t="str">
        <x:v>UP-ed87c9aa6f9e</x:v>
      </x:c>
      <x:c r="B386" s="10" t="str">
        <x:v>L2</x:v>
      </x:c>
      <x:c r="C386" s="10" t="str">
        <x:v>命名与目录</x:v>
      </x:c>
      <x:c r="D386" s="10" t="str">
        <x:v>test_sync_delete_dst</x:v>
      </x:c>
      <x:c r="E386" s="10" t="str">
        <x:v>Shell 测试函数</x:v>
      </x:c>
      <x:c r="F386" s="10" t="str">
        <x:v>待执行</x:v>
      </x:c>
      <x:c r="G386" s="10" t="str">
        <x:v>其他平台／集成；根据 workflow 条件选择</x:v>
      </x:c>
      <x:c r="H386" s="10" t="str">
        <x:v>.github/scripts/sync/sync_cluster.sh:161</x:v>
      </x:c>
      <x:c r="I386" s="10" t="str">
        <x:v>https://github.com/juicedata/juicefs/blob/30190ca1094d26e85f19a979ca51b0ea19af1eaa/.github/scripts/sync/sync_cluster.sh#L161</x:v>
      </x:c>
      <x:c r="J386" s="10" t="str">
        <x:v>未提升为 Windows 执行项</x:v>
      </x:c>
      <x:c r="K386" s="10" t="str">
        <x:v>见源文件及 CI 条件</x:v>
      </x:c>
      <x:c r="L386" s="10" t="str">
        <x:v>级别为源码目录初分，未执行项目不能计作通过</x:v>
      </x:c>
    </x:row>
    <x:row r="387" ht="42" customHeight="1">
      <x:c r="A387" s="11" t="str">
        <x:v>UP-2d571d64ac5e</x:v>
      </x:c>
      <x:c r="B387" s="11" t="str">
        <x:v>L2</x:v>
      </x:c>
      <x:c r="C387" s="11" t="str">
        <x:v>网关与后端重试</x:v>
      </x:c>
      <x:c r="D387" s="11" t="str">
        <x:v>test_sync_with_random_test</x:v>
      </x:c>
      <x:c r="E387" s="11" t="str">
        <x:v>Shell 测试函数</x:v>
      </x:c>
      <x:c r="F387" s="11" t="str">
        <x:v>待执行</x:v>
      </x:c>
      <x:c r="G387" s="11" t="str">
        <x:v>其他平台／集成；根据 workflow 条件选择</x:v>
      </x:c>
      <x:c r="H387" s="11" t="str">
        <x:v>.github/scripts/sync/sync_cluster.sh:182</x:v>
      </x:c>
      <x:c r="I387" s="11" t="str">
        <x:v>https://github.com/juicedata/juicefs/blob/30190ca1094d26e85f19a979ca51b0ea19af1eaa/.github/scripts/sync/sync_cluster.sh#L182</x:v>
      </x:c>
      <x:c r="J387" s="11" t="str">
        <x:v>未提升为 Windows 执行项</x:v>
      </x:c>
      <x:c r="K387" s="11" t="str">
        <x:v>见源文件及 CI 条件</x:v>
      </x:c>
      <x:c r="L387" s="11" t="str">
        <x:v>级别为源码目录初分，未执行项目不能计作通过</x:v>
      </x:c>
    </x:row>
    <x:row r="388" ht="42" customHeight="1">
      <x:c r="A388" s="10" t="str">
        <x:v>UP-90d1e0f5a5d8</x:v>
      </x:c>
      <x:c r="B388" s="10" t="str">
        <x:v>L2</x:v>
      </x:c>
      <x:c r="C388" s="10" t="str">
        <x:v>网关与后端重试</x:v>
      </x:c>
      <x:c r="D388" s="10" t="str">
        <x:v>test_sync_files_from_file</x:v>
      </x:c>
      <x:c r="E388" s="10" t="str">
        <x:v>Shell 测试函数</x:v>
      </x:c>
      <x:c r="F388" s="10" t="str">
        <x:v>待执行</x:v>
      </x:c>
      <x:c r="G388" s="10" t="str">
        <x:v>其他平台／集成；根据 workflow 条件选择</x:v>
      </x:c>
      <x:c r="H388" s="10" t="str">
        <x:v>.github/scripts/sync/sync_cluster.sh:217</x:v>
      </x:c>
      <x:c r="I388" s="10" t="str">
        <x:v>https://github.com/juicedata/juicefs/blob/30190ca1094d26e85f19a979ca51b0ea19af1eaa/.github/scripts/sync/sync_cluster.sh#L217</x:v>
      </x:c>
      <x:c r="J388" s="10" t="str">
        <x:v>未提升为 Windows 执行项</x:v>
      </x:c>
      <x:c r="K388" s="10" t="str">
        <x:v>见源文件及 CI 条件</x:v>
      </x:c>
      <x:c r="L388" s="10" t="str">
        <x:v>级别为源码目录初分，未执行项目不能计作通过</x:v>
      </x:c>
    </x:row>
    <x:row r="389" ht="42" customHeight="1">
      <x:c r="A389" s="11" t="str">
        <x:v>UP-50872ae68e62</x:v>
      </x:c>
      <x:c r="B389" s="11" t="str">
        <x:v>L2</x:v>
      </x:c>
      <x:c r="C389" s="11" t="str">
        <x:v>属性与权限</x:v>
      </x:c>
      <x:c r="D389" s="11" t="str">
        <x:v>test_sync_chown_perms</x:v>
      </x:c>
      <x:c r="E389" s="11" t="str">
        <x:v>Shell 测试函数</x:v>
      </x:c>
      <x:c r="F389" s="11" t="str">
        <x:v>待执行</x:v>
      </x:c>
      <x:c r="G389" s="11" t="str">
        <x:v>其他平台／集成；根据 workflow 条件选择</x:v>
      </x:c>
      <x:c r="H389" s="11" t="str">
        <x:v>.github/scripts/sync/sync_cluster.sh:234</x:v>
      </x:c>
      <x:c r="I389" s="11" t="str">
        <x:v>https://github.com/juicedata/juicefs/blob/30190ca1094d26e85f19a979ca51b0ea19af1eaa/.github/scripts/sync/sync_cluster.sh#L234</x:v>
      </x:c>
      <x:c r="J389" s="11" t="str">
        <x:v>未提升为 Windows 执行项</x:v>
      </x:c>
      <x:c r="K389" s="11" t="str">
        <x:v>见源文件及 CI 条件</x:v>
      </x:c>
      <x:c r="L389" s="11" t="str">
        <x:v>级别为源码目录初分，未执行项目不能计作通过</x:v>
      </x:c>
    </x:row>
    <x:row r="390" ht="42" customHeight="1">
      <x:c r="A390" s="10" t="str">
        <x:v>UP-694f561953bd</x:v>
      </x:c>
      <x:c r="B390" s="10" t="str">
        <x:v>L2</x:v>
      </x:c>
      <x:c r="C390" s="10" t="str">
        <x:v>网关与后端重试</x:v>
      </x:c>
      <x:c r="D390" s="10" t="str">
        <x:v>test_sync_worker_down</x:v>
      </x:c>
      <x:c r="E390" s="10" t="str">
        <x:v>Shell 测试函数</x:v>
      </x:c>
      <x:c r="F390" s="10" t="str">
        <x:v>待执行</x:v>
      </x:c>
      <x:c r="G390" s="10" t="str">
        <x:v>其他平台／集成；根据 workflow 条件选择</x:v>
      </x:c>
      <x:c r="H390" s="10" t="str">
        <x:v>.github/scripts/sync/sync_cluster.sh:275</x:v>
      </x:c>
      <x:c r="I390" s="10" t="str">
        <x:v>https://github.com/juicedata/juicefs/blob/30190ca1094d26e85f19a979ca51b0ea19af1eaa/.github/scripts/sync/sync_cluster.sh#L275</x:v>
      </x:c>
      <x:c r="J390" s="10" t="str">
        <x:v>未提升为 Windows 执行项</x:v>
      </x:c>
      <x:c r="K390" s="10" t="str">
        <x:v>见源文件及 CI 条件</x:v>
      </x:c>
      <x:c r="L390" s="10" t="str">
        <x:v>级别为源码目录初分，未执行项目不能计作通过</x:v>
      </x:c>
    </x:row>
    <x:row r="391" ht="42" customHeight="1">
      <x:c r="A391" s="11" t="str">
        <x:v>UP-3acdd5d0a2d4</x:v>
      </x:c>
      <x:c r="B391" s="11" t="str">
        <x:v>L2</x:v>
      </x:c>
      <x:c r="C391" s="11" t="str">
        <x:v>网关与后端重试</x:v>
      </x:c>
      <x:c r="D391" s="11" t="str">
        <x:v>test_cmp_cp</x:v>
      </x:c>
      <x:c r="E391" s="11" t="str">
        <x:v>Shell 测试函数</x:v>
      </x:c>
      <x:c r="F391" s="11" t="str">
        <x:v>待执行</x:v>
      </x:c>
      <x:c r="G391" s="11" t="str">
        <x:v>其他平台／集成；根据 workflow 条件选择</x:v>
      </x:c>
      <x:c r="H391" s="11" t="str">
        <x:v>.github/scripts/sync/sync_fsrand.sh:35</x:v>
      </x:c>
      <x:c r="I391" s="11" t="str">
        <x:v>https://github.com/juicedata/juicefs/blob/30190ca1094d26e85f19a979ca51b0ea19af1eaa/.github/scripts/sync/sync_fsrand.sh#L35</x:v>
      </x:c>
      <x:c r="J391" s="11" t="str">
        <x:v>未提升为 Windows 执行项</x:v>
      </x:c>
      <x:c r="K391" s="11" t="str">
        <x:v>见源文件及 CI 条件</x:v>
      </x:c>
      <x:c r="L391" s="11" t="str">
        <x:v>级别为源码目录初分，未执行项目不能计作通过</x:v>
      </x:c>
    </x:row>
    <x:row r="392" ht="42" customHeight="1">
      <x:c r="A392" s="10" t="str">
        <x:v>UP-a0beed5cc88d</x:v>
      </x:c>
      <x:c r="B392" s="10" t="str">
        <x:v>L2</x:v>
      </x:c>
      <x:c r="C392" s="10" t="str">
        <x:v>网关与后端重试</x:v>
      </x:c>
      <x:c r="D392" s="10" t="str">
        <x:v>test_cmp_cp_without_perms</x:v>
      </x:c>
      <x:c r="E392" s="10" t="str">
        <x:v>Shell 测试函数</x:v>
      </x:c>
      <x:c r="F392" s="10" t="str">
        <x:v>待执行</x:v>
      </x:c>
      <x:c r="G392" s="10" t="str">
        <x:v>其他平台／集成；根据 workflow 条件选择</x:v>
      </x:c>
      <x:c r="H392" s="10" t="str">
        <x:v>.github/scripts/sync/sync_fsrand.sh:44</x:v>
      </x:c>
      <x:c r="I392" s="10" t="str">
        <x:v>https://github.com/juicedata/juicefs/blob/30190ca1094d26e85f19a979ca51b0ea19af1eaa/.github/scripts/sync/sync_fsrand.sh#L44</x:v>
      </x:c>
      <x:c r="J392" s="10" t="str">
        <x:v>未提升为 Windows 执行项</x:v>
      </x:c>
      <x:c r="K392" s="10" t="str">
        <x:v>见源文件及 CI 条件</x:v>
      </x:c>
      <x:c r="L392" s="10" t="str">
        <x:v>级别为源码目录初分，未执行项目不能计作通过</x:v>
      </x:c>
    </x:row>
    <x:row r="393" ht="42" customHeight="1">
      <x:c r="A393" s="11" t="str">
        <x:v>UP-0038e72be2b4</x:v>
      </x:c>
      <x:c r="B393" s="11" t="str">
        <x:v>L2</x:v>
      </x:c>
      <x:c r="C393" s="11" t="str">
        <x:v>网关与后端重试</x:v>
      </x:c>
      <x:c r="D393" s="11" t="str">
        <x:v>test_cmp_cp_without_links</x:v>
      </x:c>
      <x:c r="E393" s="11" t="str">
        <x:v>Shell 测试函数</x:v>
      </x:c>
      <x:c r="F393" s="11" t="str">
        <x:v>待执行</x:v>
      </x:c>
      <x:c r="G393" s="11" t="str">
        <x:v>其他平台／集成；根据 workflow 条件选择</x:v>
      </x:c>
      <x:c r="H393" s="11" t="str">
        <x:v>.github/scripts/sync/sync_fsrand.sh:53</x:v>
      </x:c>
      <x:c r="I393" s="11" t="str">
        <x:v>https://github.com/juicedata/juicefs/blob/30190ca1094d26e85f19a979ca51b0ea19af1eaa/.github/scripts/sync/sync_fsrand.sh#L53</x:v>
      </x:c>
      <x:c r="J393" s="11" t="str">
        <x:v>未提升为 Windows 执行项</x:v>
      </x:c>
      <x:c r="K393" s="11" t="str">
        <x:v>见源文件及 CI 条件</x:v>
      </x:c>
      <x:c r="L393" s="11" t="str">
        <x:v>级别为源码目录初分，未执行项目不能计作通过</x:v>
      </x:c>
    </x:row>
    <x:row r="394" ht="42" customHeight="1">
      <x:c r="A394" s="10" t="str">
        <x:v>UP-6b2ba4fb6808</x:v>
      </x:c>
      <x:c r="B394" s="10" t="str">
        <x:v>L2</x:v>
      </x:c>
      <x:c r="C394" s="10" t="str">
        <x:v>网关与后端重试</x:v>
      </x:c>
      <x:c r="D394" s="10" t="str">
        <x:v>test_no_mount_point</x:v>
      </x:c>
      <x:c r="E394" s="10" t="str">
        <x:v>Shell 测试函数</x:v>
      </x:c>
      <x:c r="F394" s="10" t="str">
        <x:v>待执行</x:v>
      </x:c>
      <x:c r="G394" s="10" t="str">
        <x:v>其他平台／集成；根据 workflow 条件选择</x:v>
      </x:c>
      <x:c r="H394" s="10" t="str">
        <x:v>.github/scripts/sync/sync_fsrand.sh:62</x:v>
      </x:c>
      <x:c r="I394" s="10" t="str">
        <x:v>https://github.com/juicedata/juicefs/blob/30190ca1094d26e85f19a979ca51b0ea19af1eaa/.github/scripts/sync/sync_fsrand.sh#L62</x:v>
      </x:c>
      <x:c r="J394" s="10" t="str">
        <x:v>未提升为 Windows 执行项</x:v>
      </x:c>
      <x:c r="K394" s="10" t="str">
        <x:v>见源文件及 CI 条件</x:v>
      </x:c>
      <x:c r="L394" s="10" t="str">
        <x:v>级别为源码目录初分，未执行项目不能计作通过</x:v>
      </x:c>
    </x:row>
    <x:row r="395" ht="42" customHeight="1">
      <x:c r="A395" s="11" t="str">
        <x:v>UP-38e1d624d8b2</x:v>
      </x:c>
      <x:c r="B395" s="11" t="str">
        <x:v>L2</x:v>
      </x:c>
      <x:c r="C395" s="11" t="str">
        <x:v>网关与后端重试</x:v>
      </x:c>
      <x:c r="D395" s="11" t="str">
        <x:v>test_inplace</x:v>
      </x:c>
      <x:c r="E395" s="11" t="str">
        <x:v>Shell 测试函数</x:v>
      </x:c>
      <x:c r="F395" s="11" t="str">
        <x:v>待执行</x:v>
      </x:c>
      <x:c r="G395" s="11" t="str">
        <x:v>其他平台／集成；根据 workflow 条件选择</x:v>
      </x:c>
      <x:c r="H395" s="11" t="str">
        <x:v>.github/scripts/sync/sync_fsrand.sh:71</x:v>
      </x:c>
      <x:c r="I395" s="11" t="str">
        <x:v>https://github.com/juicedata/juicefs/blob/30190ca1094d26e85f19a979ca51b0ea19af1eaa/.github/scripts/sync/sync_fsrand.sh#L71</x:v>
      </x:c>
      <x:c r="J395" s="11" t="str">
        <x:v>未提升为 Windows 执行项</x:v>
      </x:c>
      <x:c r="K395" s="11" t="str">
        <x:v>见源文件及 CI 条件</x:v>
      </x:c>
      <x:c r="L395" s="11" t="str">
        <x:v>级别为源码目录初分，未执行项目不能计作通过</x:v>
      </x:c>
    </x:row>
    <x:row r="396" ht="42" customHeight="1">
      <x:c r="A396" s="10" t="str">
        <x:v>UP-a6dd6dac5cd5</x:v>
      </x:c>
      <x:c r="B396" s="10" t="str">
        <x:v>L2</x:v>
      </x:c>
      <x:c r="C396" s="10" t="str">
        <x:v>网关与后端重试</x:v>
      </x:c>
      <x:c r="D396" s="10" t="str">
        <x:v>test_list_threads</x:v>
      </x:c>
      <x:c r="E396" s="10" t="str">
        <x:v>Shell 测试函数</x:v>
      </x:c>
      <x:c r="F396" s="10" t="str">
        <x:v>待执行</x:v>
      </x:c>
      <x:c r="G396" s="10" t="str">
        <x:v>其他平台／集成；根据 workflow 条件选择</x:v>
      </x:c>
      <x:c r="H396" s="10" t="str">
        <x:v>.github/scripts/sync/sync_fsrand.sh:81</x:v>
      </x:c>
      <x:c r="I396" s="10" t="str">
        <x:v>https://github.com/juicedata/juicefs/blob/30190ca1094d26e85f19a979ca51b0ea19af1eaa/.github/scripts/sync/sync_fsrand.sh#L81</x:v>
      </x:c>
      <x:c r="J396" s="10" t="str">
        <x:v>未提升为 Windows 执行项</x:v>
      </x:c>
      <x:c r="K396" s="10" t="str">
        <x:v>见源文件及 CI 条件</x:v>
      </x:c>
      <x:c r="L396" s="10" t="str">
        <x:v>级别为源码目录初分，未执行项目不能计作通过</x:v>
      </x:c>
    </x:row>
    <x:row r="397" ht="42" customHeight="1">
      <x:c r="A397" s="11" t="str">
        <x:v>UP-fbe1ea44551e</x:v>
      </x:c>
      <x:c r="B397" s="11" t="str">
        <x:v>L2</x:v>
      </x:c>
      <x:c r="C397" s="11" t="str">
        <x:v>网关与后端重试</x:v>
      </x:c>
      <x:c r="D397" s="11" t="str">
        <x:v>test_update</x:v>
      </x:c>
      <x:c r="E397" s="11" t="str">
        <x:v>Shell 测试函数</x:v>
      </x:c>
      <x:c r="F397" s="11" t="str">
        <x:v>待执行</x:v>
      </x:c>
      <x:c r="G397" s="11" t="str">
        <x:v>其他平台／集成；根据 workflow 条件选择</x:v>
      </x:c>
      <x:c r="H397" s="11" t="str">
        <x:v>.github/scripts/sync/sync_fsrand.sh:91</x:v>
      </x:c>
      <x:c r="I397" s="11" t="str">
        <x:v>https://github.com/juicedata/juicefs/blob/30190ca1094d26e85f19a979ca51b0ea19af1eaa/.github/scripts/sync/sync_fsrand.sh#L91</x:v>
      </x:c>
      <x:c r="J397" s="11" t="str">
        <x:v>未提升为 Windows 执行项</x:v>
      </x:c>
      <x:c r="K397" s="11" t="str">
        <x:v>见源文件及 CI 条件</x:v>
      </x:c>
      <x:c r="L397" s="11" t="str">
        <x:v>级别为源码目录初分，未执行项目不能计作通过</x:v>
      </x:c>
    </x:row>
    <x:row r="398" ht="42" customHeight="1">
      <x:c r="A398" s="10" t="str">
        <x:v>UP-0a7146bfa967</x:v>
      </x:c>
      <x:c r="B398" s="10" t="str">
        <x:v>L2</x:v>
      </x:c>
      <x:c r="C398" s="10" t="str">
        <x:v>网关与后端重试</x:v>
      </x:c>
      <x:c r="D398" s="10" t="str">
        <x:v>test_files_from</x:v>
      </x:c>
      <x:c r="E398" s="10" t="str">
        <x:v>Shell 测试函数</x:v>
      </x:c>
      <x:c r="F398" s="10" t="str">
        <x:v>待执行</x:v>
      </x:c>
      <x:c r="G398" s="10" t="str">
        <x:v>其他平台／集成；根据 workflow 条件选择</x:v>
      </x:c>
      <x:c r="H398" s="10" t="str">
        <x:v>.github/scripts/sync/sync_fsrand.sh:117</x:v>
      </x:c>
      <x:c r="I398" s="10" t="str">
        <x:v>https://github.com/juicedata/juicefs/blob/30190ca1094d26e85f19a979ca51b0ea19af1eaa/.github/scripts/sync/sync_fsrand.sh#L117</x:v>
      </x:c>
      <x:c r="J398" s="10" t="str">
        <x:v>未提升为 Windows 执行项</x:v>
      </x:c>
      <x:c r="K398" s="10" t="str">
        <x:v>见源文件及 CI 条件</x:v>
      </x:c>
      <x:c r="L398" s="10" t="str">
        <x:v>级别为源码目录初分，未执行项目不能计作通过</x:v>
      </x:c>
    </x:row>
    <x:row r="399" ht="42" customHeight="1">
      <x:c r="A399" s="11" t="str">
        <x:v>UP-249c81175143</x:v>
      </x:c>
      <x:c r="B399" s="11" t="str">
        <x:v>L2</x:v>
      </x:c>
      <x:c r="C399" s="11" t="str">
        <x:v>网关与后端重试</x:v>
      </x:c>
      <x:c r="D399" s="11" t="str">
        <x:v>test_check_change</x:v>
      </x:c>
      <x:c r="E399" s="11" t="str">
        <x:v>Shell 测试函数</x:v>
      </x:c>
      <x:c r="F399" s="11" t="str">
        <x:v>待执行</x:v>
      </x:c>
      <x:c r="G399" s="11" t="str">
        <x:v>其他平台／集成；根据 workflow 条件选择</x:v>
      </x:c>
      <x:c r="H399" s="11" t="str">
        <x:v>.github/scripts/sync/sync_fsrand.sh:134</x:v>
      </x:c>
      <x:c r="I399" s="11" t="str">
        <x:v>https://github.com/juicedata/juicefs/blob/30190ca1094d26e85f19a979ca51b0ea19af1eaa/.github/scripts/sync/sync_fsrand.sh#L134</x:v>
      </x:c>
      <x:c r="J399" s="11" t="str">
        <x:v>未提升为 Windows 执行项</x:v>
      </x:c>
      <x:c r="K399" s="11" t="str">
        <x:v>见源文件及 CI 条件</x:v>
      </x:c>
      <x:c r="L399" s="11" t="str">
        <x:v>级别为源码目录初分，未执行项目不能计作通过</x:v>
      </x:c>
    </x:row>
    <x:row r="400" ht="42" customHeight="1">
      <x:c r="A400" s="10" t="str">
        <x:v>UP-29c24363f13e</x:v>
      </x:c>
      <x:c r="B400" s="10" t="str">
        <x:v>L2</x:v>
      </x:c>
      <x:c r="C400" s="10" t="str">
        <x:v>网关与后端重试</x:v>
      </x:c>
      <x:c r="D400" s="10" t="str">
        <x:v>test_sync_small_files</x:v>
      </x:c>
      <x:c r="E400" s="10" t="str">
        <x:v>Shell 测试函数</x:v>
      </x:c>
      <x:c r="F400" s="10" t="str">
        <x:v>待执行</x:v>
      </x:c>
      <x:c r="G400" s="10" t="str">
        <x:v>其他平台／集成；根据 workflow 条件选择</x:v>
      </x:c>
      <x:c r="H400" s="10" t="str">
        <x:v>.github/scripts/sync/sync_minio.sh:9</x:v>
      </x:c>
      <x:c r="I400" s="10" t="str">
        <x:v>https://github.com/juicedata/juicefs/blob/30190ca1094d26e85f19a979ca51b0ea19af1eaa/.github/scripts/sync/sync_minio.sh#L9</x:v>
      </x:c>
      <x:c r="J400" s="10" t="str">
        <x:v>未提升为 Windows 执行项</x:v>
      </x:c>
      <x:c r="K400" s="10" t="str">
        <x:v>见源文件及 CI 条件</x:v>
      </x:c>
      <x:c r="L400" s="10" t="str">
        <x:v>级别为源码目录初分，未执行项目不能计作通过</x:v>
      </x:c>
    </x:row>
    <x:row r="401" ht="42" customHeight="1">
      <x:c r="A401" s="11" t="str">
        <x:v>UP-f12da5304950</x:v>
      </x:c>
      <x:c r="B401" s="11" t="str">
        <x:v>L2</x:v>
      </x:c>
      <x:c r="C401" s="11" t="str">
        <x:v>网关与后端重试</x:v>
      </x:c>
      <x:c r="D401" s="11" t="str">
        <x:v>test_sync_big_file_with_jfs</x:v>
      </x:c>
      <x:c r="E401" s="11" t="str">
        <x:v>Shell 测试函数</x:v>
      </x:c>
      <x:c r="F401" s="11" t="str">
        <x:v>待执行</x:v>
      </x:c>
      <x:c r="G401" s="11" t="str">
        <x:v>其他平台／集成；根据 workflow 条件选择</x:v>
      </x:c>
      <x:c r="H401" s="11" t="str">
        <x:v>.github/scripts/sync/sync_minio.sh:18</x:v>
      </x:c>
      <x:c r="I401" s="11" t="str">
        <x:v>https://github.com/juicedata/juicefs/blob/30190ca1094d26e85f19a979ca51b0ea19af1eaa/.github/scripts/sync/sync_minio.sh#L18</x:v>
      </x:c>
      <x:c r="J401" s="11" t="str">
        <x:v>未提升为 Windows 执行项</x:v>
      </x:c>
      <x:c r="K401" s="11" t="str">
        <x:v>见源文件及 CI 条件</x:v>
      </x:c>
      <x:c r="L401" s="11" t="str">
        <x:v>级别为源码目录初分，未执行项目不能计作通过</x:v>
      </x:c>
    </x:row>
    <x:row r="402" ht="42" customHeight="1">
      <x:c r="A402" s="10" t="str">
        <x:v>UP-c15c003e093d</x:v>
      </x:c>
      <x:c r="B402" s="10" t="str">
        <x:v>L2</x:v>
      </x:c>
      <x:c r="C402" s="10" t="str">
        <x:v>网关与后端重试</x:v>
      </x:c>
      <x:c r="D402" s="10" t="str">
        <x:v>test_sync_big_file</x:v>
      </x:c>
      <x:c r="E402" s="10" t="str">
        <x:v>Shell 测试函数</x:v>
      </x:c>
      <x:c r="F402" s="10" t="str">
        <x:v>待执行</x:v>
      </x:c>
      <x:c r="G402" s="10" t="str">
        <x:v>其他平台／集成；根据 workflow 条件选择</x:v>
      </x:c>
      <x:c r="H402" s="10" t="str">
        <x:v>.github/scripts/sync/sync_minio.sh:27</x:v>
      </x:c>
      <x:c r="I402" s="10" t="str">
        <x:v>https://github.com/juicedata/juicefs/blob/30190ca1094d26e85f19a979ca51b0ea19af1eaa/.github/scripts/sync/sync_minio.sh#L27</x:v>
      </x:c>
      <x:c r="J402" s="10" t="str">
        <x:v>未提升为 Windows 执行项</x:v>
      </x:c>
      <x:c r="K402" s="10" t="str">
        <x:v>见源文件及 CI 条件</x:v>
      </x:c>
      <x:c r="L402" s="10" t="str">
        <x:v>级别为源码目录初分，未执行项目不能计作通过</x:v>
      </x:c>
    </x:row>
    <x:row r="403" ht="42" customHeight="1">
      <x:c r="A403" s="11" t="str">
        <x:v>UP-f3083fce2f6e</x:v>
      </x:c>
      <x:c r="B403" s="11" t="str">
        <x:v>L2</x:v>
      </x:c>
      <x:c r="C403" s="11" t="str">
        <x:v>网关与后端重试</x:v>
      </x:c>
      <x:c r="D403" s="11" t="str">
        <x:v>test_sync_with_limit</x:v>
      </x:c>
      <x:c r="E403" s="11" t="str">
        <x:v>Shell 测试函数</x:v>
      </x:c>
      <x:c r="F403" s="11" t="str">
        <x:v>待执行</x:v>
      </x:c>
      <x:c r="G403" s="11" t="str">
        <x:v>其他平台／集成；根据 workflow 条件选择</x:v>
      </x:c>
      <x:c r="H403" s="11" t="str">
        <x:v>.github/scripts/sync/sync_minio.sh:36</x:v>
      </x:c>
      <x:c r="I403" s="11" t="str">
        <x:v>https://github.com/juicedata/juicefs/blob/30190ca1094d26e85f19a979ca51b0ea19af1eaa/.github/scripts/sync/sync_minio.sh#L36</x:v>
      </x:c>
      <x:c r="J403" s="11" t="str">
        <x:v>未提升为 Windows 执行项</x:v>
      </x:c>
      <x:c r="K403" s="11" t="str">
        <x:v>见源文件及 CI 条件</x:v>
      </x:c>
      <x:c r="L403" s="11" t="str">
        <x:v>级别为源码目录初分，未执行项目不能计作通过</x:v>
      </x:c>
    </x:row>
    <x:row r="404" ht="42" customHeight="1">
      <x:c r="A404" s="10" t="str">
        <x:v>UP-eee1b45ab6af</x:v>
      </x:c>
      <x:c r="B404" s="10" t="str">
        <x:v>L2</x:v>
      </x:c>
      <x:c r="C404" s="10" t="str">
        <x:v>网关与后端重试</x:v>
      </x:c>
      <x:c r="D404" s="10" t="str">
        <x:v>test_sync_with_existing</x:v>
      </x:c>
      <x:c r="E404" s="10" t="str">
        <x:v>Shell 测试函数</x:v>
      </x:c>
      <x:c r="F404" s="10" t="str">
        <x:v>待执行</x:v>
      </x:c>
      <x:c r="G404" s="10" t="str">
        <x:v>其他平台／集成；根据 workflow 条件选择</x:v>
      </x:c>
      <x:c r="H404" s="10" t="str">
        <x:v>.github/scripts/sync/sync_minio.sh:44</x:v>
      </x:c>
      <x:c r="I404" s="10" t="str">
        <x:v>https://github.com/juicedata/juicefs/blob/30190ca1094d26e85f19a979ca51b0ea19af1eaa/.github/scripts/sync/sync_minio.sh#L44</x:v>
      </x:c>
      <x:c r="J404" s="10" t="str">
        <x:v>未提升为 Windows 执行项</x:v>
      </x:c>
      <x:c r="K404" s="10" t="str">
        <x:v>见源文件及 CI 条件</x:v>
      </x:c>
      <x:c r="L404" s="10" t="str">
        <x:v>级别为源码目录初分，未执行项目不能计作通过</x:v>
      </x:c>
    </x:row>
    <x:row r="405" ht="42" customHeight="1">
      <x:c r="A405" s="11" t="str">
        <x:v>UP-520c31003db8</x:v>
      </x:c>
      <x:c r="B405" s="11" t="str">
        <x:v>L2</x:v>
      </x:c>
      <x:c r="C405" s="11" t="str">
        <x:v>网关与后端重试</x:v>
      </x:c>
      <x:c r="D405" s="11" t="str">
        <x:v>test_sync_with_update</x:v>
      </x:c>
      <x:c r="E405" s="11" t="str">
        <x:v>Shell 测试函数</x:v>
      </x:c>
      <x:c r="F405" s="11" t="str">
        <x:v>待执行</x:v>
      </x:c>
      <x:c r="G405" s="11" t="str">
        <x:v>其他平台／集成；根据 workflow 条件选择</x:v>
      </x:c>
      <x:c r="H405" s="11" t="str">
        <x:v>.github/scripts/sync/sync_minio.sh:52</x:v>
      </x:c>
      <x:c r="I405" s="11" t="str">
        <x:v>https://github.com/juicedata/juicefs/blob/30190ca1094d26e85f19a979ca51b0ea19af1eaa/.github/scripts/sync/sync_minio.sh#L52</x:v>
      </x:c>
      <x:c r="J405" s="11" t="str">
        <x:v>未提升为 Windows 执行项</x:v>
      </x:c>
      <x:c r="K405" s="11" t="str">
        <x:v>见源文件及 CI 条件</x:v>
      </x:c>
      <x:c r="L405" s="11" t="str">
        <x:v>级别为源码目录初分，未执行项目不能计作通过</x:v>
      </x:c>
    </x:row>
    <x:row r="406" ht="42" customHeight="1">
      <x:c r="A406" s="10" t="str">
        <x:v>UP-ecb2cf365c66</x:v>
      </x:c>
      <x:c r="B406" s="10" t="str">
        <x:v>L2</x:v>
      </x:c>
      <x:c r="C406" s="10" t="str">
        <x:v>网关与后端重试</x:v>
      </x:c>
      <x:c r="D406" s="10" t="str">
        <x:v>test_sync_hard_link</x:v>
      </x:c>
      <x:c r="E406" s="10" t="str">
        <x:v>Shell 测试函数</x:v>
      </x:c>
      <x:c r="F406" s="10" t="str">
        <x:v>待执行</x:v>
      </x:c>
      <x:c r="G406" s="10" t="str">
        <x:v>其他平台／集成；根据 workflow 条件选择</x:v>
      </x:c>
      <x:c r="H406" s="10" t="str">
        <x:v>.github/scripts/sync/sync_minio.sh:72</x:v>
      </x:c>
      <x:c r="I406" s="10" t="str">
        <x:v>https://github.com/juicedata/juicefs/blob/30190ca1094d26e85f19a979ca51b0ea19af1eaa/.github/scripts/sync/sync_minio.sh#L72</x:v>
      </x:c>
      <x:c r="J406" s="10" t="str">
        <x:v>未提升为 Windows 执行项</x:v>
      </x:c>
      <x:c r="K406" s="10" t="str">
        <x:v>见源文件及 CI 条件</x:v>
      </x:c>
      <x:c r="L406" s="10" t="str">
        <x:v>级别为源码目录初分，未执行项目不能计作通过</x:v>
      </x:c>
    </x:row>
    <x:row r="407" ht="42" customHeight="1">
      <x:c r="A407" s="11" t="str">
        <x:v>UP-cd7c8ca9afb8</x:v>
      </x:c>
      <x:c r="B407" s="11" t="str">
        <x:v>L2</x:v>
      </x:c>
      <x:c r="C407" s="11" t="str">
        <x:v>网关与后端重试</x:v>
      </x:c>
      <x:c r="D407" s="11" t="str">
        <x:v>test_sync_external_link</x:v>
      </x:c>
      <x:c r="E407" s="11" t="str">
        <x:v>Shell 测试函数</x:v>
      </x:c>
      <x:c r="F407" s="11" t="str">
        <x:v>待执行</x:v>
      </x:c>
      <x:c r="G407" s="11" t="str">
        <x:v>其他平台／集成；根据 workflow 条件选择</x:v>
      </x:c>
      <x:c r="H407" s="11" t="str">
        <x:v>.github/scripts/sync/sync_minio.sh:83</x:v>
      </x:c>
      <x:c r="I407" s="11" t="str">
        <x:v>https://github.com/juicedata/juicefs/blob/30190ca1094d26e85f19a979ca51b0ea19af1eaa/.github/scripts/sync/sync_minio.sh#L83</x:v>
      </x:c>
      <x:c r="J407" s="11" t="str">
        <x:v>未提升为 Windows 执行项</x:v>
      </x:c>
      <x:c r="K407" s="11" t="str">
        <x:v>见源文件及 CI 条件</x:v>
      </x:c>
      <x:c r="L407" s="11" t="str">
        <x:v>级别为源码目录初分，未执行项目不能计作通过</x:v>
      </x:c>
    </x:row>
    <x:row r="408" ht="42" customHeight="1">
      <x:c r="A408" s="10" t="str">
        <x:v>UP-875568ca23f0</x:v>
      </x:c>
      <x:c r="B408" s="10" t="str">
        <x:v>L2</x:v>
      </x:c>
      <x:c r="C408" s="10" t="str">
        <x:v>命名与目录</x:v>
      </x:c>
      <x:c r="D408" s="10" t="str">
        <x:v>test_sync_loop_symlink</x:v>
      </x:c>
      <x:c r="E408" s="10" t="str">
        <x:v>Shell 测试函数</x:v>
      </x:c>
      <x:c r="F408" s="10" t="str">
        <x:v>待执行</x:v>
      </x:c>
      <x:c r="G408" s="10" t="str">
        <x:v>其他平台／集成；根据 workflow 条件选择</x:v>
      </x:c>
      <x:c r="H408" s="10" t="str">
        <x:v>.github/scripts/sync/sync_minio.sh:92</x:v>
      </x:c>
      <x:c r="I408" s="10" t="str">
        <x:v>https://github.com/juicedata/juicefs/blob/30190ca1094d26e85f19a979ca51b0ea19af1eaa/.github/scripts/sync/sync_minio.sh#L92</x:v>
      </x:c>
      <x:c r="J408" s="10" t="str">
        <x:v>未提升为 Windows 执行项</x:v>
      </x:c>
      <x:c r="K408" s="10" t="str">
        <x:v>见源文件及 CI 条件</x:v>
      </x:c>
      <x:c r="L408" s="10" t="str">
        <x:v>级别为源码目录初分，未执行项目不能计作通过</x:v>
      </x:c>
    </x:row>
    <x:row r="409" ht="42" customHeight="1">
      <x:c r="A409" s="11" t="str">
        <x:v>UP-37c890e558ee</x:v>
      </x:c>
      <x:c r="B409" s="11" t="str">
        <x:v>L2</x:v>
      </x:c>
      <x:c r="C409" s="11" t="str">
        <x:v>命名与目录</x:v>
      </x:c>
      <x:c r="D409" s="11" t="str">
        <x:v>test_sync_deep_symlink</x:v>
      </x:c>
      <x:c r="E409" s="11" t="str">
        <x:v>Shell 测试函数</x:v>
      </x:c>
      <x:c r="F409" s="11" t="str">
        <x:v>待执行</x:v>
      </x:c>
      <x:c r="G409" s="11" t="str">
        <x:v>其他平台／集成；根据 workflow 条件选择</x:v>
      </x:c>
      <x:c r="H409" s="11" t="str">
        <x:v>.github/scripts/sync/sync_minio.sh:101</x:v>
      </x:c>
      <x:c r="I409" s="11" t="str">
        <x:v>https://github.com/juicedata/juicefs/blob/30190ca1094d26e85f19a979ca51b0ea19af1eaa/.github/scripts/sync/sync_minio.sh#L101</x:v>
      </x:c>
      <x:c r="J409" s="11" t="str">
        <x:v>未提升为 Windows 执行项</x:v>
      </x:c>
      <x:c r="K409" s="11" t="str">
        <x:v>见源文件及 CI 条件</x:v>
      </x:c>
      <x:c r="L409" s="11" t="str">
        <x:v>级别为源码目录初分，未执行项目不能计作通过</x:v>
      </x:c>
    </x:row>
    <x:row r="410" ht="42" customHeight="1">
      <x:c r="A410" s="10" t="str">
        <x:v>UP-f9e05f48f15b</x:v>
      </x:c>
      <x:c r="B410" s="10" t="str">
        <x:v>L2</x:v>
      </x:c>
      <x:c r="C410" s="10" t="str">
        <x:v>命名与目录</x:v>
      </x:c>
      <x:c r="D410" s="10" t="str">
        <x:v>test_sync_list_object_symlink</x:v>
      </x:c>
      <x:c r="E410" s="10" t="str">
        <x:v>Shell 测试函数</x:v>
      </x:c>
      <x:c r="F410" s="10" t="str">
        <x:v>待执行</x:v>
      </x:c>
      <x:c r="G410" s="10" t="str">
        <x:v>其他平台／集成；根据 workflow 条件选择</x:v>
      </x:c>
      <x:c r="H410" s="10" t="str">
        <x:v>.github/scripts/sync/sync_minio.sh:118</x:v>
      </x:c>
      <x:c r="I410" s="10" t="str">
        <x:v>https://github.com/juicedata/juicefs/blob/30190ca1094d26e85f19a979ca51b0ea19af1eaa/.github/scripts/sync/sync_minio.sh#L118</x:v>
      </x:c>
      <x:c r="J410" s="10" t="str">
        <x:v>未提升为 Windows 执行项</x:v>
      </x:c>
      <x:c r="K410" s="10" t="str">
        <x:v>见源文件及 CI 条件</x:v>
      </x:c>
      <x:c r="L410" s="10" t="str">
        <x:v>级别为源码目录初分，未执行项目不能计作通过</x:v>
      </x:c>
    </x:row>
    <x:row r="411" ht="42" customHeight="1">
      <x:c r="A411" s="11" t="str">
        <x:v>UP-5d7fa5244ffc</x:v>
      </x:c>
      <x:c r="B411" s="11" t="str">
        <x:v>L2</x:v>
      </x:c>
      <x:c r="C411" s="11" t="str">
        <x:v>应用与界面兼容</x:v>
      </x:c>
      <x:c r="D411" s="11" t="str">
        <x:v>test_clone_with_jfs_source</x:v>
      </x:c>
      <x:c r="E411" s="11" t="str">
        <x:v>Shell 测试函数</x:v>
      </x:c>
      <x:c r="F411" s="11" t="str">
        <x:v>待执行</x:v>
      </x:c>
      <x:c r="G411" s="11" t="str">
        <x:v>其他平台／集成；根据 workflow 条件选择</x:v>
      </x:c>
      <x:c r="H411" s="11" t="str">
        <x:v>.github/scripts/test-mac/mac_commands.sh:46</x:v>
      </x:c>
      <x:c r="I411" s="11" t="str">
        <x:v>https://github.com/juicedata/juicefs/blob/30190ca1094d26e85f19a979ca51b0ea19af1eaa/.github/scripts/test-mac/mac_commands.sh#L46</x:v>
      </x:c>
      <x:c r="J411" s="11" t="str">
        <x:v>未提升为 Windows 执行项</x:v>
      </x:c>
      <x:c r="K411" s="11" t="str">
        <x:v>见源文件及 CI 条件</x:v>
      </x:c>
      <x:c r="L411" s="11" t="str">
        <x:v>级别为源码目录初分，未执行项目不能计作通过</x:v>
      </x:c>
    </x:row>
    <x:row r="412" ht="42" customHeight="1">
      <x:c r="A412" s="10" t="str">
        <x:v>UP-dd375570275f</x:v>
      </x:c>
      <x:c r="B412" s="10" t="str">
        <x:v>L2</x:v>
      </x:c>
      <x:c r="C412" s="10" t="str">
        <x:v>应用与界面兼容</x:v>
      </x:c>
      <x:c r="D412" s="10" t="str">
        <x:v>test_debug_juicefs</x:v>
      </x:c>
      <x:c r="E412" s="10" t="str">
        <x:v>Shell 测试函数</x:v>
      </x:c>
      <x:c r="F412" s="10" t="str">
        <x:v>待执行</x:v>
      </x:c>
      <x:c r="G412" s="10" t="str">
        <x:v>其他平台／集成；根据 workflow 条件选择</x:v>
      </x:c>
      <x:c r="H412" s="10" t="str">
        <x:v>.github/scripts/test-mac/mac_commands.sh:92</x:v>
      </x:c>
      <x:c r="I412" s="10" t="str">
        <x:v>https://github.com/juicedata/juicefs/blob/30190ca1094d26e85f19a979ca51b0ea19af1eaa/.github/scripts/test-mac/mac_commands.sh#L92</x:v>
      </x:c>
      <x:c r="J412" s="10" t="str">
        <x:v>未提升为 Windows 执行项</x:v>
      </x:c>
      <x:c r="K412" s="10" t="str">
        <x:v>见源文件及 CI 条件</x:v>
      </x:c>
      <x:c r="L412" s="10" t="str">
        <x:v>级别为源码目录初分，未执行项目不能计作通过</x:v>
      </x:c>
    </x:row>
    <x:row r="413" ht="42" customHeight="1">
      <x:c r="A413" s="11" t="str">
        <x:v>UP-2c50ef333411</x:v>
      </x:c>
      <x:c r="B413" s="11" t="str">
        <x:v>L2</x:v>
      </x:c>
      <x:c r="C413" s="11" t="str">
        <x:v>网关与后端重试</x:v>
      </x:c>
      <x:c r="D413" s="11" t="str">
        <x:v>test_sync_dir_stat</x:v>
      </x:c>
      <x:c r="E413" s="11" t="str">
        <x:v>Shell 测试函数</x:v>
      </x:c>
      <x:c r="F413" s="11" t="str">
        <x:v>待执行</x:v>
      </x:c>
      <x:c r="G413" s="11" t="str">
        <x:v>其他平台／集成；根据 workflow 条件选择</x:v>
      </x:c>
      <x:c r="H413" s="11" t="str">
        <x:v>.github/scripts/test-mac/mac_commands.sh:101</x:v>
      </x:c>
      <x:c r="I413" s="11" t="str">
        <x:v>https://github.com/juicedata/juicefs/blob/30190ca1094d26e85f19a979ca51b0ea19af1eaa/.github/scripts/test-mac/mac_commands.sh#L101</x:v>
      </x:c>
      <x:c r="J413" s="11" t="str">
        <x:v>未提升为 Windows 执行项</x:v>
      </x:c>
      <x:c r="K413" s="11" t="str">
        <x:v>见源文件及 CI 条件</x:v>
      </x:c>
      <x:c r="L413" s="11" t="str">
        <x:v>级别为源码目录初分，未执行项目不能计作通过</x:v>
      </x:c>
    </x:row>
    <x:row r="414" ht="42" customHeight="1">
      <x:c r="A414" s="10" t="str">
        <x:v>UP-86c8d4b9a924</x:v>
      </x:c>
      <x:c r="B414" s="10" t="str">
        <x:v>L2</x:v>
      </x:c>
      <x:c r="C414" s="10" t="str">
        <x:v>应用与界面兼容</x:v>
      </x:c>
      <x:c r="D414" s="10" t="str">
        <x:v>test_gc_trash_slices</x:v>
      </x:c>
      <x:c r="E414" s="10" t="str">
        <x:v>Shell 测试函数</x:v>
      </x:c>
      <x:c r="F414" s="10" t="str">
        <x:v>待执行</x:v>
      </x:c>
      <x:c r="G414" s="10" t="str">
        <x:v>其他平台／集成；根据 workflow 条件选择</x:v>
      </x:c>
      <x:c r="H414" s="10" t="str">
        <x:v>.github/scripts/test-mac/mac_commands.sh:124</x:v>
      </x:c>
      <x:c r="I414" s="10" t="str">
        <x:v>https://github.com/juicedata/juicefs/blob/30190ca1094d26e85f19a979ca51b0ea19af1eaa/.github/scripts/test-mac/mac_commands.sh#L124</x:v>
      </x:c>
      <x:c r="J414" s="10" t="str">
        <x:v>未提升为 Windows 执行项</x:v>
      </x:c>
      <x:c r="K414" s="10" t="str">
        <x:v>见源文件及 CI 条件</x:v>
      </x:c>
      <x:c r="L414" s="10" t="str">
        <x:v>级别为源码目录初分，未执行项目不能计作通过</x:v>
      </x:c>
    </x:row>
    <x:row r="415" ht="42" customHeight="1">
      <x:c r="A415" s="11" t="str">
        <x:v>UP-66fb85b798ef</x:v>
      </x:c>
      <x:c r="B415" s="11" t="str">
        <x:v>L2</x:v>
      </x:c>
      <x:c r="C415" s="11" t="str">
        <x:v>应用与界面兼容</x:v>
      </x:c>
      <x:c r="D415" s="11" t="str">
        <x:v>test_update_non_fuse_option</x:v>
      </x:c>
      <x:c r="E415" s="11" t="str">
        <x:v>Shell 测试函数</x:v>
      </x:c>
      <x:c r="F415" s="11" t="str">
        <x:v>待执行</x:v>
      </x:c>
      <x:c r="G415" s="11" t="str">
        <x:v>其他平台／集成；根据 workflow 条件选择</x:v>
      </x:c>
      <x:c r="H415" s="11" t="str">
        <x:v>.github/scripts/test-mac/mac_commands.sh:136</x:v>
      </x:c>
      <x:c r="I415" s="11" t="str">
        <x:v>https://github.com/juicedata/juicefs/blob/30190ca1094d26e85f19a979ca51b0ea19af1eaa/.github/scripts/test-mac/mac_commands.sh#L136</x:v>
      </x:c>
      <x:c r="J415" s="11" t="str">
        <x:v>未提升为 Windows 执行项</x:v>
      </x:c>
      <x:c r="K415" s="11" t="str">
        <x:v>见源文件及 CI 条件</x:v>
      </x:c>
      <x:c r="L415" s="11" t="str">
        <x:v>级别为源码目录初分，未执行项目不能计作通过</x:v>
      </x:c>
    </x:row>
    <x:row r="416" ht="42" customHeight="1">
      <x:c r="A416" s="10" t="str">
        <x:v>UP-d62f8070e761</x:v>
      </x:c>
      <x:c r="B416" s="10" t="str">
        <x:v>L2</x:v>
      </x:c>
      <x:c r="C416" s="10" t="str">
        <x:v>应用与界面兼容</x:v>
      </x:c>
      <x:c r="D416" s="10" t="str">
        <x:v>test_info_big_file</x:v>
      </x:c>
      <x:c r="E416" s="10" t="str">
        <x:v>Shell 测试函数</x:v>
      </x:c>
      <x:c r="F416" s="10" t="str">
        <x:v>待执行</x:v>
      </x:c>
      <x:c r="G416" s="10" t="str">
        <x:v>其他平台／集成；根据 workflow 条件选择</x:v>
      </x:c>
      <x:c r="H416" s="10" t="str">
        <x:v>.github/scripts/test-mac/mac_commands.sh:155</x:v>
      </x:c>
      <x:c r="I416" s="10" t="str">
        <x:v>https://github.com/juicedata/juicefs/blob/30190ca1094d26e85f19a979ca51b0ea19af1eaa/.github/scripts/test-mac/mac_commands.sh#L155</x:v>
      </x:c>
      <x:c r="J416" s="10" t="str">
        <x:v>未提升为 Windows 执行项</x:v>
      </x:c>
      <x:c r="K416" s="10" t="str">
        <x:v>见源文件及 CI 条件</x:v>
      </x:c>
      <x:c r="L416" s="10" t="str">
        <x:v>级别为源码目录初分，未执行项目不能计作通过</x:v>
      </x:c>
    </x:row>
    <x:row r="417" ht="42" customHeight="1">
      <x:c r="A417" s="11" t="str">
        <x:v>UP-82435027c989</x:v>
      </x:c>
      <x:c r="B417" s="11" t="str">
        <x:v>L2</x:v>
      </x:c>
      <x:c r="C417" s="11" t="str">
        <x:v>应用与界面兼容</x:v>
      </x:c>
      <x:c r="D417" s="11" t="str">
        <x:v>test_list_large_dir</x:v>
      </x:c>
      <x:c r="E417" s="11" t="str">
        <x:v>Shell 测试函数</x:v>
      </x:c>
      <x:c r="F417" s="11" t="str">
        <x:v>待执行</x:v>
      </x:c>
      <x:c r="G417" s="11" t="str">
        <x:v>其他平台／集成；根据 workflow 条件选择</x:v>
      </x:c>
      <x:c r="H417" s="11" t="str">
        <x:v>.github/scripts/test-mac/mac_commands.sh:165</x:v>
      </x:c>
      <x:c r="I417" s="11" t="str">
        <x:v>https://github.com/juicedata/juicefs/blob/30190ca1094d26e85f19a979ca51b0ea19af1eaa/.github/scripts/test-mac/mac_commands.sh#L165</x:v>
      </x:c>
      <x:c r="J417" s="11" t="str">
        <x:v>未提升为 Windows 执行项</x:v>
      </x:c>
      <x:c r="K417" s="11" t="str">
        <x:v>见源文件及 CI 条件</x:v>
      </x:c>
      <x:c r="L417" s="11" t="str">
        <x:v>级别为源码目录初分，未执行项目不能计作通过</x:v>
      </x:c>
    </x:row>
    <x:row r="418" ht="42" customHeight="1">
      <x:c r="A418" s="10" t="str">
        <x:v>UP-d797bf70163a</x:v>
      </x:c>
      <x:c r="B418" s="10" t="str">
        <x:v>L2</x:v>
      </x:c>
      <x:c r="C418" s="10" t="str">
        <x:v>应用与界面兼容</x:v>
      </x:c>
      <x:c r="D418" s="10" t="str">
        <x:v>test_total_inodes</x:v>
      </x:c>
      <x:c r="E418" s="10" t="str">
        <x:v>Shell 测试函数</x:v>
      </x:c>
      <x:c r="F418" s="10" t="str">
        <x:v>待执行</x:v>
      </x:c>
      <x:c r="G418" s="10" t="str">
        <x:v>其他平台／集成；根据 workflow 条件选择</x:v>
      </x:c>
      <x:c r="H418" s="10" t="str">
        <x:v>.github/scripts/test-mac/mac_commands.sh:185</x:v>
      </x:c>
      <x:c r="I418" s="10" t="str">
        <x:v>https://github.com/juicedata/juicefs/blob/30190ca1094d26e85f19a979ca51b0ea19af1eaa/.github/scripts/test-mac/mac_commands.sh#L185</x:v>
      </x:c>
      <x:c r="J418" s="10" t="str">
        <x:v>未提升为 Windows 执行项</x:v>
      </x:c>
      <x:c r="K418" s="10" t="str">
        <x:v>见源文件及 CI 条件</x:v>
      </x:c>
      <x:c r="L418" s="10" t="str">
        <x:v>级别为源码目录初分，未执行项目不能计作通过</x:v>
      </x:c>
    </x:row>
    <x:row r="419" ht="42" customHeight="1">
      <x:c r="A419" s="11" t="str">
        <x:v>UP-4e1a42d41d0a</x:v>
      </x:c>
      <x:c r="B419" s="11" t="str">
        <x:v>L2</x:v>
      </x:c>
      <x:c r="C419" s="11" t="str">
        <x:v>命名与目录</x:v>
      </x:c>
      <x:c r="D419" s="11" t="str">
        <x:v>test_remove_and_restore</x:v>
      </x:c>
      <x:c r="E419" s="11" t="str">
        <x:v>Shell 测试函数</x:v>
      </x:c>
      <x:c r="F419" s="11" t="str">
        <x:v>待执行</x:v>
      </x:c>
      <x:c r="G419" s="11" t="str">
        <x:v>其他平台／集成；根据 workflow 条件选择</x:v>
      </x:c>
      <x:c r="H419" s="11" t="str">
        <x:v>.github/scripts/test-mac/mac_commands.sh:208</x:v>
      </x:c>
      <x:c r="I419" s="11" t="str">
        <x:v>https://github.com/juicedata/juicefs/blob/30190ca1094d26e85f19a979ca51b0ea19af1eaa/.github/scripts/test-mac/mac_commands.sh#L208</x:v>
      </x:c>
      <x:c r="J419" s="11" t="str">
        <x:v>未提升为 Windows 执行项</x:v>
      </x:c>
      <x:c r="K419" s="11" t="str">
        <x:v>见源文件及 CI 条件</x:v>
      </x:c>
      <x:c r="L419" s="11" t="str">
        <x:v>级别为源码目录初分，未执行项目不能计作通过</x:v>
      </x:c>
    </x:row>
    <x:row r="420" ht="42" customHeight="1">
      <x:c r="A420" s="10" t="str">
        <x:v>UP-dc751fd01ff6</x:v>
      </x:c>
      <x:c r="B420" s="10" t="str">
        <x:v>L1</x:v>
      </x:c>
      <x:c r="C420" s="10" t="str">
        <x:v>崩溃与资源耗尽</x:v>
      </x:c>
      <x:c r="D420" s="10" t="str">
        <x:v>test_dir_capacity</x:v>
      </x:c>
      <x:c r="E420" s="10" t="str">
        <x:v>Shell 测试函数</x:v>
      </x:c>
      <x:c r="F420" s="10" t="str">
        <x:v>待执行</x:v>
      </x:c>
      <x:c r="G420" s="10" t="str">
        <x:v>其他平台／集成；根据 workflow 条件选择</x:v>
      </x:c>
      <x:c r="H420" s="10" t="str">
        <x:v>.github/scripts/test-mac/mac_commands.sh:245</x:v>
      </x:c>
      <x:c r="I420" s="10" t="str">
        <x:v>https://github.com/juicedata/juicefs/blob/30190ca1094d26e85f19a979ca51b0ea19af1eaa/.github/scripts/test-mac/mac_commands.sh#L245</x:v>
      </x:c>
      <x:c r="J420" s="10" t="str">
        <x:v>未提升为 Windows 执行项</x:v>
      </x:c>
      <x:c r="K420" s="10" t="str">
        <x:v>见源文件及 CI 条件</x:v>
      </x:c>
      <x:c r="L420" s="10" t="str">
        <x:v>级别为源码目录初分，未执行项目不能计作通过</x:v>
      </x:c>
    </x:row>
    <x:row r="421" ht="42" customHeight="1">
      <x:c r="A421" s="11" t="str">
        <x:v>UP-6d5d580cc12a</x:v>
      </x:c>
      <x:c r="B421" s="11" t="str">
        <x:v>L2</x:v>
      </x:c>
      <x:c r="C421" s="11" t="str">
        <x:v>应用与界面兼容</x:v>
      </x:c>
      <x:c r="D421" s="11" t="str">
        <x:v>test_user_management</x:v>
      </x:c>
      <x:c r="E421" s="11" t="str">
        <x:v>Shell 测试函数</x:v>
      </x:c>
      <x:c r="F421" s="11" t="str">
        <x:v>待执行</x:v>
      </x:c>
      <x:c r="G421" s="11" t="str">
        <x:v>其他平台／集成；根据 workflow 条件选择</x:v>
      </x:c>
      <x:c r="H421" s="11" t="str">
        <x:v>.github/scripts/test-mac/mac_commands.sh:300</x:v>
      </x:c>
      <x:c r="I421" s="11" t="str">
        <x:v>https://github.com/juicedata/juicefs/blob/30190ca1094d26e85f19a979ca51b0ea19af1eaa/.github/scripts/test-mac/mac_commands.sh#L300</x:v>
      </x:c>
      <x:c r="J421" s="11" t="str">
        <x:v>未提升为 Windows 执行项</x:v>
      </x:c>
      <x:c r="K421" s="11" t="str">
        <x:v>见源文件及 CI 条件</x:v>
      </x:c>
      <x:c r="L421" s="11" t="str">
        <x:v>级别为源码目录初分，未执行项目不能计作通过</x:v>
      </x:c>
    </x:row>
    <x:row r="422" ht="42" customHeight="1">
      <x:c r="A422" s="10" t="str">
        <x:v>UP-e15ca1fbf132</x:v>
      </x:c>
      <x:c r="B422" s="10" t="str">
        <x:v>L2</x:v>
      </x:c>
      <x:c r="C422" s="10" t="str">
        <x:v>应用与界面兼容</x:v>
      </x:c>
      <x:c r="D422" s="10" t="str">
        <x:v>test_group_management</x:v>
      </x:c>
      <x:c r="E422" s="10" t="str">
        <x:v>Shell 测试函数</x:v>
      </x:c>
      <x:c r="F422" s="10" t="str">
        <x:v>待执行</x:v>
      </x:c>
      <x:c r="G422" s="10" t="str">
        <x:v>其他平台／集成；根据 workflow 条件选择</x:v>
      </x:c>
      <x:c r="H422" s="10" t="str">
        <x:v>.github/scripts/test-mac/mac_commands.sh:341</x:v>
      </x:c>
      <x:c r="I422" s="10" t="str">
        <x:v>https://github.com/juicedata/juicefs/blob/30190ca1094d26e85f19a979ca51b0ea19af1eaa/.github/scripts/test-mac/mac_commands.sh#L341</x:v>
      </x:c>
      <x:c r="J422" s="10" t="str">
        <x:v>未提升为 Windows 执行项</x:v>
      </x:c>
      <x:c r="K422" s="10" t="str">
        <x:v>见源文件及 CI 条件</x:v>
      </x:c>
      <x:c r="L422" s="10" t="str">
        <x:v>级别为源码目录初分，未执行项目不能计作通过</x:v>
      </x:c>
    </x:row>
    <x:row r="423" ht="42" customHeight="1">
      <x:c r="A423" s="11" t="str">
        <x:v>UP-6a384b74bb91</x:v>
      </x:c>
      <x:c r="B423" s="11" t="str">
        <x:v>L1</x:v>
      </x:c>
      <x:c r="C423" s="11" t="str">
        <x:v>挂载与元数据生命周期</x:v>
      </x:c>
      <x:c r="D423" s="11" t="str">
        <x:v>文件入口</x:v>
      </x:c>
      <x:c r="E423" s="11" t="str">
        <x:v>配置或辅助文件</x:v>
      </x:c>
      <x:c r="F423" s="11" t="str">
        <x:v>辅助文件</x:v>
      </x:c>
      <x:c r="G423" s="11" t="str">
        <x:v>其他平台／集成；根据 workflow 条件选择</x:v>
      </x:c>
      <x:c r="H423" s="11" t="str">
        <x:v>.github/scripts/test-mac/start_meta_engine.sh:1</x:v>
      </x:c>
      <x:c r="I423" s="11" t="str">
        <x:v>https://github.com/juicedata/juicefs/blob/30190ca1094d26e85f19a979ca51b0ea19af1eaa/.github/scripts/test-mac/start_meta_engine.sh#L1</x:v>
      </x:c>
      <x:c r="J423" s="11" t="str">
        <x:v>未提升为 Windows 执行项</x:v>
      </x:c>
      <x:c r="K423" s="11" t="str">
        <x:v>见源文件及 CI 条件</x:v>
      </x:c>
      <x:c r="L423" s="11" t="str">
        <x:v>无可静态枚举的命名测试函数；保留文件范围，不推定已执行；级别为源码目录初分，未执行项目不能计作通过</x:v>
      </x:c>
    </x:row>
    <x:row r="424" ht="138" customHeight="1">
      <x:c r="A424" s="10" t="str">
        <x:v>UP-f2ba6cdd5947</x:v>
      </x:c>
      <x:c r="B424" s="10" t="str">
        <x:v>L3</x:v>
      </x:c>
      <x:c r="C424" s="10" t="str">
        <x:v>应用与界面兼容</x:v>
      </x:c>
      <x:c r="D424" s="10" t="str">
        <x:v>JuicefsMachine.format</x:v>
      </x:c>
      <x:c r="E424" s="10" t="str">
        <x:v>Python 状态机规则</x:v>
      </x:c>
      <x:c r="F424" s="10" t="str">
        <x:v>待执行</x:v>
      </x:c>
      <x:c r="G424" s="10" t="str">
        <x:v>其他平台／集成；根据 workflow 条件选择</x:v>
      </x:c>
      <x:c r="H424" s="10" t="str">
        <x:v>.github/scripts/testVersionCompatible.py:92</x:v>
      </x:c>
      <x:c r="I424" s="10" t="str">
        <x:v>https://github.com/juicedata/juicefs/blob/30190ca1094d26e85f19a979ca51b0ea19af1eaa/.github/scripts/testVersionCompatible.py#L92</x:v>
      </x:c>
      <x:c r="J424" s="10" t="str">
        <x:v>未提升为 Windows 执行项</x:v>
      </x:c>
      <x:c r="K424" s="10" t="str">
        <x:v>rule(juicefs=st.sampled_from(JFS_BINS), block_size=st.integers(min_value=1, max_value=4096 * 10), capacity=st.integers(min_value=0, max_value=1024), inodes=st.integers(min_value=1024 * 1024, max_value=1024 * 1024 * 1024), compress=st.sampled_from(['lz4', 'zstd', 'none']), shards=st.integers(min_value=0, max_value=1), storage=st.just(STORAGE), encrypt_rsa_key=st.booleans(), encrypt_algo=st.sampled_from(['aes256gcm-rsa', 'chacha20-rsa']), trash_days=st.integers(min_value=0, max_value=10000), hash_prefix=st.booleans(), force=st.booleans(), no_update=st.booleans())</x:v>
      </x:c>
      <x:c r="L424" s="10" t="str">
        <x:v>状态机运行序列按运行参数生成，未在此展开；级别为源码目录初分，未执行项目不能计作通过</x:v>
      </x:c>
    </x:row>
    <x:row r="425" ht="106" customHeight="1">
      <x:c r="A425" s="11" t="str">
        <x:v>UP-06679771d3fd</x:v>
      </x:c>
      <x:c r="B425" s="11" t="str">
        <x:v>L3</x:v>
      </x:c>
      <x:c r="C425" s="11" t="str">
        <x:v>应用与界面兼容</x:v>
      </x:c>
      <x:c r="D425" s="11" t="str">
        <x:v>JuicefsMachine.config</x:v>
      </x:c>
      <x:c r="E425" s="11" t="str">
        <x:v>Python 状态机规则</x:v>
      </x:c>
      <x:c r="F425" s="11" t="str">
        <x:v>待执行</x:v>
      </x:c>
      <x:c r="G425" s="11" t="str">
        <x:v>其他平台／集成；根据 workflow 条件选择</x:v>
      </x:c>
      <x:c r="H425" s="11" t="str">
        <x:v>.github/scripts/testVersionCompatible.py:171</x:v>
      </x:c>
      <x:c r="I425" s="11" t="str">
        <x:v>https://github.com/juicedata/juicefs/blob/30190ca1094d26e85f19a979ca51b0ea19af1eaa/.github/scripts/testVersionCompatible.py#L171</x:v>
      </x:c>
      <x:c r="J425" s="11" t="str">
        <x:v>未提升为 Windows 执行项</x:v>
      </x:c>
      <x:c r="K425" s="11" t="str">
        <x:v>rule(juicefs=st.sampled_from(JFS_BINS), capacity=st.integers(min_value=0, max_value=1024), inodes=st.integers(min_value=1024 * 1024, max_value=1024 * 1024 * 1024), change_bucket=st.booleans(), change_aksk=st.booleans(), encrypt_secret=st.booleans(), trash_days=st.integers(min_value=0, max_value=10000), min_client_version=st.sampled_from(MIN_CLIENT_VERSIONS), max_client_version=st.sampled_from(MAX_CLIENT_VERSIONS), force=st.booleans()); precondition(lambda self: self.formatted)</x:v>
      </x:c>
      <x:c r="L425" s="11" t="str">
        <x:v>状态机运行序列按运行参数生成，未在此展开；级别为源码目录初分，未执行项目不能计作通过</x:v>
      </x:c>
    </x:row>
    <x:row r="426" ht="42" customHeight="1">
      <x:c r="A426" s="10" t="str">
        <x:v>UP-a5cb133fef1f</x:v>
      </x:c>
      <x:c r="B426" s="10" t="str">
        <x:v>L3</x:v>
      </x:c>
      <x:c r="C426" s="10" t="str">
        <x:v>应用与界面兼容</x:v>
      </x:c>
      <x:c r="D426" s="10" t="str">
        <x:v>JuicefsMachine.status</x:v>
      </x:c>
      <x:c r="E426" s="10" t="str">
        <x:v>Python 状态机规则</x:v>
      </x:c>
      <x:c r="F426" s="10" t="str">
        <x:v>待执行</x:v>
      </x:c>
      <x:c r="G426" s="10" t="str">
        <x:v>其他平台／集成；根据 workflow 条件选择</x:v>
      </x:c>
      <x:c r="H426" s="10" t="str">
        <x:v>.github/scripts/testVersionCompatible.py:233</x:v>
      </x:c>
      <x:c r="I426" s="10" t="str">
        <x:v>https://github.com/juicedata/juicefs/blob/30190ca1094d26e85f19a979ca51b0ea19af1eaa/.github/scripts/testVersionCompatible.py#L233</x:v>
      </x:c>
      <x:c r="J426" s="10" t="str">
        <x:v>未提升为 Windows 执行项</x:v>
      </x:c>
      <x:c r="K426" s="10" t="str">
        <x:v>rule(juicefs=st.sampled_from(JFS_BINS)); precondition(lambda self: self.formatted)</x:v>
      </x:c>
      <x:c r="L426" s="10" t="str">
        <x:v>状态机运行序列按运行参数生成，未在此展开；级别为源码目录初分，未执行项目不能计作通过</x:v>
      </x:c>
    </x:row>
    <x:row r="427" ht="314" customHeight="1">
      <x:c r="A427" s="11" t="str">
        <x:v>UP-99b8788680b1</x:v>
      </x:c>
      <x:c r="B427" s="11" t="str">
        <x:v>L3</x:v>
      </x:c>
      <x:c r="C427" s="11" t="str">
        <x:v>应用与界面兼容</x:v>
      </x:c>
      <x:c r="D427" s="11" t="str">
        <x:v>JuicefsMachine.mount</x:v>
      </x:c>
      <x:c r="E427" s="11" t="str">
        <x:v>Python 状态机规则</x:v>
      </x:c>
      <x:c r="F427" s="11" t="str">
        <x:v>待执行</x:v>
      </x:c>
      <x:c r="G427" s="11" t="str">
        <x:v>其他平台／集成；根据 workflow 条件选择</x:v>
      </x:c>
      <x:c r="H427" s="11" t="str">
        <x:v>.github/scripts/testVersionCompatible.py:284</x:v>
      </x:c>
      <x:c r="I427" s="11" t="str">
        <x:v>https://github.com/juicedata/juicefs/blob/30190ca1094d26e85f19a979ca51b0ea19af1eaa/.github/scripts/testVersionCompatible.py#L284</x:v>
      </x:c>
      <x:c r="J427" s="11" t="str">
        <x:v>未提升为 Windows 执行项</x:v>
      </x:c>
      <x:c r="K427" s="11" t="str">
        <x:v>rule(juicefs=st.sampled_from(JFS_BINS), no_syslog=st.booleans(), other_fuse_options=st.lists(st.sampled_from(['debug', 'allow_other', 'writeback_cache']), unique=True), enable_xattr=st.booleans(), attr_cache=st.integers(min_value=1, max_value=10), entry_cache=st.integers(min_value=1, max_value=10), dir_entry_cache=st.integers(min_value=1, max_value=10), get_timeout=st.integers(min_value=30, max_value=60), put_timeout=st.integers(min_value=30, max_value=60), io_retries=st.integers(min_value=5, max_value=15), max_uploads=st.integers(min_value=5, max_value=100), max_deletes=st.integers(min_value=5, max_value=100), buffer_size=st.integers(min_value=100, max_value=1000), upload_limit=st.integers(min_value=100, max_value=1000), download_limit=st.integers(min_value=100, max_value=1000), prefetch=st.integers(min_value=0, max_value=100), writeback=st.just(False), upload_delay=st.sampled_from([0, 2]), cache_dir=st.sampled_from(['cache1', 'cache2']), cache_size=st.integers(min_value=0, max_value=1024000), free_space_ratio=st.floats(min_value=0.1, max_value=0.5), cache_partial_only=st.booleans(), backup_meta=st.integers(min_value=300, max_value=1000), heartbeat=st.integers(min_value=5, max_value=12), read_only=st.booleans(), no_bgjob=st.booleans(), open_cache=st.integers(min_value=0, max_value=100), sub_dir=st.sampled_from(['dir1', 'dir2']), metrics=st.sampled_from(['127.0.0.1:9567', '127.0.0.1:9568']), consul=st.sampled_from(['127.0.0.1:8500', '127.0.0.1:8501'])); precondition(lambda self: self.formatted)</x:v>
      </x:c>
      <x:c r="L427" s="11" t="str">
        <x:v>状态机运行序列按运行参数生成，未在此展开；级别为源码目录初分，未执行项目不能计作通过</x:v>
      </x:c>
    </x:row>
    <x:row r="428" ht="42" customHeight="1">
      <x:c r="A428" s="10" t="str">
        <x:v>UP-426de1a3b1ac</x:v>
      </x:c>
      <x:c r="B428" s="10" t="str">
        <x:v>L3</x:v>
      </x:c>
      <x:c r="C428" s="10" t="str">
        <x:v>应用与界面兼容</x:v>
      </x:c>
      <x:c r="D428" s="10" t="str">
        <x:v>JuicefsMachine.info</x:v>
      </x:c>
      <x:c r="E428" s="10" t="str">
        <x:v>Python 状态机规则</x:v>
      </x:c>
      <x:c r="F428" s="10" t="str">
        <x:v>待执行</x:v>
      </x:c>
      <x:c r="G428" s="10" t="str">
        <x:v>其他平台／集成；根据 workflow 条件选择</x:v>
      </x:c>
      <x:c r="H428" s="10" t="str">
        <x:v>.github/scripts/testVersionCompatible.py:384</x:v>
      </x:c>
      <x:c r="I428" s="10" t="str">
        <x:v>https://github.com/juicedata/juicefs/blob/30190ca1094d26e85f19a979ca51b0ea19af1eaa/.github/scripts/testVersionCompatible.py#L384</x:v>
      </x:c>
      <x:c r="J428" s="10" t="str">
        <x:v>未提升为 Windows 执行项</x:v>
      </x:c>
      <x:c r="K428" s="10" t="str">
        <x:v>rule(juicefs=st.sampled_from(JFS_BINS), file_name=st.just('file_to_info'), data=st.binary()); precondition(lambda self: self.formatted and self.mounted)</x:v>
      </x:c>
      <x:c r="L428" s="10" t="str">
        <x:v>状态机运行序列按运行参数生成，未在此展开；级别为源码目录初分，未执行项目不能计作通过</x:v>
      </x:c>
    </x:row>
    <x:row r="429" ht="42" customHeight="1">
      <x:c r="A429" s="11" t="str">
        <x:v>UP-00796b860168</x:v>
      </x:c>
      <x:c r="B429" s="11" t="str">
        <x:v>L3</x:v>
      </x:c>
      <x:c r="C429" s="11" t="str">
        <x:v>应用与界面兼容</x:v>
      </x:c>
      <x:c r="D429" s="11" t="str">
        <x:v>JuicefsMachine.rmr</x:v>
      </x:c>
      <x:c r="E429" s="11" t="str">
        <x:v>Python 状态机规则</x:v>
      </x:c>
      <x:c r="F429" s="11" t="str">
        <x:v>待执行</x:v>
      </x:c>
      <x:c r="G429" s="11" t="str">
        <x:v>其他平台／集成；根据 workflow 条件选择</x:v>
      </x:c>
      <x:c r="H429" s="11" t="str">
        <x:v>.github/scripts/testVersionCompatible.py:399</x:v>
      </x:c>
      <x:c r="I429" s="11" t="str">
        <x:v>https://github.com/juicedata/juicefs/blob/30190ca1094d26e85f19a979ca51b0ea19af1eaa/.github/scripts/testVersionCompatible.py#L399</x:v>
      </x:c>
      <x:c r="J429" s="11" t="str">
        <x:v>未提升为 Windows 执行项</x:v>
      </x:c>
      <x:c r="K429" s="11" t="str">
        <x:v>rule(juicefs=st.sampled_from(JFS_BINS), file_name=st.just('file_to_rmr')); precondition(lambda self: self.formatted and self.mounted)</x:v>
      </x:c>
      <x:c r="L429" s="11" t="str">
        <x:v>状态机运行序列按运行参数生成，未在此展开；级别为源码目录初分，未执行项目不能计作通过</x:v>
      </x:c>
    </x:row>
    <x:row r="430" ht="42" customHeight="1">
      <x:c r="A430" s="10" t="str">
        <x:v>UP-86c3ce4cc1e1</x:v>
      </x:c>
      <x:c r="B430" s="10" t="str">
        <x:v>L3</x:v>
      </x:c>
      <x:c r="C430" s="10" t="str">
        <x:v>应用与界面兼容</x:v>
      </x:c>
      <x:c r="D430" s="10" t="str">
        <x:v>JuicefsMachine.umount</x:v>
      </x:c>
      <x:c r="E430" s="10" t="str">
        <x:v>Python 状态机规则</x:v>
      </x:c>
      <x:c r="F430" s="10" t="str">
        <x:v>待执行</x:v>
      </x:c>
      <x:c r="G430" s="10" t="str">
        <x:v>其他平台／集成；根据 workflow 条件选择</x:v>
      </x:c>
      <x:c r="H430" s="10" t="str">
        <x:v>.github/scripts/testVersionCompatible.py:425</x:v>
      </x:c>
      <x:c r="I430" s="10" t="str">
        <x:v>https://github.com/juicedata/juicefs/blob/30190ca1094d26e85f19a979ca51b0ea19af1eaa/.github/scripts/testVersionCompatible.py#L425</x:v>
      </x:c>
      <x:c r="J430" s="10" t="str">
        <x:v>未提升为 Windows 执行项</x:v>
      </x:c>
      <x:c r="K430" s="10" t="str">
        <x:v>rule(juicefs=st.sampled_from(JFS_BINS), force=st.booleans()); precondition(lambda self: self.mounted)</x:v>
      </x:c>
      <x:c r="L430" s="10" t="str">
        <x:v>状态机运行序列按运行参数生成，未在此展开；级别为源码目录初分，未执行项目不能计作通过</x:v>
      </x:c>
    </x:row>
    <x:row r="431" ht="42" customHeight="1">
      <x:c r="A431" s="11" t="str">
        <x:v>UP-a567ebc291ba</x:v>
      </x:c>
      <x:c r="B431" s="11" t="str">
        <x:v>L3</x:v>
      </x:c>
      <x:c r="C431" s="11" t="str">
        <x:v>应用与界面兼容</x:v>
      </x:c>
      <x:c r="D431" s="11" t="str">
        <x:v>JuicefsMachine.destroy</x:v>
      </x:c>
      <x:c r="E431" s="11" t="str">
        <x:v>Python 状态机规则</x:v>
      </x:c>
      <x:c r="F431" s="11" t="str">
        <x:v>待执行</x:v>
      </x:c>
      <x:c r="G431" s="11" t="str">
        <x:v>其他平台／集成；根据 workflow 条件选择</x:v>
      </x:c>
      <x:c r="H431" s="11" t="str">
        <x:v>.github/scripts/testVersionCompatible.py:438</x:v>
      </x:c>
      <x:c r="I431" s="11" t="str">
        <x:v>https://github.com/juicedata/juicefs/blob/30190ca1094d26e85f19a979ca51b0ea19af1eaa/.github/scripts/testVersionCompatible.py#L438</x:v>
      </x:c>
      <x:c r="J431" s="11" t="str">
        <x:v>未提升为 Windows 执行项</x:v>
      </x:c>
      <x:c r="K431" s="11" t="str">
        <x:v>rule(juicefs=st.sampled_from(JFS_BINS)); precondition(lambda self: self.formatted and (not self.mounted))</x:v>
      </x:c>
      <x:c r="L431" s="11" t="str">
        <x:v>状态机运行序列按运行参数生成，未在此展开；级别为源码目录初分，未执行项目不能计作通过</x:v>
      </x:c>
    </x:row>
    <x:row r="432" ht="42" customHeight="1">
      <x:c r="A432" s="10" t="str">
        <x:v>UP-7ae044002b95</x:v>
      </x:c>
      <x:c r="B432" s="10" t="str">
        <x:v>L1</x:v>
      </x:c>
      <x:c r="C432" s="10" t="str">
        <x:v>文件读写与完整性</x:v>
      </x:c>
      <x:c r="D432" s="10" t="str">
        <x:v>JuicefsMachine.write_and_read</x:v>
      </x:c>
      <x:c r="E432" s="10" t="str">
        <x:v>Python 状态机规则</x:v>
      </x:c>
      <x:c r="F432" s="10" t="str">
        <x:v>待执行</x:v>
      </x:c>
      <x:c r="G432" s="10" t="str">
        <x:v>其他平台／集成；根据 workflow 条件选择</x:v>
      </x:c>
      <x:c r="H432" s="10" t="str">
        <x:v>.github/scripts/testVersionCompatible.py:462</x:v>
      </x:c>
      <x:c r="I432" s="10" t="str">
        <x:v>https://github.com/juicedata/juicefs/blob/30190ca1094d26e85f19a979ca51b0ea19af1eaa/.github/scripts/testVersionCompatible.py#L462</x:v>
      </x:c>
      <x:c r="J432" s="10" t="str">
        <x:v>未提升为 Windows 执行项</x:v>
      </x:c>
      <x:c r="K432" s="10" t="str">
        <x:v>rule(file_name=st.sampled_from(['myfile1', 'myfile2']), data=st.binary()); precondition(lambda self: self.mounted)</x:v>
      </x:c>
      <x:c r="L432" s="10" t="str">
        <x:v>状态机运行序列按运行参数生成，未在此展开；级别为源码目录初分，未执行项目不能计作通过</x:v>
      </x:c>
    </x:row>
    <x:row r="433" ht="42" customHeight="1">
      <x:c r="A433" s="11" t="str">
        <x:v>UP-617eaf4f236d</x:v>
      </x:c>
      <x:c r="B433" s="11" t="str">
        <x:v>L1</x:v>
      </x:c>
      <x:c r="C433" s="11" t="str">
        <x:v>挂载与元数据生命周期</x:v>
      </x:c>
      <x:c r="D433" s="11" t="str">
        <x:v>JuicefsMachine.dump</x:v>
      </x:c>
      <x:c r="E433" s="11" t="str">
        <x:v>Python 状态机规则</x:v>
      </x:c>
      <x:c r="F433" s="11" t="str">
        <x:v>待执行</x:v>
      </x:c>
      <x:c r="G433" s="11" t="str">
        <x:v>其他平台／集成；根据 workflow 条件选择</x:v>
      </x:c>
      <x:c r="H433" s="11" t="str">
        <x:v>.github/scripts/testVersionCompatible.py:505</x:v>
      </x:c>
      <x:c r="I433" s="11" t="str">
        <x:v>https://github.com/juicedata/juicefs/blob/30190ca1094d26e85f19a979ca51b0ea19af1eaa/.github/scripts/testVersionCompatible.py#L505</x:v>
      </x:c>
      <x:c r="J433" s="11" t="str">
        <x:v>未提升为 Windows 执行项</x:v>
      </x:c>
      <x:c r="K433" s="11" t="str">
        <x:v>rule(juicefs=st.sampled_from(JFS_BINS)); precondition(lambda self: self.formatted)</x:v>
      </x:c>
      <x:c r="L433" s="11" t="str">
        <x:v>状态机运行序列按运行参数生成，未在此展开；级别为源码目录初分，未执行项目不能计作通过</x:v>
      </x:c>
    </x:row>
    <x:row r="434" ht="42" customHeight="1">
      <x:c r="A434" s="10" t="str">
        <x:v>UP-76441732a074</x:v>
      </x:c>
      <x:c r="B434" s="10" t="str">
        <x:v>L3</x:v>
      </x:c>
      <x:c r="C434" s="10" t="str">
        <x:v>应用与界面兼容</x:v>
      </x:c>
      <x:c r="D434" s="10" t="str">
        <x:v>JuicefsMachine.load</x:v>
      </x:c>
      <x:c r="E434" s="10" t="str">
        <x:v>Python 状态机规则</x:v>
      </x:c>
      <x:c r="F434" s="10" t="str">
        <x:v>待执行</x:v>
      </x:c>
      <x:c r="G434" s="10" t="str">
        <x:v>其他平台／集成；根据 workflow 条件选择</x:v>
      </x:c>
      <x:c r="H434" s="10" t="str">
        <x:v>.github/scripts/testVersionCompatible.py:516</x:v>
      </x:c>
      <x:c r="I434" s="10" t="str">
        <x:v>https://github.com/juicedata/juicefs/blob/30190ca1094d26e85f19a979ca51b0ea19af1eaa/.github/scripts/testVersionCompatible.py#L516</x:v>
      </x:c>
      <x:c r="J434" s="10" t="str">
        <x:v>未提升为 Windows 执行项</x:v>
      </x:c>
      <x:c r="K434" s="10" t="str">
        <x:v>rule(juicefs=st.sampled_from(JFS_BINS)); precondition(lambda self: self.formatted and os.path.exists('dump.json'))</x:v>
      </x:c>
      <x:c r="L434" s="10" t="str">
        <x:v>状态机运行序列按运行参数生成，未在此展开；级别为源码目录初分，未执行项目不能计作通过</x:v>
      </x:c>
    </x:row>
    <x:row r="435" ht="42" customHeight="1">
      <x:c r="A435" s="11" t="str">
        <x:v>UP-3c15e4a07a4f</x:v>
      </x:c>
      <x:c r="B435" s="11" t="str">
        <x:v>L1</x:v>
      </x:c>
      <x:c r="C435" s="11" t="str">
        <x:v>挂载与元数据生命周期</x:v>
      </x:c>
      <x:c r="D435" s="11" t="str">
        <x:v>JuicefsMachine.fsck</x:v>
      </x:c>
      <x:c r="E435" s="11" t="str">
        <x:v>Python 状态机规则</x:v>
      </x:c>
      <x:c r="F435" s="11" t="str">
        <x:v>待执行</x:v>
      </x:c>
      <x:c r="G435" s="11" t="str">
        <x:v>其他平台／集成；根据 workflow 条件选择</x:v>
      </x:c>
      <x:c r="H435" s="11" t="str">
        <x:v>.github/scripts/testVersionCompatible.py:543</x:v>
      </x:c>
      <x:c r="I435" s="11" t="str">
        <x:v>https://github.com/juicedata/juicefs/blob/30190ca1094d26e85f19a979ca51b0ea19af1eaa/.github/scripts/testVersionCompatible.py#L543</x:v>
      </x:c>
      <x:c r="J435" s="11" t="str">
        <x:v>未提升为 Windows 执行项</x:v>
      </x:c>
      <x:c r="K435" s="11" t="str">
        <x:v>rule(juicefs=st.sampled_from(JFS_BINS)); precondition(lambda self: self.formatted)</x:v>
      </x:c>
      <x:c r="L435" s="11" t="str">
        <x:v>状态机运行序列按运行参数生成，未在此展开；级别为源码目录初分，未执行项目不能计作通过</x:v>
      </x:c>
    </x:row>
    <x:row r="436" ht="58" customHeight="1">
      <x:c r="A436" s="10" t="str">
        <x:v>UP-e0dec631b834</x:v>
      </x:c>
      <x:c r="B436" s="10" t="str">
        <x:v>L2</x:v>
      </x:c>
      <x:c r="C436" s="10" t="str">
        <x:v>缓存与后台上传</x:v>
      </x:c>
      <x:c r="D436" s="10" t="str">
        <x:v>JuicefsMachine.warmup</x:v>
      </x:c>
      <x:c r="E436" s="10" t="str">
        <x:v>Python 状态机规则</x:v>
      </x:c>
      <x:c r="F436" s="10" t="str">
        <x:v>待执行</x:v>
      </x:c>
      <x:c r="G436" s="10" t="str">
        <x:v>其他平台／集成；根据 workflow 条件选择</x:v>
      </x:c>
      <x:c r="H436" s="10" t="str">
        <x:v>.github/scripts/testVersionCompatible.py:580</x:v>
      </x:c>
      <x:c r="I436" s="10" t="str">
        <x:v>https://github.com/juicedata/juicefs/blob/30190ca1094d26e85f19a979ca51b0ea19af1eaa/.github/scripts/testVersionCompatible.py#L580</x:v>
      </x:c>
      <x:c r="J436" s="10" t="str">
        <x:v>未提升为 Windows 执行项</x:v>
      </x:c>
      <x:c r="K436" s="10" t="str">
        <x:v>rule(juicefs=st.sampled_from(JFS_BINS), threads=st.integers(min_value=1, max_value=100), background=st.booleans(), from_file=st.booleans(), directory=st.booleans()); precondition(lambda self: self.mounted)</x:v>
      </x:c>
      <x:c r="L436" s="10" t="str">
        <x:v>状态机运行序列按运行参数生成，未在此展开；级别为源码目录初分，未执行项目不能计作通过</x:v>
      </x:c>
    </x:row>
    <x:row r="437" ht="58" customHeight="1">
      <x:c r="A437" s="11" t="str">
        <x:v>UP-4e91f1dc1e79</x:v>
      </x:c>
      <x:c r="B437" s="11" t="str">
        <x:v>L1</x:v>
      </x:c>
      <x:c r="C437" s="11" t="str">
        <x:v>挂载与元数据生命周期</x:v>
      </x:c>
      <x:c r="D437" s="11" t="str">
        <x:v>JuicefsMachine.gc</x:v>
      </x:c>
      <x:c r="E437" s="11" t="str">
        <x:v>Python 状态机规则</x:v>
      </x:c>
      <x:c r="F437" s="11" t="str">
        <x:v>待执行</x:v>
      </x:c>
      <x:c r="G437" s="11" t="str">
        <x:v>其他平台／集成；根据 workflow 条件选择</x:v>
      </x:c>
      <x:c r="H437" s="11" t="str">
        <x:v>.github/scripts/testVersionCompatible.py:624</x:v>
      </x:c>
      <x:c r="I437" s="11" t="str">
        <x:v>https://github.com/juicedata/juicefs/blob/30190ca1094d26e85f19a979ca51b0ea19af1eaa/.github/scripts/testVersionCompatible.py#L624</x:v>
      </x:c>
      <x:c r="J437" s="11" t="str">
        <x:v>未提升为 Windows 执行项</x:v>
      </x:c>
      <x:c r="K437" s="11" t="str">
        <x:v>rule(juicefs=st.sampled_from(JFS_BINS), compact=st.booleans(), delete=st.booleans(), threads=st.integers(min_value=1, max_value=100)); precondition(lambda self: self.formatted)</x:v>
      </x:c>
      <x:c r="L437" s="11" t="str">
        <x:v>状态机运行序列按运行参数生成，未在此展开；级别为源码目录初分，未执行项目不能计作通过</x:v>
      </x:c>
    </x:row>
    <x:row r="438" ht="330" customHeight="1">
      <x:c r="A438" s="10" t="str">
        <x:v>UP-b047100d6cec</x:v>
      </x:c>
      <x:c r="B438" s="10" t="str">
        <x:v>L2</x:v>
      </x:c>
      <x:c r="C438" s="10" t="str">
        <x:v>网关与后端重试</x:v>
      </x:c>
      <x:c r="D438" s="10" t="str">
        <x:v>JuicefsMachine.gateway</x:v>
      </x:c>
      <x:c r="E438" s="10" t="str">
        <x:v>Python 状态机规则</x:v>
      </x:c>
      <x:c r="F438" s="10" t="str">
        <x:v>待执行</x:v>
      </x:c>
      <x:c r="G438" s="10" t="str">
        <x:v>其他平台／集成；根据 workflow 条件选择</x:v>
      </x:c>
      <x:c r="H438" s="10" t="str">
        <x:v>.github/scripts/testVersionCompatible.py:674</x:v>
      </x:c>
      <x:c r="I438" s="10" t="str">
        <x:v>https://github.com/juicedata/juicefs/blob/30190ca1094d26e85f19a979ca51b0ea19af1eaa/.github/scripts/testVersionCompatible.py#L674</x:v>
      </x:c>
      <x:c r="J438" s="10" t="str">
        <x:v>未提升为 Windows 执行项</x:v>
      </x:c>
      <x:c r="K438" s="10" t="str">
        <x:v>rule(juicefs=st.sampled_from(JFS_BINS), get_timeout=st.integers(min_value=30, max_value=59), put_timeout=st.integers(min_value=30, max_value=59), io_retries=st.integers(min_value=5, max_value=15), max_uploads=st.integers(min_value=1, max_value=100), max_deletes=st.integers(min_value=1, max_value=100), buffer_size=st.integers(min_value=100, max_value=1000), upload_limit=st.integers(min_value=0, max_value=1000), download_limit=st.integers(min_value=0, max_value=1000), prefetch=st.integers(min_value=0, max_value=100), writeback=st.just(False), upload_delay=st.sampled_from([0, 2]), cache_dir=st.sampled_from(['cache1', 'cache2']), cache_size=st.integers(min_value=0, max_value=1024000), free_space_ratio=st.floats(min_value=0.1, max_value=0.5), cache_partial_only=st.booleans(), backup_meta=st.integers(min_value=300, max_value=1000), heartbeat=st.integers(min_value=5, max_value=30), read_only=st.booleans(), no_bgjob=st.booleans(), open_cache=st.integers(min_value=0, max_value=100), attr_cache=st.integers(min_value=1, max_value=10), entry_cache=st.integers(min_value=1, max_value=10), dir_entry_cache=st.integers(min_value=1, max_value=10), access_log=st.sampled_from(['accesslog1', 'accesslog2']), no_banner=st.booleans(), multi_buckets=st.booleans(), keep_etag=st.booleans(), umask=st.sampled_from(['022', '755']), metrics=st.sampled_from(['127.0.0.1:9567', '127.0.0.1:9568']), consul=st.sampled_from(['127.0.0.1:8500', '127.0.0.1:8501']), sub_dir=st.sampled_from(['dir1', 'dir2']), port=st.integers(min_value=9001, max_value=10000)); precondition(lambda self: self.formatted and False)</x:v>
      </x:c>
      <x:c r="L438" s="10" t="str">
        <x:v>状态机运行序列按运行参数生成，未在此展开；级别为源码目录初分，未执行项目不能计作通过</x:v>
      </x:c>
    </x:row>
    <x:row r="439" ht="42" customHeight="1">
      <x:c r="A439" s="11" t="str">
        <x:v>UP-3a44e2a50c1d</x:v>
      </x:c>
      <x:c r="B439" s="11" t="str">
        <x:v>L3</x:v>
      </x:c>
      <x:c r="C439" s="11" t="str">
        <x:v>应用与界面兼容</x:v>
      </x:c>
      <x:c r="D439" s="11" t="str">
        <x:v>JuicefsMachine.webdav</x:v>
      </x:c>
      <x:c r="E439" s="11" t="str">
        <x:v>Python 状态机规则</x:v>
      </x:c>
      <x:c r="F439" s="11" t="str">
        <x:v>待执行</x:v>
      </x:c>
      <x:c r="G439" s="11" t="str">
        <x:v>其他平台／集成；根据 workflow 条件选择</x:v>
      </x:c>
      <x:c r="H439" s="11" t="str">
        <x:v>.github/scripts/testVersionCompatible.py:750</x:v>
      </x:c>
      <x:c r="I439" s="11" t="str">
        <x:v>https://github.com/juicedata/juicefs/blob/30190ca1094d26e85f19a979ca51b0ea19af1eaa/.github/scripts/testVersionCompatible.py#L750</x:v>
      </x:c>
      <x:c r="J439" s="11" t="str">
        <x:v>未提升为 Windows 执行项</x:v>
      </x:c>
      <x:c r="K439" s="11" t="str">
        <x:v>rule(juicefs=st.sampled_from(JFS_BINS), port=st.integers(min_value=10001, max_value=11000)); precondition(lambda self: self.formatted and False)</x:v>
      </x:c>
      <x:c r="L439" s="11" t="str">
        <x:v>状态机运行序列按运行参数生成，未在此展开；级别为源码目录初分，未执行项目不能计作通过</x:v>
      </x:c>
    </x:row>
    <x:row r="440" ht="42" customHeight="1">
      <x:c r="A440" s="10" t="str">
        <x:v>UP-61734039b12e</x:v>
      </x:c>
      <x:c r="B440" s="10" t="str">
        <x:v>L3</x:v>
      </x:c>
      <x:c r="C440" s="10" t="str">
        <x:v>应用与界面兼容</x:v>
      </x:c>
      <x:c r="D440" s="10" t="str">
        <x:v>文件入口</x:v>
      </x:c>
      <x:c r="E440" s="10" t="str">
        <x:v>配置或辅助文件</x:v>
      </x:c>
      <x:c r="F440" s="10" t="str">
        <x:v>辅助文件</x:v>
      </x:c>
      <x:c r="G440" s="10" t="str">
        <x:v>其他平台／集成；根据 workflow 条件选择</x:v>
      </x:c>
      <x:c r="H440" s="10" t="str">
        <x:v>.github/scripts/upload_coverage_report.sh:1</x:v>
      </x:c>
      <x:c r="I440" s="10" t="str">
        <x:v>https://github.com/juicedata/juicefs/blob/30190ca1094d26e85f19a979ca51b0ea19af1eaa/.github/scripts/upload_coverage_report.sh#L1</x:v>
      </x:c>
      <x:c r="J440" s="10" t="str">
        <x:v>未提升为 Windows 执行项</x:v>
      </x:c>
      <x:c r="K440" s="10" t="str">
        <x:v>见源文件及 CI 条件</x:v>
      </x:c>
      <x:c r="L440" s="10" t="str">
        <x:v>无可静态枚举的命名测试函数；保留文件范围，不推定已执行；级别为源码目录初分，未执行项目不能计作通过</x:v>
      </x:c>
    </x:row>
    <x:row r="441" ht="42" customHeight="1">
      <x:c r="A441" s="11" t="str">
        <x:v>UP-79249649a8b4</x:v>
      </x:c>
      <x:c r="B441" s="11" t="str">
        <x:v>L3</x:v>
      </x:c>
      <x:c r="C441" s="11" t="str">
        <x:v>应用与界面兼容</x:v>
      </x:c>
      <x:c r="D441" s="11" t="str">
        <x:v>文件入口</x:v>
      </x:c>
      <x:c r="E441" s="11" t="str">
        <x:v>配置或辅助文件</x:v>
      </x:c>
      <x:c r="F441" s="11" t="str">
        <x:v>辅助文件</x:v>
      </x:c>
      <x:c r="G441" s="11" t="str">
        <x:v>其他平台／集成；根据 workflow 条件选择</x:v>
      </x:c>
      <x:c r="H441" s="11" t="str">
        <x:v>.github/scripts/utils.py:1</x:v>
      </x:c>
      <x:c r="I441" s="11" t="str">
        <x:v>https://github.com/juicedata/juicefs/blob/30190ca1094d26e85f19a979ca51b0ea19af1eaa/.github/scripts/utils.py#L1</x:v>
      </x:c>
      <x:c r="J441" s="11" t="str">
        <x:v>未提升为 Windows 执行项</x:v>
      </x:c>
      <x:c r="K441" s="11" t="str">
        <x:v>见源文件及 CI 条件</x:v>
      </x:c>
      <x:c r="L441" s="11" t="str">
        <x:v>无可静态枚举的命名测试函数；保留文件范围，不推定已执行；级别为源码目录初分，未执行项目不能计作通过</x:v>
      </x:c>
    </x:row>
    <x:row r="442" ht="42" customHeight="1">
      <x:c r="A442" s="10" t="str">
        <x:v>UP-979f20d86481</x:v>
      </x:c>
      <x:c r="B442" s="10" t="str">
        <x:v>L2</x:v>
      </x:c>
      <x:c r="C442" s="10" t="str">
        <x:v>文件读写与完整性</x:v>
      </x:c>
      <x:c r="D442" s="10" t="str">
        <x:v>WindowsFSTest.test_basic_operations</x:v>
      </x:c>
      <x:c r="E442" s="10" t="str">
        <x:v>Python 测试</x:v>
      </x:c>
      <x:c r="F442" s="10" t="str">
        <x:v>已通过</x:v>
      </x:c>
      <x:c r="G442" s="10" t="str">
        <x:v>官方 Windows 工作流</x:v>
      </x:c>
      <x:c r="H442" s="10" t="str">
        <x:v>.github/scripts/wins_fs_test.py:28</x:v>
      </x:c>
      <x:c r="I442" s="10" t="str">
        <x:v>https://github.com/juicedata/juicefs/blob/30190ca1094d26e85f19a979ca51b0ea19af1eaa/.github/scripts/wins_fs_test.py#L28</x:v>
      </x:c>
      <x:c r="J442" s="10" t="str">
        <x:v>JFS-PY-01</x:v>
      </x:c>
      <x:c r="K442" s="10" t="str">
        <x:v>见源文件及 CI 条件</x:v>
      </x:c>
      <x:c r="L442" s="10" t="str">
        <x:v>状态机运行序列按运行参数生成，未在此展开；级别为源码目录初分，未执行项目不能计作通过</x:v>
      </x:c>
    </x:row>
    <x:row r="443" ht="42" customHeight="1">
      <x:c r="A443" s="11" t="str">
        <x:v>UP-e2692d67f962</x:v>
      </x:c>
      <x:c r="B443" s="11" t="str">
        <x:v>L3</x:v>
      </x:c>
      <x:c r="C443" s="11" t="str">
        <x:v>命名与目录</x:v>
      </x:c>
      <x:c r="D443" s="11" t="str">
        <x:v>WindowsFSTest.test_rename_case_change</x:v>
      </x:c>
      <x:c r="E443" s="11" t="str">
        <x:v>Python 测试</x:v>
      </x:c>
      <x:c r="F443" s="11" t="str">
        <x:v>已通过</x:v>
      </x:c>
      <x:c r="G443" s="11" t="str">
        <x:v>官方 Windows 工作流</x:v>
      </x:c>
      <x:c r="H443" s="11" t="str">
        <x:v>.github/scripts/wins_fs_test.py:44</x:v>
      </x:c>
      <x:c r="I443" s="11" t="str">
        <x:v>https://github.com/juicedata/juicefs/blob/30190ca1094d26e85f19a979ca51b0ea19af1eaa/.github/scripts/wins_fs_test.py#L44</x:v>
      </x:c>
      <x:c r="J443" s="11" t="str">
        <x:v>JFS-PY-07</x:v>
      </x:c>
      <x:c r="K443" s="11" t="str">
        <x:v>见源文件及 CI 条件</x:v>
      </x:c>
      <x:c r="L443" s="11" t="str">
        <x:v>状态机运行序列按运行参数生成，未在此展开；级别为源码目录初分，未执行项目不能计作通过</x:v>
      </x:c>
    </x:row>
    <x:row r="444" ht="42" customHeight="1">
      <x:c r="A444" s="10" t="str">
        <x:v>UP-0f01525f9973</x:v>
      </x:c>
      <x:c r="B444" s="10" t="str">
        <x:v>L2</x:v>
      </x:c>
      <x:c r="C444" s="10" t="str">
        <x:v>命名与目录</x:v>
      </x:c>
      <x:c r="D444" s="10" t="str">
        <x:v>WindowsFSTest.test_directory_operations</x:v>
      </x:c>
      <x:c r="E444" s="10" t="str">
        <x:v>Python 测试</x:v>
      </x:c>
      <x:c r="F444" s="10" t="str">
        <x:v>已通过</x:v>
      </x:c>
      <x:c r="G444" s="10" t="str">
        <x:v>官方 Windows 工作流</x:v>
      </x:c>
      <x:c r="H444" s="10" t="str">
        <x:v>.github/scripts/wins_fs_test.py:57</x:v>
      </x:c>
      <x:c r="I444" s="10" t="str">
        <x:v>https://github.com/juicedata/juicefs/blob/30190ca1094d26e85f19a979ca51b0ea19af1eaa/.github/scripts/wins_fs_test.py#L57</x:v>
      </x:c>
      <x:c r="J444" s="10" t="str">
        <x:v>JFS-PY-03</x:v>
      </x:c>
      <x:c r="K444" s="10" t="str">
        <x:v>见源文件及 CI 条件</x:v>
      </x:c>
      <x:c r="L444" s="10" t="str">
        <x:v>状态机运行序列按运行参数生成，未在此展开；级别为源码目录初分，未执行项目不能计作通过</x:v>
      </x:c>
    </x:row>
    <x:row r="445" ht="42" customHeight="1">
      <x:c r="A445" s="11" t="str">
        <x:v>UP-141e73e56aee</x:v>
      </x:c>
      <x:c r="B445" s="11" t="str">
        <x:v>L2</x:v>
      </x:c>
      <x:c r="C445" s="11" t="str">
        <x:v>并发与文件锁</x:v>
      </x:c>
      <x:c r="D445" s="11" t="str">
        <x:v>WindowsFSTest.test_concurrent_operations</x:v>
      </x:c>
      <x:c r="E445" s="11" t="str">
        <x:v>Python 测试</x:v>
      </x:c>
      <x:c r="F445" s="11" t="str">
        <x:v>已通过</x:v>
      </x:c>
      <x:c r="G445" s="11" t="str">
        <x:v>官方 Windows 工作流</x:v>
      </x:c>
      <x:c r="H445" s="11" t="str">
        <x:v>.github/scripts/wins_fs_test.py:73</x:v>
      </x:c>
      <x:c r="I445" s="11" t="str">
        <x:v>https://github.com/juicedata/juicefs/blob/30190ca1094d26e85f19a979ca51b0ea19af1eaa/.github/scripts/wins_fs_test.py#L73</x:v>
      </x:c>
      <x:c r="J445" s="11" t="str">
        <x:v>JFS-PY-02</x:v>
      </x:c>
      <x:c r="K445" s="11" t="str">
        <x:v>见源文件及 CI 条件</x:v>
      </x:c>
      <x:c r="L445" s="11" t="str">
        <x:v>状态机运行序列按运行参数生成，未在此展开；级别为源码目录初分，未执行项目不能计作通过</x:v>
      </x:c>
    </x:row>
    <x:row r="446" ht="42" customHeight="1">
      <x:c r="A446" s="10" t="str">
        <x:v>UP-795596387c1f</x:v>
      </x:c>
      <x:c r="B446" s="10" t="str">
        <x:v>L2</x:v>
      </x:c>
      <x:c r="C446" s="10" t="str">
        <x:v>命名与目录</x:v>
      </x:c>
      <x:c r="D446" s="10" t="str">
        <x:v>WindowsFSTest.test_special_characters</x:v>
      </x:c>
      <x:c r="E446" s="10" t="str">
        <x:v>Python 测试</x:v>
      </x:c>
      <x:c r="F446" s="10" t="str">
        <x:v>已通过</x:v>
      </x:c>
      <x:c r="G446" s="10" t="str">
        <x:v>官方 Windows 工作流</x:v>
      </x:c>
      <x:c r="H446" s="10" t="str">
        <x:v>.github/scripts/wins_fs_test.py:95</x:v>
      </x:c>
      <x:c r="I446" s="10" t="str">
        <x:v>https://github.com/juicedata/juicefs/blob/30190ca1094d26e85f19a979ca51b0ea19af1eaa/.github/scripts/wins_fs_test.py#L95</x:v>
      </x:c>
      <x:c r="J446" s="10" t="str">
        <x:v>JFS-PY-08</x:v>
      </x:c>
      <x:c r="K446" s="10" t="str">
        <x:v>见源文件及 CI 条件</x:v>
      </x:c>
      <x:c r="L446" s="10" t="str">
        <x:v>状态机运行序列按运行参数生成，未在此展开；级别为源码目录初分，未执行项目不能计作通过</x:v>
      </x:c>
    </x:row>
    <x:row r="447" ht="42" customHeight="1">
      <x:c r="A447" s="11" t="str">
        <x:v>UP-d4217ba13494</x:v>
      </x:c>
      <x:c r="B447" s="11" t="str">
        <x:v>L2</x:v>
      </x:c>
      <x:c r="C447" s="11" t="str">
        <x:v>文件读写与完整性</x:v>
      </x:c>
      <x:c r="D447" s="11" t="str">
        <x:v>WindowsFSTest.test_large_files</x:v>
      </x:c>
      <x:c r="E447" s="11" t="str">
        <x:v>Python 测试</x:v>
      </x:c>
      <x:c r="F447" s="11" t="str">
        <x:v>已通过</x:v>
      </x:c>
      <x:c r="G447" s="11" t="str">
        <x:v>官方 Windows 工作流</x:v>
      </x:c>
      <x:c r="H447" s="11" t="str">
        <x:v>.github/scripts/wins_fs_test.py:111</x:v>
      </x:c>
      <x:c r="I447" s="11" t="str">
        <x:v>https://github.com/juicedata/juicefs/blob/30190ca1094d26e85f19a979ca51b0ea19af1eaa/.github/scripts/wins_fs_test.py#L111</x:v>
      </x:c>
      <x:c r="J447" s="11" t="str">
        <x:v>JFS-PY-05</x:v>
      </x:c>
      <x:c r="K447" s="11" t="str">
        <x:v>见源文件及 CI 条件</x:v>
      </x:c>
      <x:c r="L447" s="11" t="str">
        <x:v>状态机运行序列按运行参数生成，未在此展开；级别为源码目录初分，未执行项目不能计作通过</x:v>
      </x:c>
    </x:row>
    <x:row r="448" ht="42" customHeight="1">
      <x:c r="A448" s="10" t="str">
        <x:v>UP-5ebd1a676aa3</x:v>
      </x:c>
      <x:c r="B448" s="10" t="str">
        <x:v>L3</x:v>
      </x:c>
      <x:c r="C448" s="10" t="str">
        <x:v>属性与权限</x:v>
      </x:c>
      <x:c r="D448" s="10" t="str">
        <x:v>WindowsFSTest.test_file_attributes</x:v>
      </x:c>
      <x:c r="E448" s="10" t="str">
        <x:v>Python 测试</x:v>
      </x:c>
      <x:c r="F448" s="10" t="str">
        <x:v>已通过</x:v>
      </x:c>
      <x:c r="G448" s="10" t="str">
        <x:v>官方 Windows 工作流</x:v>
      </x:c>
      <x:c r="H448" s="10" t="str">
        <x:v>.github/scripts/wins_fs_test.py:128</x:v>
      </x:c>
      <x:c r="I448" s="10" t="str">
        <x:v>https://github.com/juicedata/juicefs/blob/30190ca1094d26e85f19a979ca51b0ea19af1eaa/.github/scripts/wins_fs_test.py#L128</x:v>
      </x:c>
      <x:c r="J448" s="10" t="str">
        <x:v>JFS-PY-04</x:v>
      </x:c>
      <x:c r="K448" s="10" t="str">
        <x:v>见源文件及 CI 条件</x:v>
      </x:c>
      <x:c r="L448" s="10" t="str">
        <x:v>状态机运行序列按运行参数生成，未在此展开；级别为源码目录初分，未执行项目不能计作通过</x:v>
      </x:c>
    </x:row>
    <x:row r="449" ht="42" customHeight="1">
      <x:c r="A449" s="11" t="str">
        <x:v>UP-00dfcbcc0db7</x:v>
      </x:c>
      <x:c r="B449" s="11" t="str">
        <x:v>L3</x:v>
      </x:c>
      <x:c r="C449" s="11" t="str">
        <x:v>平台与扩展边界</x:v>
      </x:c>
      <x:c r="D449" s="11" t="str">
        <x:v>WindowsFSTest.test_symlinks</x:v>
      </x:c>
      <x:c r="E449" s="11" t="str">
        <x:v>Python 测试</x:v>
      </x:c>
      <x:c r="F449" s="11" t="str">
        <x:v>已跳过</x:v>
      </x:c>
      <x:c r="G449" s="11" t="str">
        <x:v>官方 Windows 工作流</x:v>
      </x:c>
      <x:c r="H449" s="11" t="str">
        <x:v>.github/scripts/wins_fs_test.py:142</x:v>
      </x:c>
      <x:c r="I449" s="11" t="str">
        <x:v>https://github.com/juicedata/juicefs/blob/30190ca1094d26e85f19a979ca51b0ea19af1eaa/.github/scripts/wins_fs_test.py#L142</x:v>
      </x:c>
      <x:c r="J449" s="11" t="str">
        <x:v>JFS-PY-09</x:v>
      </x:c>
      <x:c r="K449" s="11" t="str">
        <x:v>unittest.skip('Windows Do not support')</x:v>
      </x:c>
      <x:c r="L449" s="11" t="str">
        <x:v>状态机运行序列按运行参数生成，未在此展开；级别为源码目录初分，未执行项目不能计作通过</x:v>
      </x:c>
    </x:row>
    <x:row r="450" ht="42" customHeight="1">
      <x:c r="A450" s="10" t="str">
        <x:v>UP-85191612cbaa</x:v>
      </x:c>
      <x:c r="B450" s="10" t="str">
        <x:v>L3</x:v>
      </x:c>
      <x:c r="C450" s="10" t="str">
        <x:v>命名与目录</x:v>
      </x:c>
      <x:c r="D450" s="10" t="str">
        <x:v>WindowsFSTest.test_long_paths</x:v>
      </x:c>
      <x:c r="E450" s="10" t="str">
        <x:v>Python 测试</x:v>
      </x:c>
      <x:c r="F450" s="10" t="str">
        <x:v>已通过</x:v>
      </x:c>
      <x:c r="G450" s="10" t="str">
        <x:v>官方 Windows 工作流</x:v>
      </x:c>
      <x:c r="H450" s="10" t="str">
        <x:v>.github/scripts/wins_fs_test.py:176</x:v>
      </x:c>
      <x:c r="I450" s="10" t="str">
        <x:v>https://github.com/juicedata/juicefs/blob/30190ca1094d26e85f19a979ca51b0ea19af1eaa/.github/scripts/wins_fs_test.py#L176</x:v>
      </x:c>
      <x:c r="J450" s="10" t="str">
        <x:v>JFS-PY-06</x:v>
      </x:c>
      <x:c r="K450" s="10" t="str">
        <x:v>见源文件及 CI 条件</x:v>
      </x:c>
      <x:c r="L450" s="10" t="str">
        <x:v>状态机运行序列按运行参数生成，未在此展开；级别为源码目录初分，未执行项目不能计作通过</x:v>
      </x:c>
    </x:row>
    <x:row r="451" ht="42" customHeight="1">
      <x:c r="A451" s="11" t="str">
        <x:v>UP-4708852d4281</x:v>
      </x:c>
      <x:c r="B451" s="11" t="str">
        <x:v>L3</x:v>
      </x:c>
      <x:c r="C451" s="11" t="str">
        <x:v>应用与界面兼容</x:v>
      </x:c>
      <x:c r="D451" s="11" t="str">
        <x:v>文件入口</x:v>
      </x:c>
      <x:c r="E451" s="11" t="str">
        <x:v>脚本／文件入口</x:v>
      </x:c>
      <x:c r="F451" s="11" t="str">
        <x:v>待执行</x:v>
      </x:c>
      <x:c r="G451" s="11" t="str">
        <x:v>其他平台／集成；根据 workflow 条件选择</x:v>
      </x:c>
      <x:c r="H451" s="11" t="str">
        <x:v>.github/workflows/bash/rm_list.sh:1</x:v>
      </x:c>
      <x:c r="I451" s="11" t="str">
        <x:v>https://github.com/juicedata/juicefs/blob/30190ca1094d26e85f19a979ca51b0ea19af1eaa/.github/workflows/bash/rm_list.sh#L1</x:v>
      </x:c>
      <x:c r="J451" s="11" t="str">
        <x:v>未提升为 Windows 执行项</x:v>
      </x:c>
      <x:c r="K451" s="11" t="str">
        <x:v>见源文件及 CI 条件</x:v>
      </x:c>
      <x:c r="L451" s="11" t="str">
        <x:v>无可静态枚举的命名测试函数；保留文件范围，不推定已执行；级别为源码目录初分，未执行项目不能计作通过</x:v>
      </x:c>
    </x:row>
    <x:row r="452" ht="42" customHeight="1">
      <x:c r="A452" s="10" t="str">
        <x:v>UP-3385d0e2e8bc</x:v>
      </x:c>
      <x:c r="B452" s="10" t="str">
        <x:v>L3</x:v>
      </x:c>
      <x:c r="C452" s="10" t="str">
        <x:v>应用与界面兼容</x:v>
      </x:c>
      <x:c r="D452" s="10" t="str">
        <x:v>TestBench</x:v>
      </x:c>
      <x:c r="E452" s="10" t="str">
        <x:v>Go 测试入口</x:v>
      </x:c>
      <x:c r="F452" s="10" t="str">
        <x:v>待执行</x:v>
      </x:c>
      <x:c r="G452" s="10" t="str">
        <x:v>引擎源码测试；Windows 可构建性及服务依赖需核对</x:v>
      </x:c>
      <x:c r="H452" s="10" t="str">
        <x:v>cmd/bench_test.go:24</x:v>
      </x:c>
      <x:c r="I452" s="10" t="str">
        <x:v>https://github.com/juicedata/juicefs/blob/30190ca1094d26e85f19a979ca51b0ea19af1eaa/cmd/bench_test.go#L24</x:v>
      </x:c>
      <x:c r="J452" s="10" t="str">
        <x:v>未提升为 Windows 执行项</x:v>
      </x:c>
      <x:c r="K452" s="10" t="str">
        <x:v>见源文件及 CI 条件</x:v>
      </x:c>
      <x:c r="L452" s="10" t="str">
        <x:v>子用例参数与运行时生成序列不计作独立目录项；级别为源码目录初分，未执行项目不能计作通过</x:v>
      </x:c>
    </x:row>
    <x:row r="453" ht="42" customHeight="1">
      <x:c r="A453" s="11" t="str">
        <x:v>UP-a2f7ceb2413b</x:v>
      </x:c>
      <x:c r="B453" s="11" t="str">
        <x:v>L2</x:v>
      </x:c>
      <x:c r="C453" s="11" t="str">
        <x:v>网关与后端重试</x:v>
      </x:c>
      <x:c r="D453" s="11" t="str">
        <x:v>TestBenchForObject</x:v>
      </x:c>
      <x:c r="E453" s="11" t="str">
        <x:v>Go 测试入口</x:v>
      </x:c>
      <x:c r="F453" s="11" t="str">
        <x:v>待执行</x:v>
      </x:c>
      <x:c r="G453" s="11" t="str">
        <x:v>引擎源码测试；Windows 可构建性及服务依赖需核对</x:v>
      </x:c>
      <x:c r="H453" s="11" t="str">
        <x:v>cmd/bench_test.go:35</x:v>
      </x:c>
      <x:c r="I453" s="11" t="str">
        <x:v>https://github.com/juicedata/juicefs/blob/30190ca1094d26e85f19a979ca51b0ea19af1eaa/cmd/bench_test.go#L35</x:v>
      </x:c>
      <x:c r="J453" s="11" t="str">
        <x:v>未提升为 Windows 执行项</x:v>
      </x:c>
      <x:c r="K453" s="11" t="str">
        <x:v>见源文件及 CI 条件</x:v>
      </x:c>
      <x:c r="L453" s="11" t="str">
        <x:v>子用例参数与运行时生成序列不计作独立目录项；级别为源码目录初分，未执行项目不能计作通过</x:v>
      </x:c>
    </x:row>
    <x:row r="454" ht="42" customHeight="1">
      <x:c r="A454" s="10" t="str">
        <x:v>UP-ed01c4ea022e</x:v>
      </x:c>
      <x:c r="B454" s="10" t="str">
        <x:v>L3</x:v>
      </x:c>
      <x:c r="C454" s="10" t="str">
        <x:v>应用与界面兼容</x:v>
      </x:c>
      <x:c r="D454" s="10" t="str">
        <x:v>TestCompact</x:v>
      </x:c>
      <x:c r="E454" s="10" t="str">
        <x:v>Go 测试入口</x:v>
      </x:c>
      <x:c r="F454" s="10" t="str">
        <x:v>待执行</x:v>
      </x:c>
      <x:c r="G454" s="10" t="str">
        <x:v>引擎源码测试；Windows 可构建性及服务依赖需核对</x:v>
      </x:c>
      <x:c r="H454" s="10" t="str">
        <x:v>cmd/compact_test.go:72</x:v>
      </x:c>
      <x:c r="I454" s="10" t="str">
        <x:v>https://github.com/juicedata/juicefs/blob/30190ca1094d26e85f19a979ca51b0ea19af1eaa/cmd/compact_test.go#L72</x:v>
      </x:c>
      <x:c r="J454" s="10" t="str">
        <x:v>未提升为 Windows 执行项</x:v>
      </x:c>
      <x:c r="K454" s="10" t="str">
        <x:v>见源文件及 CI 条件</x:v>
      </x:c>
      <x:c r="L454" s="10" t="str">
        <x:v>子用例参数与运行时生成序列不计作独立目录项；级别为源码目录初分，未执行项目不能计作通过</x:v>
      </x:c>
    </x:row>
    <x:row r="455" ht="42" customHeight="1">
      <x:c r="A455" s="11" t="str">
        <x:v>UP-5af7076058a4</x:v>
      </x:c>
      <x:c r="B455" s="11" t="str">
        <x:v>L3</x:v>
      </x:c>
      <x:c r="C455" s="11" t="str">
        <x:v>应用与界面兼容</x:v>
      </x:c>
      <x:c r="D455" s="11" t="str">
        <x:v>TestConfig</x:v>
      </x:c>
      <x:c r="E455" s="11" t="str">
        <x:v>Go 测试入口</x:v>
      </x:c>
      <x:c r="F455" s="11" t="str">
        <x:v>待执行</x:v>
      </x:c>
      <x:c r="G455" s="11" t="str">
        <x:v>引擎源码测试；Windows 可构建性及服务依赖需核对</x:v>
      </x:c>
      <x:c r="H455" s="11" t="str">
        <x:v>cmd/config_test.go:45</x:v>
      </x:c>
      <x:c r="I455" s="11" t="str">
        <x:v>https://github.com/juicedata/juicefs/blob/30190ca1094d26e85f19a979ca51b0ea19af1eaa/cmd/config_test.go#L45</x:v>
      </x:c>
      <x:c r="J455" s="11" t="str">
        <x:v>未提升为 Windows 执行项</x:v>
      </x:c>
      <x:c r="K455" s="11" t="str">
        <x:v>见源文件及 CI 条件</x:v>
      </x:c>
      <x:c r="L455" s="11" t="str">
        <x:v>子用例参数与运行时生成序列不计作独立目录项；级别为源码目录初分，未执行项目不能计作通过</x:v>
      </x:c>
    </x:row>
    <x:row r="456" ht="42" customHeight="1">
      <x:c r="A456" s="10" t="str">
        <x:v>UP-992f91b36892</x:v>
      </x:c>
      <x:c r="B456" s="10" t="str">
        <x:v>L3</x:v>
      </x:c>
      <x:c r="C456" s="10" t="str">
        <x:v>应用与界面兼容</x:v>
      </x:c>
      <x:c r="D456" s="10" t="str">
        <x:v>TestDebug</x:v>
      </x:c>
      <x:c r="E456" s="10" t="str">
        <x:v>Go 测试入口</x:v>
      </x:c>
      <x:c r="F456" s="10" t="str">
        <x:v>待执行</x:v>
      </x:c>
      <x:c r="G456" s="10" t="str">
        <x:v>引擎源码测试；Windows 可构建性及服务依赖需核对</x:v>
      </x:c>
      <x:c r="H456" s="10" t="str">
        <x:v>cmd/debug_test.go:26</x:v>
      </x:c>
      <x:c r="I456" s="10" t="str">
        <x:v>https://github.com/juicedata/juicefs/blob/30190ca1094d26e85f19a979ca51b0ea19af1eaa/cmd/debug_test.go#L26</x:v>
      </x:c>
      <x:c r="J456" s="10" t="str">
        <x:v>未提升为 Windows 执行项</x:v>
      </x:c>
      <x:c r="K456" s="10" t="str">
        <x:v>见源文件及 CI 条件</x:v>
      </x:c>
      <x:c r="L456" s="10" t="str">
        <x:v>子用例参数与运行时生成序列不计作独立目录项；级别为源码目录初分，未执行项目不能计作通过</x:v>
      </x:c>
    </x:row>
    <x:row r="457" ht="42" customHeight="1">
      <x:c r="A457" s="11" t="str">
        <x:v>UP-72b8d1b2f50e</x:v>
      </x:c>
      <x:c r="B457" s="11" t="str">
        <x:v>L1</x:v>
      </x:c>
      <x:c r="C457" s="11" t="str">
        <x:v>挂载与元数据生命周期</x:v>
      </x:c>
      <x:c r="D457" s="11" t="str">
        <x:v>TestDumpAndLoad</x:v>
      </x:c>
      <x:c r="E457" s="11" t="str">
        <x:v>Go 测试入口</x:v>
      </x:c>
      <x:c r="F457" s="11" t="str">
        <x:v>待执行</x:v>
      </x:c>
      <x:c r="G457" s="11" t="str">
        <x:v>引擎源码测试；Windows 可构建性及服务依赖需核对</x:v>
      </x:c>
      <x:c r="H457" s="11" t="str">
        <x:v>cmd/dump_test.go:27</x:v>
      </x:c>
      <x:c r="I457" s="11" t="str">
        <x:v>https://github.com/juicedata/juicefs/blob/30190ca1094d26e85f19a979ca51b0ea19af1eaa/cmd/dump_test.go#L27</x:v>
      </x:c>
      <x:c r="J457" s="11" t="str">
        <x:v>未提升为 Windows 执行项</x:v>
      </x:c>
      <x:c r="K457" s="11" t="str">
        <x:v>见源文件及 CI 条件</x:v>
      </x:c>
      <x:c r="L457" s="11" t="str">
        <x:v>子用例参数与运行时生成序列不计作独立目录项；级别为源码目录初分，未执行项目不能计作通过</x:v>
      </x:c>
    </x:row>
    <x:row r="458" ht="42" customHeight="1">
      <x:c r="A458" s="10" t="str">
        <x:v>UP-952249fee7e6</x:v>
      </x:c>
      <x:c r="B458" s="10" t="str">
        <x:v>L3</x:v>
      </x:c>
      <x:c r="C458" s="10" t="str">
        <x:v>应用与界面兼容</x:v>
      </x:c>
      <x:c r="D458" s="10" t="str">
        <x:v>Test_duration</x:v>
      </x:c>
      <x:c r="E458" s="10" t="str">
        <x:v>Go 测试入口</x:v>
      </x:c>
      <x:c r="F458" s="10" t="str">
        <x:v>待执行</x:v>
      </x:c>
      <x:c r="G458" s="10" t="str">
        <x:v>引擎源码测试；Windows 可构建性及服务依赖需核对</x:v>
      </x:c>
      <x:c r="H458" s="10" t="str">
        <x:v>cmd/flags_test.go:11</x:v>
      </x:c>
      <x:c r="I458" s="10" t="str">
        <x:v>https://github.com/juicedata/juicefs/blob/30190ca1094d26e85f19a979ca51b0ea19af1eaa/cmd/flags_test.go#L11</x:v>
      </x:c>
      <x:c r="J458" s="10" t="str">
        <x:v>未提升为 Windows 执行项</x:v>
      </x:c>
      <x:c r="K458" s="10" t="str">
        <x:v>见源文件及 CI 条件</x:v>
      </x:c>
      <x:c r="L458" s="10" t="str">
        <x:v>子用例参数与运行时生成序列不计作独立目录项；级别为源码目录初分，未执行项目不能计作通过</x:v>
      </x:c>
    </x:row>
    <x:row r="459" ht="42" customHeight="1">
      <x:c r="A459" s="11" t="str">
        <x:v>UP-b82cbed32a19</x:v>
      </x:c>
      <x:c r="B459" s="11" t="str">
        <x:v>L2</x:v>
      </x:c>
      <x:c r="C459" s="11" t="str">
        <x:v>网关与后端重试</x:v>
      </x:c>
      <x:c r="D459" s="11" t="str">
        <x:v>TestFixObjectSize</x:v>
      </x:c>
      <x:c r="E459" s="11" t="str">
        <x:v>Go 测试入口</x:v>
      </x:c>
      <x:c r="F459" s="11" t="str">
        <x:v>待执行</x:v>
      </x:c>
      <x:c r="G459" s="11" t="str">
        <x:v>引擎源码测试；Windows 可构建性及服务依赖需核对</x:v>
      </x:c>
      <x:c r="H459" s="11" t="str">
        <x:v>cmd/format_test.go:27</x:v>
      </x:c>
      <x:c r="I459" s="11" t="str">
        <x:v>https://github.com/juicedata/juicefs/blob/30190ca1094d26e85f19a979ca51b0ea19af1eaa/cmd/format_test.go#L27</x:v>
      </x:c>
      <x:c r="J459" s="11" t="str">
        <x:v>未提升为 Windows 执行项</x:v>
      </x:c>
      <x:c r="K459" s="11" t="str">
        <x:v>见源文件及 CI 条件</x:v>
      </x:c>
      <x:c r="L459" s="11" t="str">
        <x:v>子用例参数与运行时生成序列不计作独立目录项；级别为源码目录初分，未执行项目不能计作通过</x:v>
      </x:c>
    </x:row>
    <x:row r="460" ht="42" customHeight="1">
      <x:c r="A460" s="10" t="str">
        <x:v>UP-3b0bc0a9baee</x:v>
      </x:c>
      <x:c r="B460" s="10" t="str">
        <x:v>L3</x:v>
      </x:c>
      <x:c r="C460" s="10" t="str">
        <x:v>应用与界面兼容</x:v>
      </x:c>
      <x:c r="D460" s="10" t="str">
        <x:v>TestFormat</x:v>
      </x:c>
      <x:c r="E460" s="10" t="str">
        <x:v>Go 测试入口</x:v>
      </x:c>
      <x:c r="F460" s="10" t="str">
        <x:v>待执行</x:v>
      </x:c>
      <x:c r="G460" s="10" t="str">
        <x:v>引擎源码测试；Windows 可构建性及服务依赖需核对</x:v>
      </x:c>
      <x:c r="H460" s="10" t="str">
        <x:v>cmd/format_test.go:59</x:v>
      </x:c>
      <x:c r="I460" s="10" t="str">
        <x:v>https://github.com/juicedata/juicefs/blob/30190ca1094d26e85f19a979ca51b0ea19af1eaa/cmd/format_test.go#L59</x:v>
      </x:c>
      <x:c r="J460" s="10" t="str">
        <x:v>未提升为 Windows 执行项</x:v>
      </x:c>
      <x:c r="K460" s="10" t="str">
        <x:v>见源文件及 CI 条件</x:v>
      </x:c>
      <x:c r="L460" s="10" t="str">
        <x:v>子用例参数与运行时生成序列不计作独立目录项；级别为源码目录初分，未执行项目不能计作通过</x:v>
      </x:c>
    </x:row>
    <x:row r="461" ht="42" customHeight="1">
      <x:c r="A461" s="11" t="str">
        <x:v>UP-f92e7a415e3b</x:v>
      </x:c>
      <x:c r="B461" s="11" t="str">
        <x:v>L1</x:v>
      </x:c>
      <x:c r="C461" s="11" t="str">
        <x:v>挂载与元数据生命周期</x:v>
      </x:c>
      <x:c r="D461" s="11" t="str">
        <x:v>TestFsck</x:v>
      </x:c>
      <x:c r="E461" s="11" t="str">
        <x:v>Go 测试入口</x:v>
      </x:c>
      <x:c r="F461" s="11" t="str">
        <x:v>待执行</x:v>
      </x:c>
      <x:c r="G461" s="11" t="str">
        <x:v>引擎源码测试；Windows 可构建性及服务依赖需核对</x:v>
      </x:c>
      <x:c r="H461" s="11" t="str">
        <x:v>cmd/fsck_test.go:25</x:v>
      </x:c>
      <x:c r="I461" s="11" t="str">
        <x:v>https://github.com/juicedata/juicefs/blob/30190ca1094d26e85f19a979ca51b0ea19af1eaa/cmd/fsck_test.go#L25</x:v>
      </x:c>
      <x:c r="J461" s="11" t="str">
        <x:v>未提升为 Windows 执行项</x:v>
      </x:c>
      <x:c r="K461" s="11" t="str">
        <x:v>见源文件及 CI 条件</x:v>
      </x:c>
      <x:c r="L461" s="11" t="str">
        <x:v>子用例参数与运行时生成序列不计作独立目录项；级别为源码目录初分，未执行项目不能计作通过</x:v>
      </x:c>
    </x:row>
    <x:row r="462" ht="42" customHeight="1">
      <x:c r="A462" s="10" t="str">
        <x:v>UP-2f5c1dd7ae4b</x:v>
      </x:c>
      <x:c r="B462" s="10" t="str">
        <x:v>L3</x:v>
      </x:c>
      <x:c r="C462" s="10" t="str">
        <x:v>应用与界面兼容</x:v>
      </x:c>
      <x:c r="D462" s="10" t="str">
        <x:v>TestGc</x:v>
      </x:c>
      <x:c r="E462" s="10" t="str">
        <x:v>Go 测试入口</x:v>
      </x:c>
      <x:c r="F462" s="10" t="str">
        <x:v>待执行</x:v>
      </x:c>
      <x:c r="G462" s="10" t="str">
        <x:v>引擎源码测试；Windows 可构建性及服务依赖需核对</x:v>
      </x:c>
      <x:c r="H462" s="10" t="str">
        <x:v>cmd/gc_test.go:69</x:v>
      </x:c>
      <x:c r="I462" s="10" t="str">
        <x:v>https://github.com/juicedata/juicefs/blob/30190ca1094d26e85f19a979ca51b0ea19af1eaa/cmd/gc_test.go#L69</x:v>
      </x:c>
      <x:c r="J462" s="10" t="str">
        <x:v>未提升为 Windows 执行项</x:v>
      </x:c>
      <x:c r="K462" s="10" t="str">
        <x:v>见源文件及 CI 条件</x:v>
      </x:c>
      <x:c r="L462" s="10" t="str">
        <x:v>子用例参数与运行时生成序列不计作独立目录项；级别为源码目录初分，未执行项目不能计作通过</x:v>
      </x:c>
    </x:row>
    <x:row r="463" ht="42" customHeight="1">
      <x:c r="A463" s="11" t="str">
        <x:v>UP-120149786780</x:v>
      </x:c>
      <x:c r="B463" s="11" t="str">
        <x:v>L3</x:v>
      </x:c>
      <x:c r="C463" s="11" t="str">
        <x:v>应用与界面兼容</x:v>
      </x:c>
      <x:c r="D463" s="11" t="str">
        <x:v>TestInfo</x:v>
      </x:c>
      <x:c r="E463" s="11" t="str">
        <x:v>Go 测试入口</x:v>
      </x:c>
      <x:c r="F463" s="11" t="str">
        <x:v>待执行</x:v>
      </x:c>
      <x:c r="G463" s="11" t="str">
        <x:v>引擎源码测试；Windows 可构建性及服务依赖需核对</x:v>
      </x:c>
      <x:c r="H463" s="11" t="str">
        <x:v>cmd/info_test.go:29</x:v>
      </x:c>
      <x:c r="I463" s="11" t="str">
        <x:v>https://github.com/juicedata/juicefs/blob/30190ca1094d26e85f19a979ca51b0ea19af1eaa/cmd/info_test.go#L29</x:v>
      </x:c>
      <x:c r="J463" s="11" t="str">
        <x:v>未提升为 Windows 执行项</x:v>
      </x:c>
      <x:c r="K463" s="11" t="str">
        <x:v>见源文件及 CI 条件</x:v>
      </x:c>
      <x:c r="L463" s="11" t="str">
        <x:v>子用例参数与运行时生成序列不计作独立目录项；级别为源码目录初分，未执行项目不能计作通过</x:v>
      </x:c>
    </x:row>
    <x:row r="464" ht="42" customHeight="1">
      <x:c r="A464" s="10" t="str">
        <x:v>UP-bc0d3b860191</x:v>
      </x:c>
      <x:c r="B464" s="10" t="str">
        <x:v>L2</x:v>
      </x:c>
      <x:c r="C464" s="10" t="str">
        <x:v>应用与界面兼容</x:v>
      </x:c>
      <x:c r="D464" s="10" t="str">
        <x:v>TestIntegration</x:v>
      </x:c>
      <x:c r="E464" s="10" t="str">
        <x:v>Go 测试入口</x:v>
      </x:c>
      <x:c r="F464" s="10" t="str">
        <x:v>待执行</x:v>
      </x:c>
      <x:c r="G464" s="10" t="str">
        <x:v>引擎源码测试；Windows 可构建性及服务依赖需核对</x:v>
      </x:c>
      <x:c r="H464" s="10" t="str">
        <x:v>cmd/integration_test.go:78</x:v>
      </x:c>
      <x:c r="I464" s="10" t="str">
        <x:v>https://github.com/juicedata/juicefs/blob/30190ca1094d26e85f19a979ca51b0ea19af1eaa/cmd/integration_test.go#L78</x:v>
      </x:c>
      <x:c r="J464" s="10" t="str">
        <x:v>未提升为 Windows 执行项</x:v>
      </x:c>
      <x:c r="K464" s="10" t="str">
        <x:v>见源文件及 CI 条件</x:v>
      </x:c>
      <x:c r="L464" s="10" t="str">
        <x:v>子用例参数与运行时生成序列不计作独立目录项；级别为源码目录初分，未执行项目不能计作通过</x:v>
      </x:c>
    </x:row>
    <x:row r="465" ht="42" customHeight="1">
      <x:c r="A465" s="11" t="str">
        <x:v>UP-6d549b02797e</x:v>
      </x:c>
      <x:c r="B465" s="11" t="str">
        <x:v>L3</x:v>
      </x:c>
      <x:c r="C465" s="11" t="str">
        <x:v>应用与界面兼容</x:v>
      </x:c>
      <x:c r="D465" s="11" t="str">
        <x:v>TestArgsOrder</x:v>
      </x:c>
      <x:c r="E465" s="11" t="str">
        <x:v>Go 测试入口</x:v>
      </x:c>
      <x:c r="F465" s="11" t="str">
        <x:v>待执行</x:v>
      </x:c>
      <x:c r="G465" s="11" t="str">
        <x:v>引擎源码测试；Windows 可构建性及服务依赖需核对</x:v>
      </x:c>
      <x:c r="H465" s="11" t="str">
        <x:v>cmd/main_test.go:27</x:v>
      </x:c>
      <x:c r="I465" s="11" t="str">
        <x:v>https://github.com/juicedata/juicefs/blob/30190ca1094d26e85f19a979ca51b0ea19af1eaa/cmd/main_test.go#L27</x:v>
      </x:c>
      <x:c r="J465" s="11" t="str">
        <x:v>未提升为 Windows 执行项</x:v>
      </x:c>
      <x:c r="K465" s="11" t="str">
        <x:v>见源文件及 CI 条件</x:v>
      </x:c>
      <x:c r="L465" s="11" t="str">
        <x:v>子用例参数与运行时生成序列不计作独立目录项；级别为源码目录初分，未执行项目不能计作通过</x:v>
      </x:c>
    </x:row>
    <x:row r="466" ht="42" customHeight="1">
      <x:c r="A466" s="10" t="str">
        <x:v>UP-10e87101af18</x:v>
      </x:c>
      <x:c r="B466" s="10" t="str">
        <x:v>L3</x:v>
      </x:c>
      <x:c r="C466" s="10" t="str">
        <x:v>应用与界面兼容</x:v>
      </x:c>
      <x:c r="D466" s="10" t="str">
        <x:v>TestHandleSysMountArgs</x:v>
      </x:c>
      <x:c r="E466" s="10" t="str">
        <x:v>Go 测试入口</x:v>
      </x:c>
      <x:c r="F466" s="10" t="str">
        <x:v>待执行</x:v>
      </x:c>
      <x:c r="G466" s="10" t="str">
        <x:v>引擎源码测试；Windows 可构建性及服务依赖需核对</x:v>
      </x:c>
      <x:c r="H466" s="10" t="str">
        <x:v>cmd/main_test.go:65</x:v>
      </x:c>
      <x:c r="I466" s="10" t="str">
        <x:v>https://github.com/juicedata/juicefs/blob/30190ca1094d26e85f19a979ca51b0ea19af1eaa/cmd/main_test.go#L65</x:v>
      </x:c>
      <x:c r="J466" s="10" t="str">
        <x:v>未提升为 Windows 执行项</x:v>
      </x:c>
      <x:c r="K466" s="10" t="str">
        <x:v>见源文件及 CI 条件</x:v>
      </x:c>
      <x:c r="L466" s="10" t="str">
        <x:v>子用例参数与运行时生成序列不计作独立目录项；级别为源码目录初分，未执行项目不能计作通过</x:v>
      </x:c>
    </x:row>
    <x:row r="467" ht="42" customHeight="1">
      <x:c r="A467" s="11" t="str">
        <x:v>UP-630396ae2270</x:v>
      </x:c>
      <x:c r="B467" s="11" t="str">
        <x:v>L3</x:v>
      </x:c>
      <x:c r="C467" s="11" t="str">
        <x:v>应用与界面兼容</x:v>
      </x:c>
      <x:c r="D467" s="11" t="str">
        <x:v>Test_exposeMetrics</x:v>
      </x:c>
      <x:c r="E467" s="11" t="str">
        <x:v>Go 测试入口</x:v>
      </x:c>
      <x:c r="F467" s="11" t="str">
        <x:v>待执行</x:v>
      </x:c>
      <x:c r="G467" s="11" t="str">
        <x:v>引擎源码测试；Windows 可构建性及服务依赖需核对</x:v>
      </x:c>
      <x:c r="H467" s="11" t="str">
        <x:v>cmd/mount_test.go:52</x:v>
      </x:c>
      <x:c r="I467" s="11" t="str">
        <x:v>https://github.com/juicedata/juicefs/blob/30190ca1094d26e85f19a979ca51b0ea19af1eaa/cmd/mount_test.go#L52</x:v>
      </x:c>
      <x:c r="J467" s="11" t="str">
        <x:v>未提升为 Windows 执行项</x:v>
      </x:c>
      <x:c r="K467" s="11" t="str">
        <x:v>见源文件及 CI 条件</x:v>
      </x:c>
      <x:c r="L467" s="11" t="str">
        <x:v>子用例参数与运行时生成序列不计作独立目录项；级别为源码目录初分，未执行项目不能计作通过</x:v>
      </x:c>
    </x:row>
    <x:row r="468" ht="42" customHeight="1">
      <x:c r="A468" s="10" t="str">
        <x:v>UP-e1c476ab3f7c</x:v>
      </x:c>
      <x:c r="B468" s="10" t="str">
        <x:v>L3</x:v>
      </x:c>
      <x:c r="C468" s="10" t="str">
        <x:v>应用与界面兼容</x:v>
      </x:c>
      <x:c r="D468" s="10" t="str">
        <x:v>TestMount</x:v>
      </x:c>
      <x:c r="E468" s="10" t="str">
        <x:v>Go 测试入口</x:v>
      </x:c>
      <x:c r="F468" s="10" t="str">
        <x:v>待执行</x:v>
      </x:c>
      <x:c r="G468" s="10" t="str">
        <x:v>引擎源码测试；Windows 可构建性及服务依赖需核对</x:v>
      </x:c>
      <x:c r="H468" s="10" t="str">
        <x:v>cmd/mount_test.go:163</x:v>
      </x:c>
      <x:c r="I468" s="10" t="str">
        <x:v>https://github.com/juicedata/juicefs/blob/30190ca1094d26e85f19a979ca51b0ea19af1eaa/cmd/mount_test.go#L163</x:v>
      </x:c>
      <x:c r="J468" s="10" t="str">
        <x:v>未提升为 Windows 执行项</x:v>
      </x:c>
      <x:c r="K468" s="10" t="str">
        <x:v>见源文件及 CI 条件</x:v>
      </x:c>
      <x:c r="L468" s="10" t="str">
        <x:v>子用例参数与运行时生成序列不计作独立目录项；级别为源码目录初分，未执行项目不能计作通过</x:v>
      </x:c>
    </x:row>
    <x:row r="469" ht="42" customHeight="1">
      <x:c r="A469" s="11" t="str">
        <x:v>UP-cb097afaf11a</x:v>
      </x:c>
      <x:c r="B469" s="11" t="str">
        <x:v>L1</x:v>
      </x:c>
      <x:c r="C469" s="11" t="str">
        <x:v>刷新与一致性</x:v>
      </x:c>
      <x:c r="D469" s="11" t="str">
        <x:v>TestFtruncate</x:v>
      </x:c>
      <x:c r="E469" s="11" t="str">
        <x:v>Go 测试入口</x:v>
      </x:c>
      <x:c r="F469" s="11" t="str">
        <x:v>待执行</x:v>
      </x:c>
      <x:c r="G469" s="11" t="str">
        <x:v>引擎源码测试；Windows 可构建性及服务依赖需核对</x:v>
      </x:c>
      <x:c r="H469" s="11" t="str">
        <x:v>cmd/mount_test.go:172</x:v>
      </x:c>
      <x:c r="I469" s="11" t="str">
        <x:v>https://github.com/juicedata/juicefs/blob/30190ca1094d26e85f19a979ca51b0ea19af1eaa/cmd/mount_test.go#L172</x:v>
      </x:c>
      <x:c r="J469" s="11" t="str">
        <x:v>未提升为 Windows 执行项</x:v>
      </x:c>
      <x:c r="K469" s="11" t="str">
        <x:v>见源文件及 CI 条件</x:v>
      </x:c>
      <x:c r="L469" s="11" t="str">
        <x:v>子用例参数与运行时生成序列不计作独立目录项；级别为源码目录初分，未执行项目不能计作通过</x:v>
      </x:c>
    </x:row>
    <x:row r="470" ht="42" customHeight="1">
      <x:c r="A470" s="10" t="str">
        <x:v>UP-0b87a090a1f5</x:v>
      </x:c>
      <x:c r="B470" s="10" t="str">
        <x:v>L3</x:v>
      </x:c>
      <x:c r="C470" s="10" t="str">
        <x:v>应用与界面兼容</x:v>
      </x:c>
      <x:c r="D470" s="10" t="str">
        <x:v>TestUpdateFstab</x:v>
      </x:c>
      <x:c r="E470" s="10" t="str">
        <x:v>Go 测试入口</x:v>
      </x:c>
      <x:c r="F470" s="10" t="str">
        <x:v>待执行</x:v>
      </x:c>
      <x:c r="G470" s="10" t="str">
        <x:v>引擎源码测试；Windows 可构建性及服务依赖需核对</x:v>
      </x:c>
      <x:c r="H470" s="10" t="str">
        <x:v>cmd/mount_test.go:210</x:v>
      </x:c>
      <x:c r="I470" s="10" t="str">
        <x:v>https://github.com/juicedata/juicefs/blob/30190ca1094d26e85f19a979ca51b0ea19af1eaa/cmd/mount_test.go#L210</x:v>
      </x:c>
      <x:c r="J470" s="10" t="str">
        <x:v>未提升为 Windows 执行项</x:v>
      </x:c>
      <x:c r="K470" s="10" t="str">
        <x:v>见源文件及 CI 条件</x:v>
      </x:c>
      <x:c r="L470" s="10" t="str">
        <x:v>子用例参数与运行时生成序列不计作独立目录项；级别为源码目录初分，未执行项目不能计作通过</x:v>
      </x:c>
    </x:row>
    <x:row r="471" ht="42" customHeight="1">
      <x:c r="A471" s="11" t="str">
        <x:v>UP-cf41b01b1836</x:v>
      </x:c>
      <x:c r="B471" s="11" t="str">
        <x:v>L3</x:v>
      </x:c>
      <x:c r="C471" s="11" t="str">
        <x:v>应用与界面兼容</x:v>
      </x:c>
      <x:c r="D471" s="11" t="str">
        <x:v>TestUmount</x:v>
      </x:c>
      <x:c r="E471" s="11" t="str">
        <x:v>Go 测试入口</x:v>
      </x:c>
      <x:c r="F471" s="11" t="str">
        <x:v>待执行</x:v>
      </x:c>
      <x:c r="G471" s="11" t="str">
        <x:v>引擎源码测试；Windows 可构建性及服务依赖需核对</x:v>
      </x:c>
      <x:c r="H471" s="11" t="str">
        <x:v>cmd/mount_test.go:241</x:v>
      </x:c>
      <x:c r="I471" s="11" t="str">
        <x:v>https://github.com/juicedata/juicefs/blob/30190ca1094d26e85f19a979ca51b0ea19af1eaa/cmd/mount_test.go#L241</x:v>
      </x:c>
      <x:c r="J471" s="11" t="str">
        <x:v>未提升为 Windows 执行项</x:v>
      </x:c>
      <x:c r="K471" s="11" t="str">
        <x:v>见源文件及 CI 条件</x:v>
      </x:c>
      <x:c r="L471" s="11" t="str">
        <x:v>子用例参数与运行时生成序列不计作独立目录项；级别为源码目录初分，未执行项目不能计作通过</x:v>
      </x:c>
    </x:row>
    <x:row r="472" ht="42" customHeight="1">
      <x:c r="A472" s="10" t="str">
        <x:v>UP-23bf74768542</x:v>
      </x:c>
      <x:c r="B472" s="10" t="str">
        <x:v>L3</x:v>
      </x:c>
      <x:c r="C472" s="10" t="str">
        <x:v>应用与界面兼容</x:v>
      </x:c>
      <x:c r="D472" s="10" t="str">
        <x:v>TestMountVersionMatch</x:v>
      </x:c>
      <x:c r="E472" s="10" t="str">
        <x:v>Go 测试入口</x:v>
      </x:c>
      <x:c r="F472" s="10" t="str">
        <x:v>待执行</x:v>
      </x:c>
      <x:c r="G472" s="10" t="str">
        <x:v>引擎源码测试；Windows 可构建性及服务依赖需核对</x:v>
      </x:c>
      <x:c r="H472" s="10" t="str">
        <x:v>cmd/mount_test.go:307</x:v>
      </x:c>
      <x:c r="I472" s="10" t="str">
        <x:v>https://github.com/juicedata/juicefs/blob/30190ca1094d26e85f19a979ca51b0ea19af1eaa/cmd/mount_test.go#L307</x:v>
      </x:c>
      <x:c r="J472" s="10" t="str">
        <x:v>未提升为 Windows 执行项</x:v>
      </x:c>
      <x:c r="K472" s="10" t="str">
        <x:v>见源文件及 CI 条件</x:v>
      </x:c>
      <x:c r="L472" s="10" t="str">
        <x:v>子用例参数与运行时生成序列不计作独立目录项；级别为源码目录初分，未执行项目不能计作通过</x:v>
      </x:c>
    </x:row>
    <x:row r="473" ht="42" customHeight="1">
      <x:c r="A473" s="11" t="str">
        <x:v>UP-d8bea5257ce2</x:v>
      </x:c>
      <x:c r="B473" s="11" t="str">
        <x:v>L3</x:v>
      </x:c>
      <x:c r="C473" s="11" t="str">
        <x:v>应用与界面兼容</x:v>
      </x:c>
      <x:c r="D473" s="11" t="str">
        <x:v>TestParseUIDGID</x:v>
      </x:c>
      <x:c r="E473" s="11" t="str">
        <x:v>Go 测试入口</x:v>
      </x:c>
      <x:c r="F473" s="11" t="str">
        <x:v>待执行</x:v>
      </x:c>
      <x:c r="G473" s="11" t="str">
        <x:v>引擎源码测试；Windows 可构建性及服务依赖需核对</x:v>
      </x:c>
      <x:c r="H473" s="11" t="str">
        <x:v>cmd/mount_test.go:320</x:v>
      </x:c>
      <x:c r="I473" s="11" t="str">
        <x:v>https://github.com/juicedata/juicefs/blob/30190ca1094d26e85f19a979ca51b0ea19af1eaa/cmd/mount_test.go#L320</x:v>
      </x:c>
      <x:c r="J473" s="11" t="str">
        <x:v>未提升为 Windows 执行项</x:v>
      </x:c>
      <x:c r="K473" s="11" t="str">
        <x:v>见源文件及 CI 条件</x:v>
      </x:c>
      <x:c r="L473" s="11" t="str">
        <x:v>子用例参数与运行时生成序列不计作独立目录项；级别为源码目录初分，未执行项目不能计作通过</x:v>
      </x:c>
    </x:row>
    <x:row r="474" ht="42" customHeight="1">
      <x:c r="A474" s="10" t="str">
        <x:v>UP-e2fceba2b1f9</x:v>
      </x:c>
      <x:c r="B474" s="10" t="str">
        <x:v>L2</x:v>
      </x:c>
      <x:c r="C474" s="10" t="str">
        <x:v>网关与后端重试</x:v>
      </x:c>
      <x:c r="D474" s="10" t="str">
        <x:v>testFileSystem</x:v>
      </x:c>
      <x:c r="E474" s="10" t="str">
        <x:v>Go 子场景</x:v>
      </x:c>
      <x:c r="F474" s="10" t="str">
        <x:v>待执行</x:v>
      </x:c>
      <x:c r="G474" s="10" t="str">
        <x:v>引擎源码测试；Windows 可构建性及服务依赖需核对</x:v>
      </x:c>
      <x:c r="H474" s="10" t="str">
        <x:v>cmd/object_test.go:55</x:v>
      </x:c>
      <x:c r="I474" s="10" t="str">
        <x:v>https://github.com/juicedata/juicefs/blob/30190ca1094d26e85f19a979ca51b0ea19af1eaa/cmd/object_test.go#L55</x:v>
      </x:c>
      <x:c r="J474" s="10" t="str">
        <x:v>未提升为 Windows 执行项</x:v>
      </x:c>
      <x:c r="K474" s="10" t="str">
        <x:v>见源文件及 CI 条件</x:v>
      </x:c>
      <x:c r="L474" s="10" t="str">
        <x:v>子用例参数与运行时生成序列不计作独立目录项；级别为源码目录初分，未执行项目不能计作通过</x:v>
      </x:c>
    </x:row>
    <x:row r="475" ht="42" customHeight="1">
      <x:c r="A475" s="11" t="str">
        <x:v>UP-6081b3ef5ae9</x:v>
      </x:c>
      <x:c r="B475" s="11" t="str">
        <x:v>L2</x:v>
      </x:c>
      <x:c r="C475" s="11" t="str">
        <x:v>网关与后端重试</x:v>
      </x:c>
      <x:c r="D475" s="11" t="str">
        <x:v>TestJFS</x:v>
      </x:c>
      <x:c r="E475" s="11" t="str">
        <x:v>Go 测试入口</x:v>
      </x:c>
      <x:c r="F475" s="11" t="str">
        <x:v>待执行</x:v>
      </x:c>
      <x:c r="G475" s="11" t="str">
        <x:v>引擎源码测试；Windows 可构建性及服务依赖需核对</x:v>
      </x:c>
      <x:c r="H475" s="11" t="str">
        <x:v>cmd/object_test.go:167</x:v>
      </x:c>
      <x:c r="I475" s="11" t="str">
        <x:v>https://github.com/juicedata/juicefs/blob/30190ca1094d26e85f19a979ca51b0ea19af1eaa/cmd/object_test.go#L167</x:v>
      </x:c>
      <x:c r="J475" s="11" t="str">
        <x:v>未提升为 Windows 执行项</x:v>
      </x:c>
      <x:c r="K475" s="11" t="str">
        <x:v>见源文件及 CI 条件</x:v>
      </x:c>
      <x:c r="L475" s="11" t="str">
        <x:v>子用例参数与运行时生成序列不计作独立目录项；级别为源码目录初分，未执行项目不能计作通过</x:v>
      </x:c>
    </x:row>
    <x:row r="476" ht="42" customHeight="1">
      <x:c r="A476" s="10" t="str">
        <x:v>UP-1f114688a87f</x:v>
      </x:c>
      <x:c r="B476" s="10" t="str">
        <x:v>L3</x:v>
      </x:c>
      <x:c r="C476" s="10" t="str">
        <x:v>应用与界面兼容</x:v>
      </x:c>
      <x:c r="D476" s="10" t="str">
        <x:v>TestRestore</x:v>
      </x:c>
      <x:c r="E476" s="10" t="str">
        <x:v>Go 测试入口</x:v>
      </x:c>
      <x:c r="F476" s="10" t="str">
        <x:v>待执行</x:v>
      </x:c>
      <x:c r="G476" s="10" t="str">
        <x:v>引擎源码测试；Windows 可构建性及服务依赖需核对</x:v>
      </x:c>
      <x:c r="H476" s="10" t="str">
        <x:v>cmd/restore_test.go:11</x:v>
      </x:c>
      <x:c r="I476" s="10" t="str">
        <x:v>https://github.com/juicedata/juicefs/blob/30190ca1094d26e85f19a979ca51b0ea19af1eaa/cmd/restore_test.go#L11</x:v>
      </x:c>
      <x:c r="J476" s="10" t="str">
        <x:v>未提升为 Windows 执行项</x:v>
      </x:c>
      <x:c r="K476" s="10" t="str">
        <x:v>见源文件及 CI 条件</x:v>
      </x:c>
      <x:c r="L476" s="10" t="str">
        <x:v>子用例参数与运行时生成序列不计作独立目录项；级别为源码目录初分，未执行项目不能计作通过</x:v>
      </x:c>
    </x:row>
    <x:row r="477" ht="42" customHeight="1">
      <x:c r="A477" s="11" t="str">
        <x:v>UP-f03639b3b3a6</x:v>
      </x:c>
      <x:c r="B477" s="11" t="str">
        <x:v>L3</x:v>
      </x:c>
      <x:c r="C477" s="11" t="str">
        <x:v>应用与界面兼容</x:v>
      </x:c>
      <x:c r="D477" s="11" t="str">
        <x:v>TestRestorePutBack</x:v>
      </x:c>
      <x:c r="E477" s="11" t="str">
        <x:v>Go 测试入口</x:v>
      </x:c>
      <x:c r="F477" s="11" t="str">
        <x:v>待执行</x:v>
      </x:c>
      <x:c r="G477" s="11" t="str">
        <x:v>引擎源码测试；Windows 可构建性及服务依赖需核对</x:v>
      </x:c>
      <x:c r="H477" s="11" t="str">
        <x:v>cmd/restore_test.go:58</x:v>
      </x:c>
      <x:c r="I477" s="11" t="str">
        <x:v>https://github.com/juicedata/juicefs/blob/30190ca1094d26e85f19a979ca51b0ea19af1eaa/cmd/restore_test.go#L58</x:v>
      </x:c>
      <x:c r="J477" s="11" t="str">
        <x:v>未提升为 Windows 执行项</x:v>
      </x:c>
      <x:c r="K477" s="11" t="str">
        <x:v>见源文件及 CI 条件</x:v>
      </x:c>
      <x:c r="L477" s="11" t="str">
        <x:v>子用例参数与运行时生成序列不计作独立目录项；级别为源码目录初分，未执行项目不能计作通过</x:v>
      </x:c>
    </x:row>
    <x:row r="478" ht="42" customHeight="1">
      <x:c r="A478" s="10" t="str">
        <x:v>UP-598edb50b7d0</x:v>
      </x:c>
      <x:c r="B478" s="10" t="str">
        <x:v>L3</x:v>
      </x:c>
      <x:c r="C478" s="10" t="str">
        <x:v>应用与界面兼容</x:v>
      </x:c>
      <x:c r="D478" s="10" t="str">
        <x:v>TestRmr</x:v>
      </x:c>
      <x:c r="E478" s="10" t="str">
        <x:v>Go 测试入口</x:v>
      </x:c>
      <x:c r="F478" s="10" t="str">
        <x:v>待执行</x:v>
      </x:c>
      <x:c r="G478" s="10" t="str">
        <x:v>引擎源码测试；Windows 可构建性及服务依赖需核对</x:v>
      </x:c>
      <x:c r="H478" s="10" t="str">
        <x:v>cmd/rmr_test.go:25</x:v>
      </x:c>
      <x:c r="I478" s="10" t="str">
        <x:v>https://github.com/juicedata/juicefs/blob/30190ca1094d26e85f19a979ca51b0ea19af1eaa/cmd/rmr_test.go#L25</x:v>
      </x:c>
      <x:c r="J478" s="10" t="str">
        <x:v>未提升为 Windows 执行项</x:v>
      </x:c>
      <x:c r="K478" s="10" t="str">
        <x:v>见源文件及 CI 条件</x:v>
      </x:c>
      <x:c r="L478" s="10" t="str">
        <x:v>子用例参数与运行时生成序列不计作独立目录项；级别为源码目录初分，未执行项目不能计作通过</x:v>
      </x:c>
    </x:row>
    <x:row r="479" ht="42" customHeight="1">
      <x:c r="A479" s="11" t="str">
        <x:v>UP-67e4b1f9bf90</x:v>
      </x:c>
      <x:c r="B479" s="11" t="str">
        <x:v>L3</x:v>
      </x:c>
      <x:c r="C479" s="11" t="str">
        <x:v>应用与界面兼容</x:v>
      </x:c>
      <x:c r="D479" s="11" t="str">
        <x:v>TestStatus</x:v>
      </x:c>
      <x:c r="E479" s="11" t="str">
        <x:v>Go 测试入口</x:v>
      </x:c>
      <x:c r="F479" s="11" t="str">
        <x:v>待执行</x:v>
      </x:c>
      <x:c r="G479" s="11" t="str">
        <x:v>引擎源码测试；Windows 可构建性及服务依赖需核对</x:v>
      </x:c>
      <x:c r="H479" s="11" t="str">
        <x:v>cmd/status_test.go:28</x:v>
      </x:c>
      <x:c r="I479" s="11" t="str">
        <x:v>https://github.com/juicedata/juicefs/blob/30190ca1094d26e85f19a979ca51b0ea19af1eaa/cmd/status_test.go#L28</x:v>
      </x:c>
      <x:c r="J479" s="11" t="str">
        <x:v>未提升为 Windows 执行项</x:v>
      </x:c>
      <x:c r="K479" s="11" t="str">
        <x:v>见源文件及 CI 条件</x:v>
      </x:c>
      <x:c r="L479" s="11" t="str">
        <x:v>子用例参数与运行时生成序列不计作独立目录项；级别为源码目录初分，未执行项目不能计作通过</x:v>
      </x:c>
    </x:row>
    <x:row r="480" ht="42" customHeight="1">
      <x:c r="A480" s="10" t="str">
        <x:v>UP-55c0cd865a9e</x:v>
      </x:c>
      <x:c r="B480" s="10" t="str">
        <x:v>L2</x:v>
      </x:c>
      <x:c r="C480" s="10" t="str">
        <x:v>网关与后端重试</x:v>
      </x:c>
      <x:c r="D480" s="10" t="str">
        <x:v>TestSync</x:v>
      </x:c>
      <x:c r="E480" s="10" t="str">
        <x:v>Go 测试入口</x:v>
      </x:c>
      <x:c r="F480" s="10" t="str">
        <x:v>待执行</x:v>
      </x:c>
      <x:c r="G480" s="10" t="str">
        <x:v>引擎源码测试；Windows 可构建性及服务依赖需核对</x:v>
      </x:c>
      <x:c r="H480" s="10" t="str">
        <x:v>cmd/sync_test.go:28</x:v>
      </x:c>
      <x:c r="I480" s="10" t="str">
        <x:v>https://github.com/juicedata/juicefs/blob/30190ca1094d26e85f19a979ca51b0ea19af1eaa/cmd/sync_test.go#L28</x:v>
      </x:c>
      <x:c r="J480" s="10" t="str">
        <x:v>未提升为 Windows 执行项</x:v>
      </x:c>
      <x:c r="K480" s="10" t="str">
        <x:v>见源文件及 CI 条件</x:v>
      </x:c>
      <x:c r="L480" s="10" t="str">
        <x:v>子用例参数与运行时生成序列不计作独立目录项；级别为源码目录初分，未执行项目不能计作通过</x:v>
      </x:c>
    </x:row>
    <x:row r="481" ht="42" customHeight="1">
      <x:c r="A481" s="11" t="str">
        <x:v>UP-8e13a0ecd265</x:v>
      </x:c>
      <x:c r="B481" s="11" t="str">
        <x:v>L2</x:v>
      </x:c>
      <x:c r="C481" s="11" t="str">
        <x:v>命名与目录</x:v>
      </x:c>
      <x:c r="D481" s="11" t="str">
        <x:v>Test_isS3PathType</x:v>
      </x:c>
      <x:c r="E481" s="11" t="str">
        <x:v>Go 测试入口</x:v>
      </x:c>
      <x:c r="F481" s="11" t="str">
        <x:v>待执行</x:v>
      </x:c>
      <x:c r="G481" s="11" t="str">
        <x:v>引擎源码测试；Windows 可构建性及服务依赖需核对</x:v>
      </x:c>
      <x:c r="H481" s="11" t="str">
        <x:v>cmd/sync_test.go:66</x:v>
      </x:c>
      <x:c r="I481" s="11" t="str">
        <x:v>https://github.com/juicedata/juicefs/blob/30190ca1094d26e85f19a979ca51b0ea19af1eaa/cmd/sync_test.go#L66</x:v>
      </x:c>
      <x:c r="J481" s="11" t="str">
        <x:v>未提升为 Windows 执行项</x:v>
      </x:c>
      <x:c r="K481" s="11" t="str">
        <x:v>见源文件及 CI 条件</x:v>
      </x:c>
      <x:c r="L481" s="11" t="str">
        <x:v>子用例参数与运行时生成序列不计作独立目录项；级别为源码目录初分，未执行项目不能计作通过</x:v>
      </x:c>
    </x:row>
    <x:row r="482" ht="42" customHeight="1">
      <x:c r="A482" s="10" t="str">
        <x:v>UP-5c821e2b0a88</x:v>
      </x:c>
      <x:c r="B482" s="10" t="str">
        <x:v>L2</x:v>
      </x:c>
      <x:c r="C482" s="10" t="str">
        <x:v>网关与后端重试</x:v>
      </x:c>
      <x:c r="D482" s="10" t="str">
        <x:v>Test_extractToken</x:v>
      </x:c>
      <x:c r="E482" s="10" t="str">
        <x:v>Go 测试入口</x:v>
      </x:c>
      <x:c r="F482" s="10" t="str">
        <x:v>待执行</x:v>
      </x:c>
      <x:c r="G482" s="10" t="str">
        <x:v>引擎源码测试；Windows 可构建性及服务依赖需核对</x:v>
      </x:c>
      <x:c r="H482" s="10" t="str">
        <x:v>cmd/sync_test.go:95</x:v>
      </x:c>
      <x:c r="I482" s="10" t="str">
        <x:v>https://github.com/juicedata/juicefs/blob/30190ca1094d26e85f19a979ca51b0ea19af1eaa/cmd/sync_test.go#L95</x:v>
      </x:c>
      <x:c r="J482" s="10" t="str">
        <x:v>未提升为 Windows 执行项</x:v>
      </x:c>
      <x:c r="K482" s="10" t="str">
        <x:v>见源文件及 CI 条件</x:v>
      </x:c>
      <x:c r="L482" s="10" t="str">
        <x:v>子用例参数与运行时生成序列不计作独立目录项；级别为源码目录初分，未执行项目不能计作通过</x:v>
      </x:c>
    </x:row>
    <x:row r="483" ht="42" customHeight="1">
      <x:c r="A483" s="11" t="str">
        <x:v>UP-05627991bd39</x:v>
      </x:c>
      <x:c r="B483" s="11" t="str">
        <x:v>L2</x:v>
      </x:c>
      <x:c r="C483" s="11" t="str">
        <x:v>缓存与后台上传</x:v>
      </x:c>
      <x:c r="D483" s="11" t="str">
        <x:v>TestWarmup</x:v>
      </x:c>
      <x:c r="E483" s="11" t="str">
        <x:v>Go 测试入口</x:v>
      </x:c>
      <x:c r="F483" s="11" t="str">
        <x:v>待执行</x:v>
      </x:c>
      <x:c r="G483" s="11" t="str">
        <x:v>引擎源码测试；Windows 可构建性及服务依赖需核对</x:v>
      </x:c>
      <x:c r="H483" s="11" t="str">
        <x:v>cmd/warmup_test.go:29</x:v>
      </x:c>
      <x:c r="I483" s="11" t="str">
        <x:v>https://github.com/juicedata/juicefs/blob/30190ca1094d26e85f19a979ca51b0ea19af1eaa/cmd/warmup_test.go#L29</x:v>
      </x:c>
      <x:c r="J483" s="11" t="str">
        <x:v>未提升为 Windows 执行项</x:v>
      </x:c>
      <x:c r="K483" s="11" t="str">
        <x:v>见源文件及 CI 条件</x:v>
      </x:c>
      <x:c r="L483" s="11" t="str">
        <x:v>子用例参数与运行时生成序列不计作独立目录项；级别为源码目录初分，未执行项目不能计作通过</x:v>
      </x:c>
    </x:row>
    <x:row r="484" ht="42" customHeight="1">
      <x:c r="A484" s="10" t="str">
        <x:v>UP-45cb2ed2b1c8</x:v>
      </x:c>
      <x:c r="B484" s="10" t="str">
        <x:v>L2</x:v>
      </x:c>
      <x:c r="C484" s="10" t="str">
        <x:v>应用与界面兼容</x:v>
      </x:c>
      <x:c r="D484" s="10" t="str">
        <x:v>文件入口</x:v>
      </x:c>
      <x:c r="E484" s="10" t="str">
        <x:v>脚本／文件入口</x:v>
      </x:c>
      <x:c r="F484" s="10" t="str">
        <x:v>待执行</x:v>
      </x:c>
      <x:c r="G484" s="10" t="str">
        <x:v>其他平台／集成；根据 workflow 条件选择</x:v>
      </x:c>
      <x:c r="H484" s="10" t="str">
        <x:v>integration/ioctl_test.sh:1</x:v>
      </x:c>
      <x:c r="I484" s="10" t="str">
        <x:v>https://github.com/juicedata/juicefs/blob/30190ca1094d26e85f19a979ca51b0ea19af1eaa/integration/ioctl_test.sh#L1</x:v>
      </x:c>
      <x:c r="J484" s="10" t="str">
        <x:v>未提升为 Windows 执行项</x:v>
      </x:c>
      <x:c r="K484" s="10" t="str">
        <x:v>见源文件及 CI 条件</x:v>
      </x:c>
      <x:c r="L484" s="10" t="str">
        <x:v>无可静态枚举的命名测试函数；保留文件范围，不推定已执行；级别为源码目录初分，未执行项目不能计作通过</x:v>
      </x:c>
    </x:row>
    <x:row r="485" ht="42" customHeight="1">
      <x:c r="A485" s="11" t="str">
        <x:v>UP-7ed34f5e57c0</x:v>
      </x:c>
      <x:c r="B485" s="11" t="str">
        <x:v>L2</x:v>
      </x:c>
      <x:c r="C485" s="11" t="str">
        <x:v>网关与后端重试</x:v>
      </x:c>
      <x:c r="D485" s="11" t="str">
        <x:v>test_create_bucket</x:v>
      </x:c>
      <x:c r="E485" s="11" t="str">
        <x:v>Shell 测试函数</x:v>
      </x:c>
      <x:c r="F485" s="11" t="str">
        <x:v>待执行</x:v>
      </x:c>
      <x:c r="G485" s="11" t="str">
        <x:v>其他平台／集成；根据 workflow 条件选择</x:v>
      </x:c>
      <x:c r="H485" s="11" t="str">
        <x:v>integration/s3gateway_test.sh:175</x:v>
      </x:c>
      <x:c r="I485" s="11" t="str">
        <x:v>https://github.com/juicedata/juicefs/blob/30190ca1094d26e85f19a979ca51b0ea19af1eaa/integration/s3gateway_test.sh#L175</x:v>
      </x:c>
      <x:c r="J485" s="11" t="str">
        <x:v>未提升为 Windows 执行项</x:v>
      </x:c>
      <x:c r="K485" s="11" t="str">
        <x:v>见源文件及 CI 条件</x:v>
      </x:c>
      <x:c r="L485" s="11" t="str">
        <x:v>级别为源码目录初分，未执行项目不能计作通过</x:v>
      </x:c>
    </x:row>
    <x:row r="486" ht="42" customHeight="1">
      <x:c r="A486" s="10" t="str">
        <x:v>UP-75192ef17b8f</x:v>
      </x:c>
      <x:c r="B486" s="10" t="str">
        <x:v>L2</x:v>
      </x:c>
      <x:c r="C486" s="10" t="str">
        <x:v>网关与后端重试</x:v>
      </x:c>
      <x:c r="D486" s="10" t="str">
        <x:v>test_upload_object</x:v>
      </x:c>
      <x:c r="E486" s="10" t="str">
        <x:v>Shell 测试函数</x:v>
      </x:c>
      <x:c r="F486" s="10" t="str">
        <x:v>待执行</x:v>
      </x:c>
      <x:c r="G486" s="10" t="str">
        <x:v>其他平台／集成；根据 workflow 条件选择</x:v>
      </x:c>
      <x:c r="H486" s="10" t="str">
        <x:v>integration/s3gateway_test.sh:217</x:v>
      </x:c>
      <x:c r="I486" s="10" t="str">
        <x:v>https://github.com/juicedata/juicefs/blob/30190ca1094d26e85f19a979ca51b0ea19af1eaa/integration/s3gateway_test.sh#L217</x:v>
      </x:c>
      <x:c r="J486" s="10" t="str">
        <x:v>未提升为 Windows 执行项</x:v>
      </x:c>
      <x:c r="K486" s="10" t="str">
        <x:v>见源文件及 CI 条件</x:v>
      </x:c>
      <x:c r="L486" s="10" t="str">
        <x:v>级别为源码目录初分，未执行项目不能计作通过</x:v>
      </x:c>
    </x:row>
    <x:row r="487" ht="42" customHeight="1">
      <x:c r="A487" s="11" t="str">
        <x:v>UP-5e62c4ed718b</x:v>
      </x:c>
      <x:c r="B487" s="11" t="str">
        <x:v>L2</x:v>
      </x:c>
      <x:c r="C487" s="11" t="str">
        <x:v>网关与后端重试</x:v>
      </x:c>
      <x:c r="D487" s="11" t="str">
        <x:v>test_lookup_object_prefix</x:v>
      </x:c>
      <x:c r="E487" s="11" t="str">
        <x:v>Shell 测试函数</x:v>
      </x:c>
      <x:c r="F487" s="11" t="str">
        <x:v>待执行</x:v>
      </x:c>
      <x:c r="G487" s="11" t="str">
        <x:v>其他平台／集成；根据 workflow 条件选择</x:v>
      </x:c>
      <x:c r="H487" s="11" t="str">
        <x:v>integration/s3gateway_test.sh:273</x:v>
      </x:c>
      <x:c r="I487" s="11" t="str">
        <x:v>https://github.com/juicedata/juicefs/blob/30190ca1094d26e85f19a979ca51b0ea19af1eaa/integration/s3gateway_test.sh#L273</x:v>
      </x:c>
      <x:c r="J487" s="11" t="str">
        <x:v>未提升为 Windows 执行项</x:v>
      </x:c>
      <x:c r="K487" s="11" t="str">
        <x:v>见源文件及 CI 条件</x:v>
      </x:c>
      <x:c r="L487" s="11" t="str">
        <x:v>级别为源码目录初分，未执行项目不能计作通过</x:v>
      </x:c>
    </x:row>
    <x:row r="488" ht="42" customHeight="1">
      <x:c r="A488" s="10" t="str">
        <x:v>UP-b9be0cef588d</x:v>
      </x:c>
      <x:c r="B488" s="10" t="str">
        <x:v>L2</x:v>
      </x:c>
      <x:c r="C488" s="10" t="str">
        <x:v>网关与后端重试</x:v>
      </x:c>
      <x:c r="D488" s="10" t="str">
        <x:v>test_list_objects</x:v>
      </x:c>
      <x:c r="E488" s="10" t="str">
        <x:v>Shell 测试函数</x:v>
      </x:c>
      <x:c r="F488" s="10" t="str">
        <x:v>待执行</x:v>
      </x:c>
      <x:c r="G488" s="10" t="str">
        <x:v>其他平台／集成；根据 workflow 条件选择</x:v>
      </x:c>
      <x:c r="H488" s="10" t="str">
        <x:v>integration/s3gateway_test.sh:359</x:v>
      </x:c>
      <x:c r="I488" s="10" t="str">
        <x:v>https://github.com/juicedata/juicefs/blob/30190ca1094d26e85f19a979ca51b0ea19af1eaa/integration/s3gateway_test.sh#L359</x:v>
      </x:c>
      <x:c r="J488" s="10" t="str">
        <x:v>未提升为 Windows 执行项</x:v>
      </x:c>
      <x:c r="K488" s="10" t="str">
        <x:v>见源文件及 CI 条件</x:v>
      </x:c>
      <x:c r="L488" s="10" t="str">
        <x:v>级别为源码目录初分，未执行项目不能计作通过</x:v>
      </x:c>
    </x:row>
    <x:row r="489" ht="42" customHeight="1">
      <x:c r="A489" s="11" t="str">
        <x:v>UP-18c37ff09af1</x:v>
      </x:c>
      <x:c r="B489" s="11" t="str">
        <x:v>L2</x:v>
      </x:c>
      <x:c r="C489" s="11" t="str">
        <x:v>网关与后端重试</x:v>
      </x:c>
      <x:c r="D489" s="11" t="str">
        <x:v>test_multipart_upload_0byte</x:v>
      </x:c>
      <x:c r="E489" s="11" t="str">
        <x:v>Shell 测试函数</x:v>
      </x:c>
      <x:c r="F489" s="11" t="str">
        <x:v>待执行</x:v>
      </x:c>
      <x:c r="G489" s="11" t="str">
        <x:v>其他平台／集成；根据 workflow 条件选择</x:v>
      </x:c>
      <x:c r="H489" s="11" t="str">
        <x:v>integration/s3gateway_test.sh:568</x:v>
      </x:c>
      <x:c r="I489" s="11" t="str">
        <x:v>https://github.com/juicedata/juicefs/blob/30190ca1094d26e85f19a979ca51b0ea19af1eaa/integration/s3gateway_test.sh#L568</x:v>
      </x:c>
      <x:c r="J489" s="11" t="str">
        <x:v>未提升为 Windows 执行项</x:v>
      </x:c>
      <x:c r="K489" s="11" t="str">
        <x:v>见源文件及 CI 条件</x:v>
      </x:c>
      <x:c r="L489" s="11" t="str">
        <x:v>级别为源码目录初分，未执行项目不能计作通过</x:v>
      </x:c>
    </x:row>
    <x:row r="490" ht="42" customHeight="1">
      <x:c r="A490" s="10" t="str">
        <x:v>UP-ce10ff2edacc</x:v>
      </x:c>
      <x:c r="B490" s="10" t="str">
        <x:v>L2</x:v>
      </x:c>
      <x:c r="C490" s="10" t="str">
        <x:v>网关与后端重试</x:v>
      </x:c>
      <x:c r="D490" s="10" t="str">
        <x:v>test_multipart_upload</x:v>
      </x:c>
      <x:c r="E490" s="10" t="str">
        <x:v>Shell 测试函数</x:v>
      </x:c>
      <x:c r="F490" s="10" t="str">
        <x:v>待执行</x:v>
      </x:c>
      <x:c r="G490" s="10" t="str">
        <x:v>其他平台／集成；根据 workflow 条件选择</x:v>
      </x:c>
      <x:c r="H490" s="10" t="str">
        <x:v>integration/s3gateway_test.sh:666</x:v>
      </x:c>
      <x:c r="I490" s="10" t="str">
        <x:v>https://github.com/juicedata/juicefs/blob/30190ca1094d26e85f19a979ca51b0ea19af1eaa/integration/s3gateway_test.sh#L666</x:v>
      </x:c>
      <x:c r="J490" s="10" t="str">
        <x:v>未提升为 Windows 执行项</x:v>
      </x:c>
      <x:c r="K490" s="10" t="str">
        <x:v>见源文件及 CI 条件</x:v>
      </x:c>
      <x:c r="L490" s="10" t="str">
        <x:v>级别为源码目录初分，未执行项目不能计作通过</x:v>
      </x:c>
    </x:row>
    <x:row r="491" ht="42" customHeight="1">
      <x:c r="A491" s="11" t="str">
        <x:v>UP-164f3de249b3</x:v>
      </x:c>
      <x:c r="B491" s="11" t="str">
        <x:v>L2</x:v>
      </x:c>
      <x:c r="C491" s="11" t="str">
        <x:v>网关与后端重试</x:v>
      </x:c>
      <x:c r="D491" s="11" t="str">
        <x:v>test_max_key_list</x:v>
      </x:c>
      <x:c r="E491" s="11" t="str">
        <x:v>Shell 测试函数</x:v>
      </x:c>
      <x:c r="F491" s="11" t="str">
        <x:v>待执行</x:v>
      </x:c>
      <x:c r="G491" s="11" t="str">
        <x:v>其他平台／集成；根据 workflow 条件选择</x:v>
      </x:c>
      <x:c r="H491" s="11" t="str">
        <x:v>integration/s3gateway_test.sh:840</x:v>
      </x:c>
      <x:c r="I491" s="11" t="str">
        <x:v>https://github.com/juicedata/juicefs/blob/30190ca1094d26e85f19a979ca51b0ea19af1eaa/integration/s3gateway_test.sh#L840</x:v>
      </x:c>
      <x:c r="J491" s="11" t="str">
        <x:v>未提升为 Windows 执行项</x:v>
      </x:c>
      <x:c r="K491" s="11" t="str">
        <x:v>见源文件及 CI 条件</x:v>
      </x:c>
      <x:c r="L491" s="11" t="str">
        <x:v>级别为源码目录初分，未执行项目不能计作通过</x:v>
      </x:c>
    </x:row>
    <x:row r="492" ht="42" customHeight="1">
      <x:c r="A492" s="10" t="str">
        <x:v>UP-a4f2552877fa</x:v>
      </x:c>
      <x:c r="B492" s="10" t="str">
        <x:v>L2</x:v>
      </x:c>
      <x:c r="C492" s="10" t="str">
        <x:v>网关与后端重试</x:v>
      </x:c>
      <x:c r="D492" s="10" t="str">
        <x:v>test_copy_object</x:v>
      </x:c>
      <x:c r="E492" s="10" t="str">
        <x:v>Shell 测试函数</x:v>
      </x:c>
      <x:c r="F492" s="10" t="str">
        <x:v>待执行</x:v>
      </x:c>
      <x:c r="G492" s="10" t="str">
        <x:v>其他平台／集成；根据 workflow 条件选择</x:v>
      </x:c>
      <x:c r="H492" s="10" t="str">
        <x:v>integration/s3gateway_test.sh:897</x:v>
      </x:c>
      <x:c r="I492" s="10" t="str">
        <x:v>https://github.com/juicedata/juicefs/blob/30190ca1094d26e85f19a979ca51b0ea19af1eaa/integration/s3gateway_test.sh#L897</x:v>
      </x:c>
      <x:c r="J492" s="10" t="str">
        <x:v>未提升为 Windows 执行项</x:v>
      </x:c>
      <x:c r="K492" s="10" t="str">
        <x:v>见源文件及 CI 条件</x:v>
      </x:c>
      <x:c r="L492" s="10" t="str">
        <x:v>级别为源码目录初分，未执行项目不能计作通过</x:v>
      </x:c>
    </x:row>
    <x:row r="493" ht="42" customHeight="1">
      <x:c r="A493" s="11" t="str">
        <x:v>UP-0e0388d93a25</x:v>
      </x:c>
      <x:c r="B493" s="11" t="str">
        <x:v>L2</x:v>
      </x:c>
      <x:c r="C493" s="11" t="str">
        <x:v>网关与后端重试</x:v>
      </x:c>
      <x:c r="D493" s="11" t="str">
        <x:v>test_copy_object_storage_class</x:v>
      </x:c>
      <x:c r="E493" s="11" t="str">
        <x:v>Shell 测试函数</x:v>
      </x:c>
      <x:c r="F493" s="11" t="str">
        <x:v>待执行</x:v>
      </x:c>
      <x:c r="G493" s="11" t="str">
        <x:v>其他平台／集成；根据 workflow 条件选择</x:v>
      </x:c>
      <x:c r="H493" s="11" t="str">
        <x:v>integration/s3gateway_test.sh:955</x:v>
      </x:c>
      <x:c r="I493" s="11" t="str">
        <x:v>https://github.com/juicedata/juicefs/blob/30190ca1094d26e85f19a979ca51b0ea19af1eaa/integration/s3gateway_test.sh#L955</x:v>
      </x:c>
      <x:c r="J493" s="11" t="str">
        <x:v>未提升为 Windows 执行项</x:v>
      </x:c>
      <x:c r="K493" s="11" t="str">
        <x:v>见源文件及 CI 条件</x:v>
      </x:c>
      <x:c r="L493" s="11" t="str">
        <x:v>级别为源码目录初分，未执行项目不能计作通过</x:v>
      </x:c>
    </x:row>
    <x:row r="494" ht="42" customHeight="1">
      <x:c r="A494" s="10" t="str">
        <x:v>UP-55261669af86</x:v>
      </x:c>
      <x:c r="B494" s="10" t="str">
        <x:v>L2</x:v>
      </x:c>
      <x:c r="C494" s="10" t="str">
        <x:v>网关与后端重试</x:v>
      </x:c>
      <x:c r="D494" s="10" t="str">
        <x:v>test_copy_object_storage_class_same</x:v>
      </x:c>
      <x:c r="E494" s="10" t="str">
        <x:v>Shell 测试函数</x:v>
      </x:c>
      <x:c r="F494" s="10" t="str">
        <x:v>待执行</x:v>
      </x:c>
      <x:c r="G494" s="10" t="str">
        <x:v>其他平台／集成；根据 workflow 条件选择</x:v>
      </x:c>
      <x:c r="H494" s="10" t="str">
        <x:v>integration/s3gateway_test.sh:1006</x:v>
      </x:c>
      <x:c r="I494" s="10" t="str">
        <x:v>https://github.com/juicedata/juicefs/blob/30190ca1094d26e85f19a979ca51b0ea19af1eaa/integration/s3gateway_test.sh#L1006</x:v>
      </x:c>
      <x:c r="J494" s="10" t="str">
        <x:v>未提升为 Windows 执行项</x:v>
      </x:c>
      <x:c r="K494" s="10" t="str">
        <x:v>见源文件及 CI 条件</x:v>
      </x:c>
      <x:c r="L494" s="10" t="str">
        <x:v>级别为源码目录初分，未执行项目不能计作通过</x:v>
      </x:c>
    </x:row>
    <x:row r="495" ht="42" customHeight="1">
      <x:c r="A495" s="11" t="str">
        <x:v>UP-d79395ba9162</x:v>
      </x:c>
      <x:c r="B495" s="11" t="str">
        <x:v>L2</x:v>
      </x:c>
      <x:c r="C495" s="11" t="str">
        <x:v>网关与后端重试</x:v>
      </x:c>
      <x:c r="D495" s="11" t="str">
        <x:v>test_presigned_object</x:v>
      </x:c>
      <x:c r="E495" s="11" t="str">
        <x:v>Shell 测试函数</x:v>
      </x:c>
      <x:c r="F495" s="11" t="str">
        <x:v>待执行</x:v>
      </x:c>
      <x:c r="G495" s="11" t="str">
        <x:v>其他平台／集成；根据 workflow 条件选择</x:v>
      </x:c>
      <x:c r="H495" s="11" t="str">
        <x:v>integration/s3gateway_test.sh:1058</x:v>
      </x:c>
      <x:c r="I495" s="11" t="str">
        <x:v>https://github.com/juicedata/juicefs/blob/30190ca1094d26e85f19a979ca51b0ea19af1eaa/integration/s3gateway_test.sh#L1058</x:v>
      </x:c>
      <x:c r="J495" s="11" t="str">
        <x:v>未提升为 Windows 执行项</x:v>
      </x:c>
      <x:c r="K495" s="11" t="str">
        <x:v>见源文件及 CI 条件</x:v>
      </x:c>
      <x:c r="L495" s="11" t="str">
        <x:v>级别为源码目录初分，未执行项目不能计作通过</x:v>
      </x:c>
    </x:row>
    <x:row r="496" ht="42" customHeight="1">
      <x:c r="A496" s="10" t="str">
        <x:v>UP-ef3159d275a4</x:v>
      </x:c>
      <x:c r="B496" s="10" t="str">
        <x:v>L2</x:v>
      </x:c>
      <x:c r="C496" s="10" t="str">
        <x:v>网关与后端重试</x:v>
      </x:c>
      <x:c r="D496" s="10" t="str">
        <x:v>test_upload_object_10</x:v>
      </x:c>
      <x:c r="E496" s="10" t="str">
        <x:v>Shell 测试函数</x:v>
      </x:c>
      <x:c r="F496" s="10" t="str">
        <x:v>待执行</x:v>
      </x:c>
      <x:c r="G496" s="10" t="str">
        <x:v>其他平台／集成；根据 workflow 条件选择</x:v>
      </x:c>
      <x:c r="H496" s="10" t="str">
        <x:v>integration/s3gateway_test.sh:1108</x:v>
      </x:c>
      <x:c r="I496" s="10" t="str">
        <x:v>https://github.com/juicedata/juicefs/blob/30190ca1094d26e85f19a979ca51b0ea19af1eaa/integration/s3gateway_test.sh#L1108</x:v>
      </x:c>
      <x:c r="J496" s="10" t="str">
        <x:v>未提升为 Windows 执行项</x:v>
      </x:c>
      <x:c r="K496" s="10" t="str">
        <x:v>见源文件及 CI 条件</x:v>
      </x:c>
      <x:c r="L496" s="10" t="str">
        <x:v>级别为源码目录初分，未执行项目不能计作通过</x:v>
      </x:c>
    </x:row>
    <x:row r="497" ht="42" customHeight="1">
      <x:c r="A497" s="11" t="str">
        <x:v>UP-f5eb7c937376</x:v>
      </x:c>
      <x:c r="B497" s="11" t="str">
        <x:v>L2</x:v>
      </x:c>
      <x:c r="C497" s="11" t="str">
        <x:v>网关与后端重试</x:v>
      </x:c>
      <x:c r="D497" s="11" t="str">
        <x:v>test_multipart_upload_10</x:v>
      </x:c>
      <x:c r="E497" s="11" t="str">
        <x:v>Shell 测试函数</x:v>
      </x:c>
      <x:c r="F497" s="11" t="str">
        <x:v>待执行</x:v>
      </x:c>
      <x:c r="G497" s="11" t="str">
        <x:v>其他平台／集成；根据 workflow 条件选择</x:v>
      </x:c>
      <x:c r="H497" s="11" t="str">
        <x:v>integration/s3gateway_test.sh:1144</x:v>
      </x:c>
      <x:c r="I497" s="11" t="str">
        <x:v>https://github.com/juicedata/juicefs/blob/30190ca1094d26e85f19a979ca51b0ea19af1eaa/integration/s3gateway_test.sh#L1144</x:v>
      </x:c>
      <x:c r="J497" s="11" t="str">
        <x:v>未提升为 Windows 执行项</x:v>
      </x:c>
      <x:c r="K497" s="11" t="str">
        <x:v>见源文件及 CI 条件</x:v>
      </x:c>
      <x:c r="L497" s="11" t="str">
        <x:v>级别为源码目录初分，未执行项目不能计作通过</x:v>
      </x:c>
    </x:row>
    <x:row r="498" ht="42" customHeight="1">
      <x:c r="A498" s="10" t="str">
        <x:v>UP-7aa53a2fd161</x:v>
      </x:c>
      <x:c r="B498" s="10" t="str">
        <x:v>L2</x:v>
      </x:c>
      <x:c r="C498" s="10" t="str">
        <x:v>网关与后端重试</x:v>
      </x:c>
      <x:c r="D498" s="10" t="str">
        <x:v>test_bucket_lifecycle</x:v>
      </x:c>
      <x:c r="E498" s="10" t="str">
        <x:v>Shell 测试函数</x:v>
      </x:c>
      <x:c r="F498" s="10" t="str">
        <x:v>待执行</x:v>
      </x:c>
      <x:c r="G498" s="10" t="str">
        <x:v>其他平台／集成；根据 workflow 条件选择</x:v>
      </x:c>
      <x:c r="H498" s="10" t="str">
        <x:v>integration/s3gateway_test.sh:1224</x:v>
      </x:c>
      <x:c r="I498" s="10" t="str">
        <x:v>https://github.com/juicedata/juicefs/blob/30190ca1094d26e85f19a979ca51b0ea19af1eaa/integration/s3gateway_test.sh#L1224</x:v>
      </x:c>
      <x:c r="J498" s="10" t="str">
        <x:v>未提升为 Windows 执行项</x:v>
      </x:c>
      <x:c r="K498" s="10" t="str">
        <x:v>见源文件及 CI 条件</x:v>
      </x:c>
      <x:c r="L498" s="10" t="str">
        <x:v>级别为源码目录初分，未执行项目不能计作通过</x:v>
      </x:c>
    </x:row>
    <x:row r="499" ht="42" customHeight="1">
      <x:c r="A499" s="11" t="str">
        <x:v>UP-f8483e61ddb0</x:v>
      </x:c>
      <x:c r="B499" s="11" t="str">
        <x:v>L2</x:v>
      </x:c>
      <x:c r="C499" s="11" t="str">
        <x:v>网关与后端重试</x:v>
      </x:c>
      <x:c r="D499" s="11" t="str">
        <x:v>test_aws_s3_cp</x:v>
      </x:c>
      <x:c r="E499" s="11" t="str">
        <x:v>Shell 测试函数</x:v>
      </x:c>
      <x:c r="F499" s="11" t="str">
        <x:v>待执行</x:v>
      </x:c>
      <x:c r="G499" s="11" t="str">
        <x:v>其他平台／集成；根据 workflow 条件选择</x:v>
      </x:c>
      <x:c r="H499" s="11" t="str">
        <x:v>integration/s3gateway_test.sh:1288</x:v>
      </x:c>
      <x:c r="I499" s="11" t="str">
        <x:v>https://github.com/juicedata/juicefs/blob/30190ca1094d26e85f19a979ca51b0ea19af1eaa/integration/s3gateway_test.sh#L1288</x:v>
      </x:c>
      <x:c r="J499" s="11" t="str">
        <x:v>未提升为 Windows 执行项</x:v>
      </x:c>
      <x:c r="K499" s="11" t="str">
        <x:v>见源文件及 CI 条件</x:v>
      </x:c>
      <x:c r="L499" s="11" t="str">
        <x:v>级别为源码目录初分，未执行项目不能计作通过</x:v>
      </x:c>
    </x:row>
    <x:row r="500" ht="42" customHeight="1">
      <x:c r="A500" s="10" t="str">
        <x:v>UP-7e9a13c5ae34</x:v>
      </x:c>
      <x:c r="B500" s="10" t="str">
        <x:v>L2</x:v>
      </x:c>
      <x:c r="C500" s="10" t="str">
        <x:v>网关与后端重试</x:v>
      </x:c>
      <x:c r="D500" s="10" t="str">
        <x:v>test_aws_s3_sync</x:v>
      </x:c>
      <x:c r="E500" s="10" t="str">
        <x:v>Shell 测试函数</x:v>
      </x:c>
      <x:c r="F500" s="10" t="str">
        <x:v>待执行</x:v>
      </x:c>
      <x:c r="G500" s="10" t="str">
        <x:v>其他平台／集成；根据 workflow 条件选择</x:v>
      </x:c>
      <x:c r="H500" s="10" t="str">
        <x:v>integration/s3gateway_test.sh:1334</x:v>
      </x:c>
      <x:c r="I500" s="10" t="str">
        <x:v>https://github.com/juicedata/juicefs/blob/30190ca1094d26e85f19a979ca51b0ea19af1eaa/integration/s3gateway_test.sh#L1334</x:v>
      </x:c>
      <x:c r="J500" s="10" t="str">
        <x:v>未提升为 Windows 执行项</x:v>
      </x:c>
      <x:c r="K500" s="10" t="str">
        <x:v>见源文件及 CI 条件</x:v>
      </x:c>
      <x:c r="L500" s="10" t="str">
        <x:v>级别为源码目录初分，未执行项目不能计作通过</x:v>
      </x:c>
    </x:row>
    <x:row r="501" ht="42" customHeight="1">
      <x:c r="A501" s="11" t="str">
        <x:v>UP-769f277f927e</x:v>
      </x:c>
      <x:c r="B501" s="11" t="str">
        <x:v>L2</x:v>
      </x:c>
      <x:c r="C501" s="11" t="str">
        <x:v>网关与后端重试</x:v>
      </x:c>
      <x:c r="D501" s="11" t="str">
        <x:v>test_list_objects_error</x:v>
      </x:c>
      <x:c r="E501" s="11" t="str">
        <x:v>Shell 测试函数</x:v>
      </x:c>
      <x:c r="F501" s="11" t="str">
        <x:v>待执行</x:v>
      </x:c>
      <x:c r="G501" s="11" t="str">
        <x:v>其他平台／集成；根据 workflow 条件选择</x:v>
      </x:c>
      <x:c r="H501" s="11" t="str">
        <x:v>integration/s3gateway_test.sh:1381</x:v>
      </x:c>
      <x:c r="I501" s="11" t="str">
        <x:v>https://github.com/juicedata/juicefs/blob/30190ca1094d26e85f19a979ca51b0ea19af1eaa/integration/s3gateway_test.sh#L1381</x:v>
      </x:c>
      <x:c r="J501" s="11" t="str">
        <x:v>未提升为 Windows 执行项</x:v>
      </x:c>
      <x:c r="K501" s="11" t="str">
        <x:v>见源文件及 CI 条件</x:v>
      </x:c>
      <x:c r="L501" s="11" t="str">
        <x:v>级别为源码目录初分，未执行项目不能计作通过</x:v>
      </x:c>
    </x:row>
    <x:row r="502" ht="42" customHeight="1">
      <x:c r="A502" s="10" t="str">
        <x:v>UP-88aab8f63e1c</x:v>
      </x:c>
      <x:c r="B502" s="10" t="str">
        <x:v>L2</x:v>
      </x:c>
      <x:c r="C502" s="10" t="str">
        <x:v>网关与后端重试</x:v>
      </x:c>
      <x:c r="D502" s="10" t="str">
        <x:v>test_put_object_error</x:v>
      </x:c>
      <x:c r="E502" s="10" t="str">
        <x:v>Shell 测试函数</x:v>
      </x:c>
      <x:c r="F502" s="10" t="str">
        <x:v>待执行</x:v>
      </x:c>
      <x:c r="G502" s="10" t="str">
        <x:v>其他平台／集成；根据 workflow 条件选择</x:v>
      </x:c>
      <x:c r="H502" s="10" t="str">
        <x:v>integration/s3gateway_test.sh:1452</x:v>
      </x:c>
      <x:c r="I502" s="10" t="str">
        <x:v>https://github.com/juicedata/juicefs/blob/30190ca1094d26e85f19a979ca51b0ea19af1eaa/integration/s3gateway_test.sh#L1452</x:v>
      </x:c>
      <x:c r="J502" s="10" t="str">
        <x:v>未提升为 Windows 执行项</x:v>
      </x:c>
      <x:c r="K502" s="10" t="str">
        <x:v>见源文件及 CI 条件</x:v>
      </x:c>
      <x:c r="L502" s="10" t="str">
        <x:v>级别为源码目录初分，未执行项目不能计作通过</x:v>
      </x:c>
    </x:row>
    <x:row r="503" ht="42" customHeight="1">
      <x:c r="A503" s="11" t="str">
        <x:v>UP-d92c15d3450c</x:v>
      </x:c>
      <x:c r="B503" s="11" t="str">
        <x:v>L2</x:v>
      </x:c>
      <x:c r="C503" s="11" t="str">
        <x:v>网关与后端重试</x:v>
      </x:c>
      <x:c r="D503" s="11" t="str">
        <x:v>test_serverside_encryption</x:v>
      </x:c>
      <x:c r="E503" s="11" t="str">
        <x:v>Shell 测试函数</x:v>
      </x:c>
      <x:c r="F503" s="11" t="str">
        <x:v>待执行</x:v>
      </x:c>
      <x:c r="G503" s="11" t="str">
        <x:v>其他平台／集成；根据 workflow 条件选择</x:v>
      </x:c>
      <x:c r="H503" s="11" t="str">
        <x:v>integration/s3gateway_test.sh:1503</x:v>
      </x:c>
      <x:c r="I503" s="11" t="str">
        <x:v>https://github.com/juicedata/juicefs/blob/30190ca1094d26e85f19a979ca51b0ea19af1eaa/integration/s3gateway_test.sh#L1503</x:v>
      </x:c>
      <x:c r="J503" s="11" t="str">
        <x:v>未提升为 Windows 执行项</x:v>
      </x:c>
      <x:c r="K503" s="11" t="str">
        <x:v>见源文件及 CI 条件</x:v>
      </x:c>
      <x:c r="L503" s="11" t="str">
        <x:v>级别为源码目录初分，未执行项目不能计作通过</x:v>
      </x:c>
    </x:row>
    <x:row r="504" ht="42" customHeight="1">
      <x:c r="A504" s="10" t="str">
        <x:v>UP-7ae187157c3f</x:v>
      </x:c>
      <x:c r="B504" s="10" t="str">
        <x:v>L2</x:v>
      </x:c>
      <x:c r="C504" s="10" t="str">
        <x:v>网关与后端重试</x:v>
      </x:c>
      <x:c r="D504" s="10" t="str">
        <x:v>test_serverside_encryption_multipart</x:v>
      </x:c>
      <x:c r="E504" s="10" t="str">
        <x:v>Shell 测试函数</x:v>
      </x:c>
      <x:c r="F504" s="10" t="str">
        <x:v>待执行</x:v>
      </x:c>
      <x:c r="G504" s="10" t="str">
        <x:v>其他平台／集成；根据 workflow 条件选择</x:v>
      </x:c>
      <x:c r="H504" s="10" t="str">
        <x:v>integration/s3gateway_test.sh:1577</x:v>
      </x:c>
      <x:c r="I504" s="10" t="str">
        <x:v>https://github.com/juicedata/juicefs/blob/30190ca1094d26e85f19a979ca51b0ea19af1eaa/integration/s3gateway_test.sh#L1577</x:v>
      </x:c>
      <x:c r="J504" s="10" t="str">
        <x:v>未提升为 Windows 执行项</x:v>
      </x:c>
      <x:c r="K504" s="10" t="str">
        <x:v>见源文件及 CI 条件</x:v>
      </x:c>
      <x:c r="L504" s="10" t="str">
        <x:v>级别为源码目录初分，未执行项目不能计作通过</x:v>
      </x:c>
    </x:row>
    <x:row r="505" ht="42" customHeight="1">
      <x:c r="A505" s="11" t="str">
        <x:v>UP-26df6630eee7</x:v>
      </x:c>
      <x:c r="B505" s="11" t="str">
        <x:v>L2</x:v>
      </x:c>
      <x:c r="C505" s="11" t="str">
        <x:v>网关与后端重试</x:v>
      </x:c>
      <x:c r="D505" s="11" t="str">
        <x:v>test_serverside_encryption_multipart_copy</x:v>
      </x:c>
      <x:c r="E505" s="11" t="str">
        <x:v>Shell 测试函数</x:v>
      </x:c>
      <x:c r="F505" s="11" t="str">
        <x:v>待执行</x:v>
      </x:c>
      <x:c r="G505" s="11" t="str">
        <x:v>其他平台／集成；根据 workflow 条件选择</x:v>
      </x:c>
      <x:c r="H505" s="11" t="str">
        <x:v>integration/s3gateway_test.sh:1655</x:v>
      </x:c>
      <x:c r="I505" s="11" t="str">
        <x:v>https://github.com/juicedata/juicefs/blob/30190ca1094d26e85f19a979ca51b0ea19af1eaa/integration/s3gateway_test.sh#L1655</x:v>
      </x:c>
      <x:c r="J505" s="11" t="str">
        <x:v>未提升为 Windows 执行项</x:v>
      </x:c>
      <x:c r="K505" s="11" t="str">
        <x:v>见源文件及 CI 条件</x:v>
      </x:c>
      <x:c r="L505" s="11" t="str">
        <x:v>级别为源码目录初分，未执行项目不能计作通过</x:v>
      </x:c>
    </x:row>
    <x:row r="506" ht="42" customHeight="1">
      <x:c r="A506" s="10" t="str">
        <x:v>UP-7b99bef7ab1e</x:v>
      </x:c>
      <x:c r="B506" s="10" t="str">
        <x:v>L2</x:v>
      </x:c>
      <x:c r="C506" s="10" t="str">
        <x:v>网关与后端重试</x:v>
      </x:c>
      <x:c r="D506" s="10" t="str">
        <x:v>test_serverside_encryption_get_range</x:v>
      </x:c>
      <x:c r="E506" s="10" t="str">
        <x:v>Shell 测试函数</x:v>
      </x:c>
      <x:c r="F506" s="10" t="str">
        <x:v>待执行</x:v>
      </x:c>
      <x:c r="G506" s="10" t="str">
        <x:v>其他平台／集成；根据 workflow 条件选择</x:v>
      </x:c>
      <x:c r="H506" s="10" t="str">
        <x:v>integration/s3gateway_test.sh:1742</x:v>
      </x:c>
      <x:c r="I506" s="10" t="str">
        <x:v>https://github.com/juicedata/juicefs/blob/30190ca1094d26e85f19a979ca51b0ea19af1eaa/integration/s3gateway_test.sh#L1742</x:v>
      </x:c>
      <x:c r="J506" s="10" t="str">
        <x:v>未提升为 Windows 执行项</x:v>
      </x:c>
      <x:c r="K506" s="10" t="str">
        <x:v>见源文件及 CI 条件</x:v>
      </x:c>
      <x:c r="L506" s="10" t="str">
        <x:v>级别为源码目录初分，未执行项目不能计作通过</x:v>
      </x:c>
    </x:row>
    <x:row r="507" ht="42" customHeight="1">
      <x:c r="A507" s="11" t="str">
        <x:v>UP-fe17752c8924</x:v>
      </x:c>
      <x:c r="B507" s="11" t="str">
        <x:v>L2</x:v>
      </x:c>
      <x:c r="C507" s="11" t="str">
        <x:v>网关与后端重试</x:v>
      </x:c>
      <x:c r="D507" s="11" t="str">
        <x:v>test_serverside_encryption_error</x:v>
      </x:c>
      <x:c r="E507" s="11" t="str">
        <x:v>Shell 测试函数</x:v>
      </x:c>
      <x:c r="F507" s="11" t="str">
        <x:v>待执行</x:v>
      </x:c>
      <x:c r="G507" s="11" t="str">
        <x:v>其他平台／集成；根据 workflow 条件选择</x:v>
      </x:c>
      <x:c r="H507" s="11" t="str">
        <x:v>integration/s3gateway_test.sh:1787</x:v>
      </x:c>
      <x:c r="I507" s="11" t="str">
        <x:v>https://github.com/juicedata/juicefs/blob/30190ca1094d26e85f19a979ca51b0ea19af1eaa/integration/s3gateway_test.sh#L1787</x:v>
      </x:c>
      <x:c r="J507" s="11" t="str">
        <x:v>未提升为 Windows 执行项</x:v>
      </x:c>
      <x:c r="K507" s="11" t="str">
        <x:v>见源文件及 CI 条件</x:v>
      </x:c>
      <x:c r="L507" s="11" t="str">
        <x:v>级别为源码目录初分，未执行项目不能计作通过</x:v>
      </x:c>
    </x:row>
    <x:row r="508" ht="42" customHeight="1">
      <x:c r="A508" s="10" t="str">
        <x:v>UP-4435c61224e9</x:v>
      </x:c>
      <x:c r="B508" s="10" t="str">
        <x:v>L2</x:v>
      </x:c>
      <x:c r="C508" s="10" t="str">
        <x:v>网关与后端重试</x:v>
      </x:c>
      <x:c r="D508" s="10" t="str">
        <x:v>test_get_object_error</x:v>
      </x:c>
      <x:c r="E508" s="10" t="str">
        <x:v>Shell 测试函数</x:v>
      </x:c>
      <x:c r="F508" s="10" t="str">
        <x:v>待执行</x:v>
      </x:c>
      <x:c r="G508" s="10" t="str">
        <x:v>其他平台／集成；根据 workflow 条件选择</x:v>
      </x:c>
      <x:c r="H508" s="10" t="str">
        <x:v>integration/s3gateway_test.sh:1865</x:v>
      </x:c>
      <x:c r="I508" s="10" t="str">
        <x:v>https://github.com/juicedata/juicefs/blob/30190ca1094d26e85f19a979ca51b0ea19af1eaa/integration/s3gateway_test.sh#L1865</x:v>
      </x:c>
      <x:c r="J508" s="10" t="str">
        <x:v>未提升为 Windows 执行项</x:v>
      </x:c>
      <x:c r="K508" s="10" t="str">
        <x:v>见源文件及 CI 条件</x:v>
      </x:c>
      <x:c r="L508" s="10" t="str">
        <x:v>级别为源码目录初分，未执行项目不能计作通过</x:v>
      </x:c>
    </x:row>
    <x:row r="509" ht="42" customHeight="1">
      <x:c r="A509" s="11" t="str">
        <x:v>UP-07440ba79cb3</x:v>
      </x:c>
      <x:c r="B509" s="11" t="str">
        <x:v>L2</x:v>
      </x:c>
      <x:c r="C509" s="11" t="str">
        <x:v>网关与后端重试</x:v>
      </x:c>
      <x:c r="D509" s="11" t="str">
        <x:v>test_object_tagging</x:v>
      </x:c>
      <x:c r="E509" s="11" t="str">
        <x:v>Shell 测试函数</x:v>
      </x:c>
      <x:c r="F509" s="11" t="str">
        <x:v>待执行</x:v>
      </x:c>
      <x:c r="G509" s="11" t="str">
        <x:v>其他平台／集成；根据 workflow 条件选择</x:v>
      </x:c>
      <x:c r="H509" s="11" t="str">
        <x:v>integration/s3gateway_test.sh:1920</x:v>
      </x:c>
      <x:c r="I509" s="11" t="str">
        <x:v>https://github.com/juicedata/juicefs/blob/30190ca1094d26e85f19a979ca51b0ea19af1eaa/integration/s3gateway_test.sh#L1920</x:v>
      </x:c>
      <x:c r="J509" s="11" t="str">
        <x:v>未提升为 Windows 执行项</x:v>
      </x:c>
      <x:c r="K509" s="11" t="str">
        <x:v>见源文件及 CI 条件</x:v>
      </x:c>
      <x:c r="L509" s="11" t="str">
        <x:v>级别为源码目录初分，未执行项目不能计作通过</x:v>
      </x:c>
    </x:row>
    <x:row r="510" ht="42" customHeight="1">
      <x:c r="A510" s="10" t="str">
        <x:v>UP-3127e9c67dad</x:v>
      </x:c>
      <x:c r="B510" s="10" t="str">
        <x:v>L2</x:v>
      </x:c>
      <x:c r="C510" s="10" t="str">
        <x:v>缓存与后台上传</x:v>
      </x:c>
      <x:c r="D510" s="10" t="str">
        <x:v>TestCache</x:v>
      </x:c>
      <x:c r="E510" s="10" t="str">
        <x:v>Go 测试入口</x:v>
      </x:c>
      <x:c r="F510" s="10" t="str">
        <x:v>待执行</x:v>
      </x:c>
      <x:c r="G510" s="10" t="str">
        <x:v>引擎源码测试；Windows 可构建性及服务依赖需核对</x:v>
      </x:c>
      <x:c r="H510" s="10" t="str">
        <x:v>pkg/acl/cache_test.go:25</x:v>
      </x:c>
      <x:c r="I510" s="10" t="str">
        <x:v>https://github.com/juicedata/juicefs/blob/30190ca1094d26e85f19a979ca51b0ea19af1eaa/pkg/acl/cache_test.go#L25</x:v>
      </x:c>
      <x:c r="J510" s="10" t="str">
        <x:v>未提升为 Windows 执行项</x:v>
      </x:c>
      <x:c r="K510" s="10" t="str">
        <x:v>见源文件及 CI 条件</x:v>
      </x:c>
      <x:c r="L510" s="10" t="str">
        <x:v>子用例参数与运行时生成序列不计作独立目录项；级别为源码目录初分，未执行项目不能计作通过</x:v>
      </x:c>
    </x:row>
    <x:row r="511" ht="42" customHeight="1">
      <x:c r="A511" s="11" t="str">
        <x:v>UP-30852362081b</x:v>
      </x:c>
      <x:c r="B511" s="11" t="str">
        <x:v>L2</x:v>
      </x:c>
      <x:c r="C511" s="11" t="str">
        <x:v>缓存与后台上传</x:v>
      </x:c>
      <x:c r="D511" s="11" t="str">
        <x:v>testStore</x:v>
      </x:c>
      <x:c r="E511" s="11" t="str">
        <x:v>Go 子场景</x:v>
      </x:c>
      <x:c r="F511" s="11" t="str">
        <x:v>待执行</x:v>
      </x:c>
      <x:c r="G511" s="11" t="str">
        <x:v>引擎源码测试；Windows 可构建性及服务依赖需核对</x:v>
      </x:c>
      <x:c r="H511" s="11" t="str">
        <x:v>pkg/chunk/cached_store_test.go:45</x:v>
      </x:c>
      <x:c r="I511" s="11" t="str">
        <x:v>https://github.com/juicedata/juicefs/blob/30190ca1094d26e85f19a979ca51b0ea19af1eaa/pkg/chunk/cached_store_test.go#L45</x:v>
      </x:c>
      <x:c r="J511" s="11" t="str">
        <x:v>未提升为 Windows 执行项</x:v>
      </x:c>
      <x:c r="K511" s="11" t="str">
        <x:v>见源文件及 CI 条件</x:v>
      </x:c>
      <x:c r="L511" s="11" t="str">
        <x:v>子用例参数与运行时生成序列不计作独立目录项；级别为源码目录初分，未执行项目不能计作通过</x:v>
      </x:c>
    </x:row>
    <x:row r="512" ht="42" customHeight="1">
      <x:c r="A512" s="10" t="str">
        <x:v>UP-30f0ea3defb3</x:v>
      </x:c>
      <x:c r="B512" s="10" t="str">
        <x:v>L2</x:v>
      </x:c>
      <x:c r="C512" s="10" t="str">
        <x:v>缓存与后台上传</x:v>
      </x:c>
      <x:c r="D512" s="10" t="str">
        <x:v>TestStoreDefault</x:v>
      </x:c>
      <x:c r="E512" s="10" t="str">
        <x:v>Go 测试入口</x:v>
      </x:c>
      <x:c r="F512" s="10" t="str">
        <x:v>待执行</x:v>
      </x:c>
      <x:c r="G512" s="10" t="str">
        <x:v>引擎源码测试；Windows 可构建性及服务依赖需核对</x:v>
      </x:c>
      <x:c r="H512" s="10" t="str">
        <x:v>pkg/chunk/cached_store_test.go:118</x:v>
      </x:c>
      <x:c r="I512" s="10" t="str">
        <x:v>https://github.com/juicedata/juicefs/blob/30190ca1094d26e85f19a979ca51b0ea19af1eaa/pkg/chunk/cached_store_test.go#L118</x:v>
      </x:c>
      <x:c r="J512" s="10" t="str">
        <x:v>未提升为 Windows 执行项</x:v>
      </x:c>
      <x:c r="K512" s="10" t="str">
        <x:v>见源文件及 CI 条件</x:v>
      </x:c>
      <x:c r="L512" s="10" t="str">
        <x:v>子用例参数与运行时生成序列不计作独立目录项；级别为源码目录初分，未执行项目不能计作通过</x:v>
      </x:c>
    </x:row>
    <x:row r="513" ht="42" customHeight="1">
      <x:c r="A513" s="11" t="str">
        <x:v>UP-72e21197606a</x:v>
      </x:c>
      <x:c r="B513" s="11" t="str">
        <x:v>L2</x:v>
      </x:c>
      <x:c r="C513" s="11" t="str">
        <x:v>缓存与后台上传</x:v>
      </x:c>
      <x:c r="D513" s="11" t="str">
        <x:v>TestStoreMemCache</x:v>
      </x:c>
      <x:c r="E513" s="11" t="str">
        <x:v>Go 测试入口</x:v>
      </x:c>
      <x:c r="F513" s="11" t="str">
        <x:v>待执行</x:v>
      </x:c>
      <x:c r="G513" s="11" t="str">
        <x:v>引擎源码测试；Windows 可构建性及服务依赖需核对</x:v>
      </x:c>
      <x:c r="H513" s="11" t="str">
        <x:v>pkg/chunk/cached_store_test.go:131</x:v>
      </x:c>
      <x:c r="I513" s="11" t="str">
        <x:v>https://github.com/juicedata/juicefs/blob/30190ca1094d26e85f19a979ca51b0ea19af1eaa/pkg/chunk/cached_store_test.go#L131</x:v>
      </x:c>
      <x:c r="J513" s="11" t="str">
        <x:v>未提升为 Windows 执行项</x:v>
      </x:c>
      <x:c r="K513" s="11" t="str">
        <x:v>见源文件及 CI 条件</x:v>
      </x:c>
      <x:c r="L513" s="11" t="str">
        <x:v>子用例参数与运行时生成序列不计作独立目录项；级别为源码目录初分，未执行项目不能计作通过</x:v>
      </x:c>
    </x:row>
    <x:row r="514" ht="42" customHeight="1">
      <x:c r="A514" s="10" t="str">
        <x:v>UP-27c630fde01a</x:v>
      </x:c>
      <x:c r="B514" s="10" t="str">
        <x:v>L2</x:v>
      </x:c>
      <x:c r="C514" s="10" t="str">
        <x:v>缓存与后台上传</x:v>
      </x:c>
      <x:c r="D514" s="10" t="str">
        <x:v>TestStoreCompressed</x:v>
      </x:c>
      <x:c r="E514" s="10" t="str">
        <x:v>Go 测试入口</x:v>
      </x:c>
      <x:c r="F514" s="10" t="str">
        <x:v>待执行</x:v>
      </x:c>
      <x:c r="G514" s="10" t="str">
        <x:v>引擎源码测试；Windows 可构建性及服务依赖需核对</x:v>
      </x:c>
      <x:c r="H514" s="10" t="str">
        <x:v>pkg/chunk/cached_store_test.go:144</x:v>
      </x:c>
      <x:c r="I514" s="10" t="str">
        <x:v>https://github.com/juicedata/juicefs/blob/30190ca1094d26e85f19a979ca51b0ea19af1eaa/pkg/chunk/cached_store_test.go#L144</x:v>
      </x:c>
      <x:c r="J514" s="10" t="str">
        <x:v>未提升为 Windows 执行项</x:v>
      </x:c>
      <x:c r="K514" s="10" t="str">
        <x:v>见源文件及 CI 条件</x:v>
      </x:c>
      <x:c r="L514" s="10" t="str">
        <x:v>子用例参数与运行时生成序列不计作独立目录项；级别为源码目录初分，未执行项目不能计作通过</x:v>
      </x:c>
    </x:row>
    <x:row r="515" ht="42" customHeight="1">
      <x:c r="A515" s="11" t="str">
        <x:v>UP-af97b890968f</x:v>
      </x:c>
      <x:c r="B515" s="11" t="str">
        <x:v>L2</x:v>
      </x:c>
      <x:c r="C515" s="11" t="str">
        <x:v>缓存与后台上传</x:v>
      </x:c>
      <x:c r="D515" s="11" t="str">
        <x:v>TestStoreLimited</x:v>
      </x:c>
      <x:c r="E515" s="11" t="str">
        <x:v>Go 测试入口</x:v>
      </x:c>
      <x:c r="F515" s="11" t="str">
        <x:v>待执行</x:v>
      </x:c>
      <x:c r="G515" s="11" t="str">
        <x:v>引擎源码测试；Windows 可构建性及服务依赖需核对</x:v>
      </x:c>
      <x:c r="H515" s="11" t="str">
        <x:v>pkg/chunk/cached_store_test.go:153</x:v>
      </x:c>
      <x:c r="I515" s="11" t="str">
        <x:v>https://github.com/juicedata/juicefs/blob/30190ca1094d26e85f19a979ca51b0ea19af1eaa/pkg/chunk/cached_store_test.go#L153</x:v>
      </x:c>
      <x:c r="J515" s="11" t="str">
        <x:v>未提升为 Windows 执行项</x:v>
      </x:c>
      <x:c r="K515" s="11" t="str">
        <x:v>见源文件及 CI 条件</x:v>
      </x:c>
      <x:c r="L515" s="11" t="str">
        <x:v>子用例参数与运行时生成序列不计作独立目录项；级别为源码目录初分，未执行项目不能计作通过</x:v>
      </x:c>
    </x:row>
    <x:row r="516" ht="42" customHeight="1">
      <x:c r="A516" s="10" t="str">
        <x:v>UP-4f4d2059519b</x:v>
      </x:c>
      <x:c r="B516" s="10" t="str">
        <x:v>L2</x:v>
      </x:c>
      <x:c r="C516" s="10" t="str">
        <x:v>缓存与后台上传</x:v>
      </x:c>
      <x:c r="D516" s="10" t="str">
        <x:v>TestStoreFull</x:v>
      </x:c>
      <x:c r="E516" s="10" t="str">
        <x:v>Go 测试入口</x:v>
      </x:c>
      <x:c r="F516" s="10" t="str">
        <x:v>待执行</x:v>
      </x:c>
      <x:c r="G516" s="10" t="str">
        <x:v>引擎源码测试；Windows 可构建性及服务依赖需核对</x:v>
      </x:c>
      <x:c r="H516" s="10" t="str">
        <x:v>pkg/chunk/cached_store_test.go:162</x:v>
      </x:c>
      <x:c r="I516" s="10" t="str">
        <x:v>https://github.com/juicedata/juicefs/blob/30190ca1094d26e85f19a979ca51b0ea19af1eaa/pkg/chunk/cached_store_test.go#L162</x:v>
      </x:c>
      <x:c r="J516" s="10" t="str">
        <x:v>未提升为 Windows 执行项</x:v>
      </x:c>
      <x:c r="K516" s="10" t="str">
        <x:v>见源文件及 CI 条件</x:v>
      </x:c>
      <x:c r="L516" s="10" t="str">
        <x:v>子用例参数与运行时生成序列不计作独立目录项；级别为源码目录初分，未执行项目不能计作通过</x:v>
      </x:c>
    </x:row>
    <x:row r="517" ht="42" customHeight="1">
      <x:c r="A517" s="11" t="str">
        <x:v>UP-5c75a25f3372</x:v>
      </x:c>
      <x:c r="B517" s="11" t="str">
        <x:v>L2</x:v>
      </x:c>
      <x:c r="C517" s="11" t="str">
        <x:v>缓存与后台上传</x:v>
      </x:c>
      <x:c r="D517" s="11" t="str">
        <x:v>TestStoreSmallBuffer</x:v>
      </x:c>
      <x:c r="E517" s="11" t="str">
        <x:v>Go 测试入口</x:v>
      </x:c>
      <x:c r="F517" s="11" t="str">
        <x:v>待执行</x:v>
      </x:c>
      <x:c r="G517" s="11" t="str">
        <x:v>引擎源码测试；Windows 可构建性及服务依赖需核对</x:v>
      </x:c>
      <x:c r="H517" s="11" t="str">
        <x:v>pkg/chunk/cached_store_test.go:170</x:v>
      </x:c>
      <x:c r="I517" s="11" t="str">
        <x:v>https://github.com/juicedata/juicefs/blob/30190ca1094d26e85f19a979ca51b0ea19af1eaa/pkg/chunk/cached_store_test.go#L170</x:v>
      </x:c>
      <x:c r="J517" s="11" t="str">
        <x:v>未提升为 Windows 执行项</x:v>
      </x:c>
      <x:c r="K517" s="11" t="str">
        <x:v>见源文件及 CI 条件</x:v>
      </x:c>
      <x:c r="L517" s="11" t="str">
        <x:v>子用例参数与运行时生成序列不计作独立目录项；级别为源码目录初分，未执行项目不能计作通过</x:v>
      </x:c>
    </x:row>
    <x:row r="518" ht="42" customHeight="1">
      <x:c r="A518" s="10" t="str">
        <x:v>UP-f1844ed5e0fb</x:v>
      </x:c>
      <x:c r="B518" s="10" t="str">
        <x:v>L2</x:v>
      </x:c>
      <x:c r="C518" s="10" t="str">
        <x:v>缓存与后台上传</x:v>
      </x:c>
      <x:c r="D518" s="10" t="str">
        <x:v>TestStoreAsync</x:v>
      </x:c>
      <x:c r="E518" s="10" t="str">
        <x:v>Go 测试入口</x:v>
      </x:c>
      <x:c r="F518" s="10" t="str">
        <x:v>待执行</x:v>
      </x:c>
      <x:c r="G518" s="10" t="str">
        <x:v>引擎源码测试；Windows 可构建性及服务依赖需核对</x:v>
      </x:c>
      <x:c r="H518" s="10" t="str">
        <x:v>pkg/chunk/cached_store_test.go:178</x:v>
      </x:c>
      <x:c r="I518" s="10" t="str">
        <x:v>https://github.com/juicedata/juicefs/blob/30190ca1094d26e85f19a979ca51b0ea19af1eaa/pkg/chunk/cached_store_test.go#L178</x:v>
      </x:c>
      <x:c r="J518" s="10" t="str">
        <x:v>未提升为 Windows 执行项</x:v>
      </x:c>
      <x:c r="K518" s="10" t="str">
        <x:v>见源文件及 CI 条件</x:v>
      </x:c>
      <x:c r="L518" s="10" t="str">
        <x:v>子用例参数与运行时生成序列不计作独立目录项；级别为源码目录初分，未执行项目不能计作通过</x:v>
      </x:c>
    </x:row>
    <x:row r="519" ht="42" customHeight="1">
      <x:c r="A519" s="11" t="str">
        <x:v>UP-26aa1f294d16</x:v>
      </x:c>
      <x:c r="B519" s="11" t="str">
        <x:v>L2</x:v>
      </x:c>
      <x:c r="C519" s="11" t="str">
        <x:v>缓存与后台上传</x:v>
      </x:c>
      <x:c r="D519" s="11" t="str">
        <x:v>TestForceUpload</x:v>
      </x:c>
      <x:c r="E519" s="11" t="str">
        <x:v>Go 测试入口</x:v>
      </x:c>
      <x:c r="F519" s="11" t="str">
        <x:v>待执行</x:v>
      </x:c>
      <x:c r="G519" s="11" t="str">
        <x:v>引擎源码测试；Windows 可构建性及服务依赖需核对</x:v>
      </x:c>
      <x:c r="H519" s="11" t="str">
        <x:v>pkg/chunk/cached_store_test.go:200</x:v>
      </x:c>
      <x:c r="I519" s="11" t="str">
        <x:v>https://github.com/juicedata/juicefs/blob/30190ca1094d26e85f19a979ca51b0ea19af1eaa/pkg/chunk/cached_store_test.go#L200</x:v>
      </x:c>
      <x:c r="J519" s="11" t="str">
        <x:v>未提升为 Windows 执行项</x:v>
      </x:c>
      <x:c r="K519" s="11" t="str">
        <x:v>见源文件及 CI 条件</x:v>
      </x:c>
      <x:c r="L519" s="11" t="str">
        <x:v>子用例参数与运行时生成序列不计作独立目录项；级别为源码目录初分，未执行项目不能计作通过</x:v>
      </x:c>
    </x:row>
    <x:row r="520" ht="42" customHeight="1">
      <x:c r="A520" s="10" t="str">
        <x:v>UP-f8a8a6106265</x:v>
      </x:c>
      <x:c r="B520" s="10" t="str">
        <x:v>L2</x:v>
      </x:c>
      <x:c r="C520" s="10" t="str">
        <x:v>缓存与后台上传</x:v>
      </x:c>
      <x:c r="D520" s="10" t="str">
        <x:v>TestStoreDelayed</x:v>
      </x:c>
      <x:c r="E520" s="10" t="str">
        <x:v>Go 测试入口</x:v>
      </x:c>
      <x:c r="F520" s="10" t="str">
        <x:v>待执行</x:v>
      </x:c>
      <x:c r="G520" s="10" t="str">
        <x:v>引擎源码测试；Windows 可构建性及服务依赖需核对</x:v>
      </x:c>
      <x:c r="H520" s="10" t="str">
        <x:v>pkg/chunk/cached_store_test.go:250</x:v>
      </x:c>
      <x:c r="I520" s="10" t="str">
        <x:v>https://github.com/juicedata/juicefs/blob/30190ca1094d26e85f19a979ca51b0ea19af1eaa/pkg/chunk/cached_store_test.go#L250</x:v>
      </x:c>
      <x:c r="J520" s="10" t="str">
        <x:v>未提升为 Windows 执行项</x:v>
      </x:c>
      <x:c r="K520" s="10" t="str">
        <x:v>见源文件及 CI 条件</x:v>
      </x:c>
      <x:c r="L520" s="10" t="str">
        <x:v>子用例参数与运行时生成序列不计作独立目录项；级别为源码目录初分，未执行项目不能计作通过</x:v>
      </x:c>
    </x:row>
    <x:row r="521" ht="42" customHeight="1">
      <x:c r="A521" s="11" t="str">
        <x:v>UP-3005c087ae3b</x:v>
      </x:c>
      <x:c r="B521" s="11" t="str">
        <x:v>L2</x:v>
      </x:c>
      <x:c r="C521" s="11" t="str">
        <x:v>缓存与后台上传</x:v>
      </x:c>
      <x:c r="D521" s="11" t="str">
        <x:v>TestStoreMultiBuckets</x:v>
      </x:c>
      <x:c r="E521" s="11" t="str">
        <x:v>Go 测试入口</x:v>
      </x:c>
      <x:c r="F521" s="11" t="str">
        <x:v>待执行</x:v>
      </x:c>
      <x:c r="G521" s="11" t="str">
        <x:v>引擎源码测试；Windows 可构建性及服务依赖需核对</x:v>
      </x:c>
      <x:c r="H521" s="11" t="str">
        <x:v>pkg/chunk/cached_store_test.go:268</x:v>
      </x:c>
      <x:c r="I521" s="11" t="str">
        <x:v>https://github.com/juicedata/juicefs/blob/30190ca1094d26e85f19a979ca51b0ea19af1eaa/pkg/chunk/cached_store_test.go#L268</x:v>
      </x:c>
      <x:c r="J521" s="11" t="str">
        <x:v>未提升为 Windows 执行项</x:v>
      </x:c>
      <x:c r="K521" s="11" t="str">
        <x:v>见源文件及 CI 条件</x:v>
      </x:c>
      <x:c r="L521" s="11" t="str">
        <x:v>子用例参数与运行时生成序列不计作独立目录项；级别为源码目录初分，未执行项目不能计作通过</x:v>
      </x:c>
    </x:row>
    <x:row r="522" ht="42" customHeight="1">
      <x:c r="A522" s="10" t="str">
        <x:v>UP-5598f4e99249</x:v>
      </x:c>
      <x:c r="B522" s="10" t="str">
        <x:v>L2</x:v>
      </x:c>
      <x:c r="C522" s="10" t="str">
        <x:v>缓存与后台上传</x:v>
      </x:c>
      <x:c r="D522" s="10" t="str">
        <x:v>TestFillCache</x:v>
      </x:c>
      <x:c r="E522" s="10" t="str">
        <x:v>Go 测试入口</x:v>
      </x:c>
      <x:c r="F522" s="10" t="str">
        <x:v>待执行</x:v>
      </x:c>
      <x:c r="G522" s="10" t="str">
        <x:v>引擎源码测试；Windows 可构建性及服务依赖需核对</x:v>
      </x:c>
      <x:c r="H522" s="10" t="str">
        <x:v>pkg/chunk/cached_store_test.go:276</x:v>
      </x:c>
      <x:c r="I522" s="10" t="str">
        <x:v>https://github.com/juicedata/juicefs/blob/30190ca1094d26e85f19a979ca51b0ea19af1eaa/pkg/chunk/cached_store_test.go#L276</x:v>
      </x:c>
      <x:c r="J522" s="10" t="str">
        <x:v>未提升为 Windows 执行项</x:v>
      </x:c>
      <x:c r="K522" s="10" t="str">
        <x:v>见源文件及 CI 条件</x:v>
      </x:c>
      <x:c r="L522" s="10" t="str">
        <x:v>子用例参数与运行时生成序列不计作独立目录项；级别为源码目录初分，未执行项目不能计作通过</x:v>
      </x:c>
    </x:row>
    <x:row r="523" ht="42" customHeight="1">
      <x:c r="A523" s="11" t="str">
        <x:v>UP-60b8351576ff</x:v>
      </x:c>
      <x:c r="B523" s="11" t="str">
        <x:v>L4</x:v>
      </x:c>
      <x:c r="C523" s="11" t="str">
        <x:v>缓存与后台上传</x:v>
      </x:c>
      <x:c r="D523" s="11" t="str">
        <x:v>BenchmarkCachedRead</x:v>
      </x:c>
      <x:c r="E523" s="11" t="str">
        <x:v>Go 性能基准</x:v>
      </x:c>
      <x:c r="F523" s="11" t="str">
        <x:v>待执行</x:v>
      </x:c>
      <x:c r="G523" s="11" t="str">
        <x:v>引擎源码测试；Windows 可构建性及服务依赖需核对</x:v>
      </x:c>
      <x:c r="H523" s="11" t="str">
        <x:v>pkg/chunk/cached_store_test.go:342</x:v>
      </x:c>
      <x:c r="I523" s="11" t="str">
        <x:v>https://github.com/juicedata/juicefs/blob/30190ca1094d26e85f19a979ca51b0ea19af1eaa/pkg/chunk/cached_store_test.go#L342</x:v>
      </x:c>
      <x:c r="J523" s="11" t="str">
        <x:v>未提升为 Windows 执行项</x:v>
      </x:c>
      <x:c r="K523" s="11" t="str">
        <x:v>见源文件及 CI 条件</x:v>
      </x:c>
      <x:c r="L523" s="11" t="str">
        <x:v>子用例参数与运行时生成序列不计作独立目录项；级别为源码目录初分，未执行项目不能计作通过</x:v>
      </x:c>
    </x:row>
    <x:row r="524" ht="42" customHeight="1">
      <x:c r="A524" s="10" t="str">
        <x:v>UP-7ca2df5e539e</x:v>
      </x:c>
      <x:c r="B524" s="10" t="str">
        <x:v>L4</x:v>
      </x:c>
      <x:c r="C524" s="10" t="str">
        <x:v>缓存与后台上传</x:v>
      </x:c>
      <x:c r="D524" s="10" t="str">
        <x:v>BenchmarkUncachedRead</x:v>
      </x:c>
      <x:c r="E524" s="10" t="str">
        <x:v>Go 性能基准</x:v>
      </x:c>
      <x:c r="F524" s="10" t="str">
        <x:v>待执行</x:v>
      </x:c>
      <x:c r="G524" s="10" t="str">
        <x:v>引擎源码测试；Windows 可构建性及服务依赖需核对</x:v>
      </x:c>
      <x:c r="H524" s="10" t="str">
        <x:v>pkg/chunk/cached_store_test.go:365</x:v>
      </x:c>
      <x:c r="I524" s="10" t="str">
        <x:v>https://github.com/juicedata/juicefs/blob/30190ca1094d26e85f19a979ca51b0ea19af1eaa/pkg/chunk/cached_store_test.go#L365</x:v>
      </x:c>
      <x:c r="J524" s="10" t="str">
        <x:v>未提升为 Windows 执行项</x:v>
      </x:c>
      <x:c r="K524" s="10" t="str">
        <x:v>见源文件及 CI 条件</x:v>
      </x:c>
      <x:c r="L524" s="10" t="str">
        <x:v>子用例参数与运行时生成序列不计作独立目录项；级别为源码目录初分，未执行项目不能计作通过</x:v>
      </x:c>
    </x:row>
    <x:row r="525" ht="42" customHeight="1">
      <x:c r="A525" s="11" t="str">
        <x:v>UP-0a30063c45ac</x:v>
      </x:c>
      <x:c r="B525" s="11" t="str">
        <x:v>L2</x:v>
      </x:c>
      <x:c r="C525" s="11" t="str">
        <x:v>缓存与后台上传</x:v>
      </x:c>
      <x:c r="D525" s="11" t="str">
        <x:v>TestStoreRetry</x:v>
      </x:c>
      <x:c r="E525" s="11" t="str">
        <x:v>Go 测试入口</x:v>
      </x:c>
      <x:c r="F525" s="11" t="str">
        <x:v>待执行</x:v>
      </x:c>
      <x:c r="G525" s="11" t="str">
        <x:v>引擎源码测试；Windows 可构建性及服务依赖需核对</x:v>
      </x:c>
      <x:c r="H525" s="11" t="str">
        <x:v>pkg/chunk/cached_store_test.go:398</x:v>
      </x:c>
      <x:c r="I525" s="11" t="str">
        <x:v>https://github.com/juicedata/juicefs/blob/30190ca1094d26e85f19a979ca51b0ea19af1eaa/pkg/chunk/cached_store_test.go#L398</x:v>
      </x:c>
      <x:c r="J525" s="11" t="str">
        <x:v>未提升为 Windows 执行项</x:v>
      </x:c>
      <x:c r="K525" s="11" t="str">
        <x:v>见源文件及 CI 条件</x:v>
      </x:c>
      <x:c r="L525" s="11" t="str">
        <x:v>子用例参数与运行时生成序列不计作独立目录项；级别为源码目录初分，未执行项目不能计作通过</x:v>
      </x:c>
    </x:row>
    <x:row r="526" ht="42" customHeight="1">
      <x:c r="A526" s="10" t="str">
        <x:v>UP-77c95aa321d0</x:v>
      </x:c>
      <x:c r="B526" s="10" t="str">
        <x:v>L2</x:v>
      </x:c>
      <x:c r="C526" s="10" t="str">
        <x:v>缓存与后台上传</x:v>
      </x:c>
      <x:c r="D526" s="10" t="str">
        <x:v>testDiskCacheState</x:v>
      </x:c>
      <x:c r="E526" s="10" t="str">
        <x:v>Go 子场景</x:v>
      </x:c>
      <x:c r="F526" s="10" t="str">
        <x:v>待执行</x:v>
      </x:c>
      <x:c r="G526" s="10" t="str">
        <x:v>引擎源码测试；Windows 可构建性及服务依赖需核对</x:v>
      </x:c>
      <x:c r="H526" s="10" t="str">
        <x:v>pkg/chunk/disk_cache_state_test.go:38</x:v>
      </x:c>
      <x:c r="I526" s="10" t="str">
        <x:v>https://github.com/juicedata/juicefs/blob/30190ca1094d26e85f19a979ca51b0ea19af1eaa/pkg/chunk/disk_cache_state_test.go#L38</x:v>
      </x:c>
      <x:c r="J526" s="10" t="str">
        <x:v>未提升为 Windows 执行项</x:v>
      </x:c>
      <x:c r="K526" s="10" t="str">
        <x:v>见源文件及 CI 条件</x:v>
      </x:c>
      <x:c r="L526" s="10" t="str">
        <x:v>子用例参数与运行时生成序列不计作独立目录项；级别为源码目录初分，未执行项目不能计作通过</x:v>
      </x:c>
    </x:row>
    <x:row r="527" ht="42" customHeight="1">
      <x:c r="A527" s="11" t="str">
        <x:v>UP-3c01bb43ea00</x:v>
      </x:c>
      <x:c r="B527" s="11" t="str">
        <x:v>L2</x:v>
      </x:c>
      <x:c r="C527" s="11" t="str">
        <x:v>缓存与后台上传</x:v>
      </x:c>
      <x:c r="D527" s="11" t="str">
        <x:v>TestDiskCacheState</x:v>
      </x:c>
      <x:c r="E527" s="11" t="str">
        <x:v>Go 测试入口</x:v>
      </x:c>
      <x:c r="F527" s="11" t="str">
        <x:v>待执行</x:v>
      </x:c>
      <x:c r="G527" s="11" t="str">
        <x:v>引擎源码测试；Windows 可构建性及服务依赖需核对</x:v>
      </x:c>
      <x:c r="H527" s="11" t="str">
        <x:v>pkg/chunk/disk_cache_state_test.go:115</x:v>
      </x:c>
      <x:c r="I527" s="11" t="str">
        <x:v>https://github.com/juicedata/juicefs/blob/30190ca1094d26e85f19a979ca51b0ea19af1eaa/pkg/chunk/disk_cache_state_test.go#L115</x:v>
      </x:c>
      <x:c r="J527" s="11" t="str">
        <x:v>未提升为 Windows 执行项</x:v>
      </x:c>
      <x:c r="K527" s="11" t="str">
        <x:v>见源文件及 CI 条件</x:v>
      </x:c>
      <x:c r="L527" s="11" t="str">
        <x:v>子用例参数与运行时生成序列不计作独立目录项；级别为源码目录初分，未执行项目不能计作通过</x:v>
      </x:c>
    </x:row>
    <x:row r="528" ht="42" customHeight="1">
      <x:c r="A528" s="10" t="str">
        <x:v>UP-cb1966ac550d</x:v>
      </x:c>
      <x:c r="B528" s="10" t="str">
        <x:v>L2</x:v>
      </x:c>
      <x:c r="C528" s="10" t="str">
        <x:v>缓存与后台上传</x:v>
      </x:c>
      <x:c r="D528" s="10" t="str">
        <x:v>TestNewCacheStore</x:v>
      </x:c>
      <x:c r="E528" s="10" t="str">
        <x:v>Go 测试入口</x:v>
      </x:c>
      <x:c r="F528" s="10" t="str">
        <x:v>待执行</x:v>
      </x:c>
      <x:c r="G528" s="10" t="str">
        <x:v>引擎源码测试；Windows 可构建性及服务依赖需核对</x:v>
      </x:c>
      <x:c r="H528" s="10" t="str">
        <x:v>pkg/chunk/disk_cache_test.go:76</x:v>
      </x:c>
      <x:c r="I528" s="10" t="str">
        <x:v>https://github.com/juicedata/juicefs/blob/30190ca1094d26e85f19a979ca51b0ea19af1eaa/pkg/chunk/disk_cache_test.go#L76</x:v>
      </x:c>
      <x:c r="J528" s="10" t="str">
        <x:v>未提升为 Windows 执行项</x:v>
      </x:c>
      <x:c r="K528" s="10" t="str">
        <x:v>见源文件及 CI 条件</x:v>
      </x:c>
      <x:c r="L528" s="10" t="str">
        <x:v>子用例参数与运行时生成序列不计作独立目录项；级别为源码目录初分，未执行项目不能计作通过</x:v>
      </x:c>
    </x:row>
    <x:row r="529" ht="42" customHeight="1">
      <x:c r="A529" s="11" t="str">
        <x:v>UP-146498b11464</x:v>
      </x:c>
      <x:c r="B529" s="11" t="str">
        <x:v>L2</x:v>
      </x:c>
      <x:c r="C529" s="11" t="str">
        <x:v>缓存与后台上传</x:v>
      </x:c>
      <x:c r="D529" s="11" t="str">
        <x:v>TestMetrics</x:v>
      </x:c>
      <x:c r="E529" s="11" t="str">
        <x:v>Go 测试入口</x:v>
      </x:c>
      <x:c r="F529" s="11" t="str">
        <x:v>待执行</x:v>
      </x:c>
      <x:c r="G529" s="11" t="str">
        <x:v>引擎源码测试；Windows 可构建性及服务依赖需核对</x:v>
      </x:c>
      <x:c r="H529" s="11" t="str">
        <x:v>pkg/chunk/disk_cache_test.go:83</x:v>
      </x:c>
      <x:c r="I529" s="11" t="str">
        <x:v>https://github.com/juicedata/juicefs/blob/30190ca1094d26e85f19a979ca51b0ea19af1eaa/pkg/chunk/disk_cache_test.go#L83</x:v>
      </x:c>
      <x:c r="J529" s="11" t="str">
        <x:v>未提升为 Windows 执行项</x:v>
      </x:c>
      <x:c r="K529" s="11" t="str">
        <x:v>见源文件及 CI 条件</x:v>
      </x:c>
      <x:c r="L529" s="11" t="str">
        <x:v>子用例参数与运行时生成序列不计作独立目录项；级别为源码目录初分，未执行项目不能计作通过</x:v>
      </x:c>
    </x:row>
    <x:row r="530" ht="42" customHeight="1">
      <x:c r="A530" s="10" t="str">
        <x:v>UP-7f1eb3903cd4</x:v>
      </x:c>
      <x:c r="B530" s="10" t="str">
        <x:v>L2</x:v>
      </x:c>
      <x:c r="C530" s="10" t="str">
        <x:v>缓存与后台上传</x:v>
      </x:c>
      <x:c r="D530" s="10" t="str">
        <x:v>TestChecksum</x:v>
      </x:c>
      <x:c r="E530" s="10" t="str">
        <x:v>Go 测试入口</x:v>
      </x:c>
      <x:c r="F530" s="10" t="str">
        <x:v>待执行</x:v>
      </x:c>
      <x:c r="G530" s="10" t="str">
        <x:v>引擎源码测试；Windows 可构建性及服务依赖需核对</x:v>
      </x:c>
      <x:c r="H530" s="10" t="str">
        <x:v>pkg/chunk/disk_cache_test.go:137</x:v>
      </x:c>
      <x:c r="I530" s="10" t="str">
        <x:v>https://github.com/juicedata/juicefs/blob/30190ca1094d26e85f19a979ca51b0ea19af1eaa/pkg/chunk/disk_cache_test.go#L137</x:v>
      </x:c>
      <x:c r="J530" s="10" t="str">
        <x:v>未提升为 Windows 执行项</x:v>
      </x:c>
      <x:c r="K530" s="10" t="str">
        <x:v>见源文件及 CI 条件</x:v>
      </x:c>
      <x:c r="L530" s="10" t="str">
        <x:v>子用例参数与运行时生成序列不计作独立目录项；级别为源码目录初分，未执行项目不能计作通过</x:v>
      </x:c>
    </x:row>
    <x:row r="531" ht="42" customHeight="1">
      <x:c r="A531" s="11" t="str">
        <x:v>UP-71d1836f8ca7</x:v>
      </x:c>
      <x:c r="B531" s="11" t="str">
        <x:v>L2</x:v>
      </x:c>
      <x:c r="C531" s="11" t="str">
        <x:v>缓存与后台上传</x:v>
      </x:c>
      <x:c r="D531" s="11" t="str">
        <x:v>TestExpand</x:v>
      </x:c>
      <x:c r="E531" s="11" t="str">
        <x:v>Go 测试入口</x:v>
      </x:c>
      <x:c r="F531" s="11" t="str">
        <x:v>待执行</x:v>
      </x:c>
      <x:c r="G531" s="11" t="str">
        <x:v>引擎源码测试；Windows 可构建性及服务依赖需核对</x:v>
      </x:c>
      <x:c r="H531" s="11" t="str">
        <x:v>pkg/chunk/disk_cache_test.go:227</x:v>
      </x:c>
      <x:c r="I531" s="11" t="str">
        <x:v>https://github.com/juicedata/juicefs/blob/30190ca1094d26e85f19a979ca51b0ea19af1eaa/pkg/chunk/disk_cache_test.go#L227</x:v>
      </x:c>
      <x:c r="J531" s="11" t="str">
        <x:v>未提升为 Windows 执行项</x:v>
      </x:c>
      <x:c r="K531" s="11" t="str">
        <x:v>见源文件及 CI 条件</x:v>
      </x:c>
      <x:c r="L531" s="11" t="str">
        <x:v>子用例参数与运行时生成序列不计作独立目录项；级别为源码目录初分，未执行项目不能计作通过</x:v>
      </x:c>
    </x:row>
    <x:row r="532" ht="42" customHeight="1">
      <x:c r="A532" s="10" t="str">
        <x:v>UP-5d0b24446660</x:v>
      </x:c>
      <x:c r="B532" s="10" t="str">
        <x:v>L4</x:v>
      </x:c>
      <x:c r="C532" s="10" t="str">
        <x:v>缓存与后台上传</x:v>
      </x:c>
      <x:c r="D532" s="10" t="str">
        <x:v>BenchmarkLoadCached</x:v>
      </x:c>
      <x:c r="E532" s="10" t="str">
        <x:v>Go 性能基准</x:v>
      </x:c>
      <x:c r="F532" s="10" t="str">
        <x:v>待执行</x:v>
      </x:c>
      <x:c r="G532" s="10" t="str">
        <x:v>引擎源码测试；Windows 可构建性及服务依赖需核对</x:v>
      </x:c>
      <x:c r="H532" s="10" t="str">
        <x:v>pkg/chunk/disk_cache_test.go:248</x:v>
      </x:c>
      <x:c r="I532" s="10" t="str">
        <x:v>https://github.com/juicedata/juicefs/blob/30190ca1094d26e85f19a979ca51b0ea19af1eaa/pkg/chunk/disk_cache_test.go#L248</x:v>
      </x:c>
      <x:c r="J532" s="10" t="str">
        <x:v>未提升为 Windows 执行项</x:v>
      </x:c>
      <x:c r="K532" s="10" t="str">
        <x:v>见源文件及 CI 条件</x:v>
      </x:c>
      <x:c r="L532" s="10" t="str">
        <x:v>子用例参数与运行时生成序列不计作独立目录项；级别为源码目录初分，未执行项目不能计作通过</x:v>
      </x:c>
    </x:row>
    <x:row r="533" ht="42" customHeight="1">
      <x:c r="A533" s="11" t="str">
        <x:v>UP-a9aa1c0be6df</x:v>
      </x:c>
      <x:c r="B533" s="11" t="str">
        <x:v>L4</x:v>
      </x:c>
      <x:c r="C533" s="11" t="str">
        <x:v>缓存与后台上传</x:v>
      </x:c>
      <x:c r="D533" s="11" t="str">
        <x:v>BenchmarkLoadUncached</x:v>
      </x:c>
      <x:c r="E533" s="11" t="str">
        <x:v>Go 性能基准</x:v>
      </x:c>
      <x:c r="F533" s="11" t="str">
        <x:v>待执行</x:v>
      </x:c>
      <x:c r="G533" s="11" t="str">
        <x:v>引擎源码测试；Windows 可构建性及服务依赖需核对</x:v>
      </x:c>
      <x:c r="H533" s="11" t="str">
        <x:v>pkg/chunk/disk_cache_test.go:265</x:v>
      </x:c>
      <x:c r="I533" s="11" t="str">
        <x:v>https://github.com/juicedata/juicefs/blob/30190ca1094d26e85f19a979ca51b0ea19af1eaa/pkg/chunk/disk_cache_test.go#L265</x:v>
      </x:c>
      <x:c r="J533" s="11" t="str">
        <x:v>未提升为 Windows 执行项</x:v>
      </x:c>
      <x:c r="K533" s="11" t="str">
        <x:v>见源文件及 CI 条件</x:v>
      </x:c>
      <x:c r="L533" s="11" t="str">
        <x:v>子用例参数与运行时生成序列不计作独立目录项；级别为源码目录初分，未执行项目不能计作通过</x:v>
      </x:c>
    </x:row>
    <x:row r="534" ht="42" customHeight="1">
      <x:c r="A534" s="10" t="str">
        <x:v>UP-d0f45f60fad0</x:v>
      </x:c>
      <x:c r="B534" s="10" t="str">
        <x:v>L2</x:v>
      </x:c>
      <x:c r="C534" s="10" t="str">
        <x:v>缓存与后台上传</x:v>
      </x:c>
      <x:c r="D534" s="10" t="str">
        <x:v>TestCheckPath</x:v>
      </x:c>
      <x:c r="E534" s="10" t="str">
        <x:v>Go 测试入口</x:v>
      </x:c>
      <x:c r="F534" s="10" t="str">
        <x:v>待执行</x:v>
      </x:c>
      <x:c r="G534" s="10" t="str">
        <x:v>引擎源码测试；Windows 可构建性及服务依赖需核对</x:v>
      </x:c>
      <x:c r="H534" s="10" t="str">
        <x:v>pkg/chunk/disk_cache_test.go:277</x:v>
      </x:c>
      <x:c r="I534" s="10" t="str">
        <x:v>https://github.com/juicedata/juicefs/blob/30190ca1094d26e85f19a979ca51b0ea19af1eaa/pkg/chunk/disk_cache_test.go#L277</x:v>
      </x:c>
      <x:c r="J534" s="10" t="str">
        <x:v>未提升为 Windows 执行项</x:v>
      </x:c>
      <x:c r="K534" s="10" t="str">
        <x:v>见源文件及 CI 条件</x:v>
      </x:c>
      <x:c r="L534" s="10" t="str">
        <x:v>子用例参数与运行时生成序列不计作独立目录项；级别为源码目录初分，未执行项目不能计作通过</x:v>
      </x:c>
    </x:row>
    <x:row r="535" ht="42" customHeight="1">
      <x:c r="A535" s="11" t="str">
        <x:v>UP-c5d00edf994c</x:v>
      </x:c>
      <x:c r="B535" s="11" t="str">
        <x:v>L2</x:v>
      </x:c>
      <x:c r="C535" s="11" t="str">
        <x:v>缓存与后台上传</x:v>
      </x:c>
      <x:c r="D535" s="11" t="str">
        <x:v>TestCacheManager</x:v>
      </x:c>
      <x:c r="E535" s="11" t="str">
        <x:v>Go 测试入口</x:v>
      </x:c>
      <x:c r="F535" s="11" t="str">
        <x:v>待执行</x:v>
      </x:c>
      <x:c r="G535" s="11" t="str">
        <x:v>引擎源码测试；Windows 可构建性及服务依赖需核对</x:v>
      </x:c>
      <x:c r="H535" s="11" t="str">
        <x:v>pkg/chunk/disk_cache_test.go:320</x:v>
      </x:c>
      <x:c r="I535" s="11" t="str">
        <x:v>https://github.com/juicedata/juicefs/blob/30190ca1094d26e85f19a979ca51b0ea19af1eaa/pkg/chunk/disk_cache_test.go#L320</x:v>
      </x:c>
      <x:c r="J535" s="11" t="str">
        <x:v>未提升为 Windows 执行项</x:v>
      </x:c>
      <x:c r="K535" s="11" t="str">
        <x:v>见源文件及 CI 条件</x:v>
      </x:c>
      <x:c r="L535" s="11" t="str">
        <x:v>子用例参数与运行时生成序列不计作独立目录项；级别为源码目录初分，未执行项目不能计作通过</x:v>
      </x:c>
    </x:row>
    <x:row r="536" ht="42" customHeight="1">
      <x:c r="A536" s="10" t="str">
        <x:v>UP-4fc1e2bfddd9</x:v>
      </x:c>
      <x:c r="B536" s="10" t="str">
        <x:v>L2</x:v>
      </x:c>
      <x:c r="C536" s="10" t="str">
        <x:v>缓存与后台上传</x:v>
      </x:c>
      <x:c r="D536" s="10" t="str">
        <x:v>TestAtimeNotLost</x:v>
      </x:c>
      <x:c r="E536" s="10" t="str">
        <x:v>Go 测试入口</x:v>
      </x:c>
      <x:c r="F536" s="10" t="str">
        <x:v>待执行</x:v>
      </x:c>
      <x:c r="G536" s="10" t="str">
        <x:v>引擎源码测试；Windows 可构建性及服务依赖需核对</x:v>
      </x:c>
      <x:c r="H536" s="10" t="str">
        <x:v>pkg/chunk/disk_cache_test.go:386</x:v>
      </x:c>
      <x:c r="I536" s="10" t="str">
        <x:v>https://github.com/juicedata/juicefs/blob/30190ca1094d26e85f19a979ca51b0ea19af1eaa/pkg/chunk/disk_cache_test.go#L386</x:v>
      </x:c>
      <x:c r="J536" s="10" t="str">
        <x:v>未提升为 Windows 执行项</x:v>
      </x:c>
      <x:c r="K536" s="10" t="str">
        <x:v>见源文件及 CI 条件</x:v>
      </x:c>
      <x:c r="L536" s="10" t="str">
        <x:v>子用例参数与运行时生成序列不计作独立目录项；级别为源码目录初分，未执行项目不能计作通过</x:v>
      </x:c>
    </x:row>
    <x:row r="537" ht="42" customHeight="1">
      <x:c r="A537" s="11" t="str">
        <x:v>UP-c1445adb7427</x:v>
      </x:c>
      <x:c r="B537" s="11" t="str">
        <x:v>L2</x:v>
      </x:c>
      <x:c r="C537" s="11" t="str">
        <x:v>缓存与后台上传</x:v>
      </x:c>
      <x:c r="D537" s="11" t="str">
        <x:v>TestSetlimitByFreeRatio</x:v>
      </x:c>
      <x:c r="E537" s="11" t="str">
        <x:v>Go 测试入口</x:v>
      </x:c>
      <x:c r="F537" s="11" t="str">
        <x:v>待执行</x:v>
      </x:c>
      <x:c r="G537" s="11" t="str">
        <x:v>引擎源码测试；Windows 可构建性及服务依赖需核对</x:v>
      </x:c>
      <x:c r="H537" s="11" t="str">
        <x:v>pkg/chunk/disk_cache_test.go:410</x:v>
      </x:c>
      <x:c r="I537" s="11" t="str">
        <x:v>https://github.com/juicedata/juicefs/blob/30190ca1094d26e85f19a979ca51b0ea19af1eaa/pkg/chunk/disk_cache_test.go#L410</x:v>
      </x:c>
      <x:c r="J537" s="11" t="str">
        <x:v>未提升为 Windows 执行项</x:v>
      </x:c>
      <x:c r="K537" s="11" t="str">
        <x:v>见源文件及 CI 条件</x:v>
      </x:c>
      <x:c r="L537" s="11" t="str">
        <x:v>子用例参数与运行时生成序列不计作独立目录项；级别为源码目录初分，未执行项目不能计作通过</x:v>
      </x:c>
    </x:row>
    <x:row r="538" ht="42" customHeight="1">
      <x:c r="A538" s="10" t="str">
        <x:v>UP-83d1ac2a4a64</x:v>
      </x:c>
      <x:c r="B538" s="10" t="str">
        <x:v>L1</x:v>
      </x:c>
      <x:c r="C538" s="10" t="str">
        <x:v>文件读写与完整性</x:v>
      </x:c>
      <x:c r="D538" s="10" t="str">
        <x:v>TestPage</x:v>
      </x:c>
      <x:c r="E538" s="10" t="str">
        <x:v>Go 测试入口</x:v>
      </x:c>
      <x:c r="F538" s="10" t="str">
        <x:v>待执行</x:v>
      </x:c>
      <x:c r="G538" s="10" t="str">
        <x:v>引擎源码测试；Windows 可构建性及服务依赖需核对</x:v>
      </x:c>
      <x:c r="H538" s="10" t="str">
        <x:v>pkg/chunk/page_test.go:24</x:v>
      </x:c>
      <x:c r="I538" s="10" t="str">
        <x:v>https://github.com/juicedata/juicefs/blob/30190ca1094d26e85f19a979ca51b0ea19af1eaa/pkg/chunk/page_test.go#L24</x:v>
      </x:c>
      <x:c r="J538" s="10" t="str">
        <x:v>未提升为 Windows 执行项</x:v>
      </x:c>
      <x:c r="K538" s="10" t="str">
        <x:v>见源文件及 CI 条件</x:v>
      </x:c>
      <x:c r="L538" s="10" t="str">
        <x:v>子用例参数与运行时生成序列不计作独立目录项；级别为源码目录初分，未执行项目不能计作通过</x:v>
      </x:c>
    </x:row>
    <x:row r="539" ht="42" customHeight="1">
      <x:c r="A539" s="11" t="str">
        <x:v>UP-278f793cc211</x:v>
      </x:c>
      <x:c r="B539" s="11" t="str">
        <x:v>L1</x:v>
      </x:c>
      <x:c r="C539" s="11" t="str">
        <x:v>文件读写与完整性</x:v>
      </x:c>
      <x:c r="D539" s="11" t="str">
        <x:v>TestPageReader</x:v>
      </x:c>
      <x:c r="E539" s="11" t="str">
        <x:v>Go 测试入口</x:v>
      </x:c>
      <x:c r="F539" s="11" t="str">
        <x:v>待执行</x:v>
      </x:c>
      <x:c r="G539" s="11" t="str">
        <x:v>引擎源码测试；Windows 可构建性及服务依赖需核对</x:v>
      </x:c>
      <x:c r="H539" s="11" t="str">
        <x:v>pkg/chunk/page_test.go:53</x:v>
      </x:c>
      <x:c r="I539" s="11" t="str">
        <x:v>https://github.com/juicedata/juicefs/blob/30190ca1094d26e85f19a979ca51b0ea19af1eaa/pkg/chunk/page_test.go#L53</x:v>
      </x:c>
      <x:c r="J539" s="11" t="str">
        <x:v>未提升为 Windows 执行项</x:v>
      </x:c>
      <x:c r="K539" s="11" t="str">
        <x:v>见源文件及 CI 条件</x:v>
      </x:c>
      <x:c r="L539" s="11" t="str">
        <x:v>子用例参数与运行时生成序列不计作独立目录项；级别为源码目录初分，未执行项目不能计作通过</x:v>
      </x:c>
    </x:row>
    <x:row r="540" ht="42" customHeight="1">
      <x:c r="A540" s="10" t="str">
        <x:v>UP-092ba205f4c3</x:v>
      </x:c>
      <x:c r="B540" s="10" t="str">
        <x:v>L1</x:v>
      </x:c>
      <x:c r="C540" s="10" t="str">
        <x:v>文件读写与完整性</x:v>
      </x:c>
      <x:c r="D540" s="10" t="str">
        <x:v>TestPrefetcher</x:v>
      </x:c>
      <x:c r="E540" s="10" t="str">
        <x:v>Go 测试入口</x:v>
      </x:c>
      <x:c r="F540" s="10" t="str">
        <x:v>待执行</x:v>
      </x:c>
      <x:c r="G540" s="10" t="str">
        <x:v>引擎源码测试；Windows 可构建性及服务依赖需核对</x:v>
      </x:c>
      <x:c r="H540" s="10" t="str">
        <x:v>pkg/chunk/prefetch_test.go:9</x:v>
      </x:c>
      <x:c r="I540" s="10" t="str">
        <x:v>https://github.com/juicedata/juicefs/blob/30190ca1094d26e85f19a979ca51b0ea19af1eaa/pkg/chunk/prefetch_test.go#L9</x:v>
      </x:c>
      <x:c r="J540" s="10" t="str">
        <x:v>未提升为 Windows 执行项</x:v>
      </x:c>
      <x:c r="K540" s="10" t="str">
        <x:v>见源文件及 CI 条件</x:v>
      </x:c>
      <x:c r="L540" s="10" t="str">
        <x:v>子用例参数与运行时生成序列不计作独立目录项；级别为源码目录初分，未执行项目不能计作通过</x:v>
      </x:c>
    </x:row>
    <x:row r="541" ht="42" customHeight="1">
      <x:c r="A541" s="11" t="str">
        <x:v>UP-4a9dfc0ea7e2</x:v>
      </x:c>
      <x:c r="B541" s="11" t="str">
        <x:v>L1</x:v>
      </x:c>
      <x:c r="C541" s="11" t="str">
        <x:v>文件读写与完整性</x:v>
      </x:c>
      <x:c r="D541" s="11" t="str">
        <x:v>TestSingleFlight</x:v>
      </x:c>
      <x:c r="E541" s="11" t="str">
        <x:v>Go 测试入口</x:v>
      </x:c>
      <x:c r="F541" s="11" t="str">
        <x:v>待执行</x:v>
      </x:c>
      <x:c r="G541" s="11" t="str">
        <x:v>引擎源码测试；Windows 可构建性及服务依赖需核对</x:v>
      </x:c>
      <x:c r="H541" s="11" t="str">
        <x:v>pkg/chunk/singleflight_test.go:28</x:v>
      </x:c>
      <x:c r="I541" s="11" t="str">
        <x:v>https://github.com/juicedata/juicefs/blob/30190ca1094d26e85f19a979ca51b0ea19af1eaa/pkg/chunk/singleflight_test.go#L28</x:v>
      </x:c>
      <x:c r="J541" s="11" t="str">
        <x:v>未提升为 Windows 执行项</x:v>
      </x:c>
      <x:c r="K541" s="11" t="str">
        <x:v>见源文件及 CI 条件</x:v>
      </x:c>
      <x:c r="L541" s="11" t="str">
        <x:v>子用例参数与运行时生成序列不计作独立目录项；级别为源码目录初分，未执行项目不能计作通过</x:v>
      </x:c>
    </x:row>
    <x:row r="542" ht="42" customHeight="1">
      <x:c r="A542" s="10" t="str">
        <x:v>UP-0bc1965985b5</x:v>
      </x:c>
      <x:c r="B542" s="10" t="str">
        <x:v>L1</x:v>
      </x:c>
      <x:c r="C542" s="10" t="str">
        <x:v>文件读写与完整性</x:v>
      </x:c>
      <x:c r="D542" s="10" t="str">
        <x:v>TestInRootVolume</x:v>
      </x:c>
      <x:c r="E542" s="10" t="str">
        <x:v>Go 测试入口</x:v>
      </x:c>
      <x:c r="F542" s="10" t="str">
        <x:v>待执行</x:v>
      </x:c>
      <x:c r="G542" s="10" t="str">
        <x:v>引擎源码测试；Windows 可构建性及服务依赖需核对</x:v>
      </x:c>
      <x:c r="H542" s="10" t="str">
        <x:v>pkg/chunk/utils_unix_test.go:28</x:v>
      </x:c>
      <x:c r="I542" s="10" t="str">
        <x:v>https://github.com/juicedata/juicefs/blob/30190ca1094d26e85f19a979ca51b0ea19af1eaa/pkg/chunk/utils_unix_test.go#L28</x:v>
      </x:c>
      <x:c r="J542" s="10" t="str">
        <x:v>未提升为 Windows 执行项</x:v>
      </x:c>
      <x:c r="K542" s="10" t="str">
        <x:v>!windows; !windows</x:v>
      </x:c>
      <x:c r="L542" s="10" t="str">
        <x:v>子用例参数与运行时生成序列不计作独立目录项；级别为源码目录初分，未执行项目不能计作通过</x:v>
      </x:c>
    </x:row>
    <x:row r="543" ht="42" customHeight="1">
      <x:c r="A543" s="11" t="str">
        <x:v>UP-0cd0b6f90ebd</x:v>
      </x:c>
      <x:c r="B543" s="11" t="str">
        <x:v>L1</x:v>
      </x:c>
      <x:c r="C543" s="11" t="str">
        <x:v>文件读写与完整性</x:v>
      </x:c>
      <x:c r="D543" s="11" t="str">
        <x:v>testCompress</x:v>
      </x:c>
      <x:c r="E543" s="11" t="str">
        <x:v>Go 子场景</x:v>
      </x:c>
      <x:c r="F543" s="11" t="str">
        <x:v>待执行</x:v>
      </x:c>
      <x:c r="G543" s="11" t="str">
        <x:v>引擎源码测试；Windows 可构建性及服务依赖需核对</x:v>
      </x:c>
      <x:c r="H543" s="11" t="str">
        <x:v>pkg/compress/compress_test.go:25</x:v>
      </x:c>
      <x:c r="I543" s="11" t="str">
        <x:v>https://github.com/juicedata/juicefs/blob/30190ca1094d26e85f19a979ca51b0ea19af1eaa/pkg/compress/compress_test.go#L25</x:v>
      </x:c>
      <x:c r="J543" s="11" t="str">
        <x:v>未提升为 Windows 执行项</x:v>
      </x:c>
      <x:c r="K543" s="11" t="str">
        <x:v>见源文件及 CI 条件</x:v>
      </x:c>
      <x:c r="L543" s="11" t="str">
        <x:v>子用例参数与运行时生成序列不计作独立目录项；级别为源码目录初分，未执行项目不能计作通过</x:v>
      </x:c>
    </x:row>
    <x:row r="544" ht="42" customHeight="1">
      <x:c r="A544" s="10" t="str">
        <x:v>UP-dfeb47806681</x:v>
      </x:c>
      <x:c r="B544" s="10" t="str">
        <x:v>L1</x:v>
      </x:c>
      <x:c r="C544" s="10" t="str">
        <x:v>文件读写与完整性</x:v>
      </x:c>
      <x:c r="D544" s="10" t="str">
        <x:v>TestUncompressed</x:v>
      </x:c>
      <x:c r="E544" s="10" t="str">
        <x:v>Go 测试入口</x:v>
      </x:c>
      <x:c r="F544" s="10" t="str">
        <x:v>待执行</x:v>
      </x:c>
      <x:c r="G544" s="10" t="str">
        <x:v>引擎源码测试；Windows 可构建性及服务依赖需核对</x:v>
      </x:c>
      <x:c r="H544" s="10" t="str">
        <x:v>pkg/compress/compress_test.go:66</x:v>
      </x:c>
      <x:c r="I544" s="10" t="str">
        <x:v>https://github.com/juicedata/juicefs/blob/30190ca1094d26e85f19a979ca51b0ea19af1eaa/pkg/compress/compress_test.go#L66</x:v>
      </x:c>
      <x:c r="J544" s="10" t="str">
        <x:v>未提升为 Windows 执行项</x:v>
      </x:c>
      <x:c r="K544" s="10" t="str">
        <x:v>见源文件及 CI 条件</x:v>
      </x:c>
      <x:c r="L544" s="10" t="str">
        <x:v>子用例参数与运行时生成序列不计作独立目录项；级别为源码目录初分，未执行项目不能计作通过</x:v>
      </x:c>
    </x:row>
    <x:row r="545" ht="42" customHeight="1">
      <x:c r="A545" s="11" t="str">
        <x:v>UP-910d29bfc915</x:v>
      </x:c>
      <x:c r="B545" s="11" t="str">
        <x:v>L1</x:v>
      </x:c>
      <x:c r="C545" s="11" t="str">
        <x:v>文件读写与完整性</x:v>
      </x:c>
      <x:c r="D545" s="11" t="str">
        <x:v>TestZstd</x:v>
      </x:c>
      <x:c r="E545" s="11" t="str">
        <x:v>Go 测试入口</x:v>
      </x:c>
      <x:c r="F545" s="11" t="str">
        <x:v>待执行</x:v>
      </x:c>
      <x:c r="G545" s="11" t="str">
        <x:v>引擎源码测试；Windows 可构建性及服务依赖需核对</x:v>
      </x:c>
      <x:c r="H545" s="11" t="str">
        <x:v>pkg/compress/compress_test.go:70</x:v>
      </x:c>
      <x:c r="I545" s="11" t="str">
        <x:v>https://github.com/juicedata/juicefs/blob/30190ca1094d26e85f19a979ca51b0ea19af1eaa/pkg/compress/compress_test.go#L70</x:v>
      </x:c>
      <x:c r="J545" s="11" t="str">
        <x:v>未提升为 Windows 执行项</x:v>
      </x:c>
      <x:c r="K545" s="11" t="str">
        <x:v>见源文件及 CI 条件</x:v>
      </x:c>
      <x:c r="L545" s="11" t="str">
        <x:v>子用例参数与运行时生成序列不计作独立目录项；级别为源码目录初分，未执行项目不能计作通过</x:v>
      </x:c>
    </x:row>
    <x:row r="546" ht="42" customHeight="1">
      <x:c r="A546" s="10" t="str">
        <x:v>UP-10a96a62f016</x:v>
      </x:c>
      <x:c r="B546" s="10" t="str">
        <x:v>L1</x:v>
      </x:c>
      <x:c r="C546" s="10" t="str">
        <x:v>文件读写与完整性</x:v>
      </x:c>
      <x:c r="D546" s="10" t="str">
        <x:v>TestLZ4</x:v>
      </x:c>
      <x:c r="E546" s="10" t="str">
        <x:v>Go 测试入口</x:v>
      </x:c>
      <x:c r="F546" s="10" t="str">
        <x:v>待执行</x:v>
      </x:c>
      <x:c r="G546" s="10" t="str">
        <x:v>引擎源码测试；Windows 可构建性及服务依赖需核对</x:v>
      </x:c>
      <x:c r="H546" s="10" t="str">
        <x:v>pkg/compress/compress_test.go:74</x:v>
      </x:c>
      <x:c r="I546" s="10" t="str">
        <x:v>https://github.com/juicedata/juicefs/blob/30190ca1094d26e85f19a979ca51b0ea19af1eaa/pkg/compress/compress_test.go#L74</x:v>
      </x:c>
      <x:c r="J546" s="10" t="str">
        <x:v>未提升为 Windows 执行项</x:v>
      </x:c>
      <x:c r="K546" s="10" t="str">
        <x:v>见源文件及 CI 条件</x:v>
      </x:c>
      <x:c r="L546" s="10" t="str">
        <x:v>子用例参数与运行时生成序列不计作独立目录项；级别为源码目录初分，未执行项目不能计作通过</x:v>
      </x:c>
    </x:row>
    <x:row r="547" ht="42" customHeight="1">
      <x:c r="A547" s="11" t="str">
        <x:v>UP-4986c43250fb</x:v>
      </x:c>
      <x:c r="B547" s="11" t="str">
        <x:v>L4</x:v>
      </x:c>
      <x:c r="C547" s="11" t="str">
        <x:v>文件读写与完整性</x:v>
      </x:c>
      <x:c r="D547" s="11" t="str">
        <x:v>BenchmarkDecompressZstd</x:v>
      </x:c>
      <x:c r="E547" s="11" t="str">
        <x:v>Go 性能基准</x:v>
      </x:c>
      <x:c r="F547" s="11" t="str">
        <x:v>待执行</x:v>
      </x:c>
      <x:c r="G547" s="11" t="str">
        <x:v>引擎源码测试；Windows 可构建性及服务依赖需核对</x:v>
      </x:c>
      <x:c r="H547" s="11" t="str">
        <x:v>pkg/compress/compress_test.go:107</x:v>
      </x:c>
      <x:c r="I547" s="11" t="str">
        <x:v>https://github.com/juicedata/juicefs/blob/30190ca1094d26e85f19a979ca51b0ea19af1eaa/pkg/compress/compress_test.go#L107</x:v>
      </x:c>
      <x:c r="J547" s="11" t="str">
        <x:v>未提升为 Windows 执行项</x:v>
      </x:c>
      <x:c r="K547" s="11" t="str">
        <x:v>见源文件及 CI 条件</x:v>
      </x:c>
      <x:c r="L547" s="11" t="str">
        <x:v>子用例参数与运行时生成序列不计作独立目录项；级别为源码目录初分，未执行项目不能计作通过</x:v>
      </x:c>
    </x:row>
    <x:row r="548" ht="42" customHeight="1">
      <x:c r="A548" s="10" t="str">
        <x:v>UP-c16dda66dab1</x:v>
      </x:c>
      <x:c r="B548" s="10" t="str">
        <x:v>L4</x:v>
      </x:c>
      <x:c r="C548" s="10" t="str">
        <x:v>文件读写与完整性</x:v>
      </x:c>
      <x:c r="D548" s="10" t="str">
        <x:v>BenchmarkDecompressLZ4</x:v>
      </x:c>
      <x:c r="E548" s="10" t="str">
        <x:v>Go 性能基准</x:v>
      </x:c>
      <x:c r="F548" s="10" t="str">
        <x:v>待执行</x:v>
      </x:c>
      <x:c r="G548" s="10" t="str">
        <x:v>引擎源码测试；Windows 可构建性及服务依赖需核对</x:v>
      </x:c>
      <x:c r="H548" s="10" t="str">
        <x:v>pkg/compress/compress_test.go:111</x:v>
      </x:c>
      <x:c r="I548" s="10" t="str">
        <x:v>https://github.com/juicedata/juicefs/blob/30190ca1094d26e85f19a979ca51b0ea19af1eaa/pkg/compress/compress_test.go#L111</x:v>
      </x:c>
      <x:c r="J548" s="10" t="str">
        <x:v>未提升为 Windows 执行项</x:v>
      </x:c>
      <x:c r="K548" s="10" t="str">
        <x:v>见源文件及 CI 条件</x:v>
      </x:c>
      <x:c r="L548" s="10" t="str">
        <x:v>子用例参数与运行时生成序列不计作独立目录项；级别为源码目录初分，未执行项目不能计作通过</x:v>
      </x:c>
    </x:row>
    <x:row r="549" ht="42" customHeight="1">
      <x:c r="A549" s="11" t="str">
        <x:v>UP-e5a802a7ecee</x:v>
      </x:c>
      <x:c r="B549" s="11" t="str">
        <x:v>L4</x:v>
      </x:c>
      <x:c r="C549" s="11" t="str">
        <x:v>文件读写与完整性</x:v>
      </x:c>
      <x:c r="D549" s="11" t="str">
        <x:v>BenchmarkDecompressNone</x:v>
      </x:c>
      <x:c r="E549" s="11" t="str">
        <x:v>Go 性能基准</x:v>
      </x:c>
      <x:c r="F549" s="11" t="str">
        <x:v>待执行</x:v>
      </x:c>
      <x:c r="G549" s="11" t="str">
        <x:v>引擎源码测试；Windows 可构建性及服务依赖需核对</x:v>
      </x:c>
      <x:c r="H549" s="11" t="str">
        <x:v>pkg/compress/compress_test.go:115</x:v>
      </x:c>
      <x:c r="I549" s="11" t="str">
        <x:v>https://github.com/juicedata/juicefs/blob/30190ca1094d26e85f19a979ca51b0ea19af1eaa/pkg/compress/compress_test.go#L115</x:v>
      </x:c>
      <x:c r="J549" s="11" t="str">
        <x:v>未提升为 Windows 执行项</x:v>
      </x:c>
      <x:c r="K549" s="11" t="str">
        <x:v>见源文件及 CI 条件</x:v>
      </x:c>
      <x:c r="L549" s="11" t="str">
        <x:v>子用例参数与运行时生成序列不计作独立目录项；级别为源码目录初分，未执行项目不能计作通过</x:v>
      </x:c>
    </x:row>
    <x:row r="550" ht="42" customHeight="1">
      <x:c r="A550" s="10" t="str">
        <x:v>UP-bc4dfc9af3d0</x:v>
      </x:c>
      <x:c r="B550" s="10" t="str">
        <x:v>L4</x:v>
      </x:c>
      <x:c r="C550" s="10" t="str">
        <x:v>文件读写与完整性</x:v>
      </x:c>
      <x:c r="D550" s="10" t="str">
        <x:v>BenchmarkCompressZstd</x:v>
      </x:c>
      <x:c r="E550" s="10" t="str">
        <x:v>Go 性能基准</x:v>
      </x:c>
      <x:c r="F550" s="10" t="str">
        <x:v>待执行</x:v>
      </x:c>
      <x:c r="G550" s="10" t="str">
        <x:v>引擎源码测试；Windows 可构建性及服务依赖需核对</x:v>
      </x:c>
      <x:c r="H550" s="10" t="str">
        <x:v>pkg/compress/compress_test.go:142</x:v>
      </x:c>
      <x:c r="I550" s="10" t="str">
        <x:v>https://github.com/juicedata/juicefs/blob/30190ca1094d26e85f19a979ca51b0ea19af1eaa/pkg/compress/compress_test.go#L142</x:v>
      </x:c>
      <x:c r="J550" s="10" t="str">
        <x:v>未提升为 Windows 执行项</x:v>
      </x:c>
      <x:c r="K550" s="10" t="str">
        <x:v>见源文件及 CI 条件</x:v>
      </x:c>
      <x:c r="L550" s="10" t="str">
        <x:v>子用例参数与运行时生成序列不计作独立目录项；级别为源码目录初分，未执行项目不能计作通过</x:v>
      </x:c>
    </x:row>
    <x:row r="551" ht="42" customHeight="1">
      <x:c r="A551" s="11" t="str">
        <x:v>UP-610cedf33f29</x:v>
      </x:c>
      <x:c r="B551" s="11" t="str">
        <x:v>L4</x:v>
      </x:c>
      <x:c r="C551" s="11" t="str">
        <x:v>文件读写与完整性</x:v>
      </x:c>
      <x:c r="D551" s="11" t="str">
        <x:v>BenchmarkCompressCLZ4</x:v>
      </x:c>
      <x:c r="E551" s="11" t="str">
        <x:v>Go 性能基准</x:v>
      </x:c>
      <x:c r="F551" s="11" t="str">
        <x:v>待执行</x:v>
      </x:c>
      <x:c r="G551" s="11" t="str">
        <x:v>引擎源码测试；Windows 可构建性及服务依赖需核对</x:v>
      </x:c>
      <x:c r="H551" s="11" t="str">
        <x:v>pkg/compress/compress_test.go:146</x:v>
      </x:c>
      <x:c r="I551" s="11" t="str">
        <x:v>https://github.com/juicedata/juicefs/blob/30190ca1094d26e85f19a979ca51b0ea19af1eaa/pkg/compress/compress_test.go#L146</x:v>
      </x:c>
      <x:c r="J551" s="11" t="str">
        <x:v>未提升为 Windows 执行项</x:v>
      </x:c>
      <x:c r="K551" s="11" t="str">
        <x:v>见源文件及 CI 条件</x:v>
      </x:c>
      <x:c r="L551" s="11" t="str">
        <x:v>子用例参数与运行时生成序列不计作独立目录项；级别为源码目录初分，未执行项目不能计作通过</x:v>
      </x:c>
    </x:row>
    <x:row r="552" ht="42" customHeight="1">
      <x:c r="A552" s="10" t="str">
        <x:v>UP-230bd8409702</x:v>
      </x:c>
      <x:c r="B552" s="10" t="str">
        <x:v>L4</x:v>
      </x:c>
      <x:c r="C552" s="10" t="str">
        <x:v>文件读写与完整性</x:v>
      </x:c>
      <x:c r="D552" s="10" t="str">
        <x:v>BenchmarkCompressNone</x:v>
      </x:c>
      <x:c r="E552" s="10" t="str">
        <x:v>Go 性能基准</x:v>
      </x:c>
      <x:c r="F552" s="10" t="str">
        <x:v>待执行</x:v>
      </x:c>
      <x:c r="G552" s="10" t="str">
        <x:v>引擎源码测试；Windows 可构建性及服务依赖需核对</x:v>
      </x:c>
      <x:c r="H552" s="10" t="str">
        <x:v>pkg/compress/compress_test.go:149</x:v>
      </x:c>
      <x:c r="I552" s="10" t="str">
        <x:v>https://github.com/juicedata/juicefs/blob/30190ca1094d26e85f19a979ca51b0ea19af1eaa/pkg/compress/compress_test.go#L149</x:v>
      </x:c>
      <x:c r="J552" s="10" t="str">
        <x:v>未提升为 Windows 执行项</x:v>
      </x:c>
      <x:c r="K552" s="10" t="str">
        <x:v>见源文件及 CI 条件</x:v>
      </x:c>
      <x:c r="L552" s="10" t="str">
        <x:v>子用例参数与运行时生成序列不计作独立目录项；级别为源码目录初分，未执行项目不能计作通过</x:v>
      </x:c>
    </x:row>
    <x:row r="553" ht="42" customHeight="1">
      <x:c r="A553" s="11" t="str">
        <x:v>UP-f6cc403abb2e</x:v>
      </x:c>
      <x:c r="B553" s="11" t="str">
        <x:v>L1</x:v>
      </x:c>
      <x:c r="C553" s="11" t="str">
        <x:v>文件读写与完整性</x:v>
      </x:c>
      <x:c r="D553" s="11" t="str">
        <x:v>TestFileStat</x:v>
      </x:c>
      <x:c r="E553" s="11" t="str">
        <x:v>Go 测试入口</x:v>
      </x:c>
      <x:c r="F553" s="11" t="str">
        <x:v>待执行</x:v>
      </x:c>
      <x:c r="G553" s="11" t="str">
        <x:v>引擎源码测试；Windows 可构建性及服务依赖需核对</x:v>
      </x:c>
      <x:c r="H553" s="11" t="str">
        <x:v>pkg/fs/fs_test.go:34</x:v>
      </x:c>
      <x:c r="I553" s="11" t="str">
        <x:v>https://github.com/juicedata/juicefs/blob/30190ca1094d26e85f19a979ca51b0ea19af1eaa/pkg/fs/fs_test.go#L34</x:v>
      </x:c>
      <x:c r="J553" s="11" t="str">
        <x:v>未提升为 Windows 执行项</x:v>
      </x:c>
      <x:c r="K553" s="11" t="str">
        <x:v>见源文件及 CI 条件</x:v>
      </x:c>
      <x:c r="L553" s="11" t="str">
        <x:v>子用例参数与运行时生成序列不计作独立目录项；级别为源码目录初分，未执行项目不能计作通过</x:v>
      </x:c>
    </x:row>
    <x:row r="554" ht="42" customHeight="1">
      <x:c r="A554" s="10" t="str">
        <x:v>UP-299b14d28f91</x:v>
      </x:c>
      <x:c r="B554" s="10" t="str">
        <x:v>L1</x:v>
      </x:c>
      <x:c r="C554" s="10" t="str">
        <x:v>文件读写与完整性</x:v>
      </x:c>
      <x:c r="D554" s="10" t="str">
        <x:v>TestFileSystem</x:v>
      </x:c>
      <x:c r="E554" s="10" t="str">
        <x:v>Go 测试入口</x:v>
      </x:c>
      <x:c r="F554" s="10" t="str">
        <x:v>待执行</x:v>
      </x:c>
      <x:c r="G554" s="10" t="str">
        <x:v>引擎源码测试；Windows 可构建性及服务依赖需核对</x:v>
      </x:c>
      <x:c r="H554" s="10" t="str">
        <x:v>pkg/fs/fs_test.go:71</x:v>
      </x:c>
      <x:c r="I554" s="10" t="str">
        <x:v>https://github.com/juicedata/juicefs/blob/30190ca1094d26e85f19a979ca51b0ea19af1eaa/pkg/fs/fs_test.go#L71</x:v>
      </x:c>
      <x:c r="J554" s="10" t="str">
        <x:v>未提升为 Windows 执行项</x:v>
      </x:c>
      <x:c r="K554" s="10" t="str">
        <x:v>见源文件及 CI 条件</x:v>
      </x:c>
      <x:c r="L554" s="10" t="str">
        <x:v>子用例参数与运行时生成序列不计作独立目录项；级别为源码目录初分，未执行项目不能计作通过</x:v>
      </x:c>
    </x:row>
    <x:row r="555" ht="42" customHeight="1">
      <x:c r="A555" s="11" t="str">
        <x:v>UP-b1cb2d4b04f4</x:v>
      </x:c>
      <x:c r="B555" s="11" t="str">
        <x:v>L1</x:v>
      </x:c>
      <x:c r="C555" s="11" t="str">
        <x:v>文件读写与完整性</x:v>
      </x:c>
      <x:c r="D555" s="11" t="str">
        <x:v>TestWebdav</x:v>
      </x:c>
      <x:c r="E555" s="11" t="str">
        <x:v>Go 测试入口</x:v>
      </x:c>
      <x:c r="F555" s="11" t="str">
        <x:v>待执行</x:v>
      </x:c>
      <x:c r="G555" s="11" t="str">
        <x:v>引擎源码测试；Windows 可构建性及服务依赖需核对</x:v>
      </x:c>
      <x:c r="H555" s="11" t="str">
        <x:v>pkg/fs/http_test.go:30</x:v>
      </x:c>
      <x:c r="I555" s="11" t="str">
        <x:v>https://github.com/juicedata/juicefs/blob/30190ca1094d26e85f19a979ca51b0ea19af1eaa/pkg/fs/http_test.go#L30</x:v>
      </x:c>
      <x:c r="J555" s="11" t="str">
        <x:v>未提升为 Windows 执行项</x:v>
      </x:c>
      <x:c r="K555" s="11" t="str">
        <x:v>见源文件及 CI 条件</x:v>
      </x:c>
      <x:c r="L555" s="11" t="str">
        <x:v>子用例参数与运行时生成序列不计作独立目录项；级别为源码目录初分，未执行项目不能计作通过</x:v>
      </x:c>
    </x:row>
    <x:row r="556" ht="42" customHeight="1">
      <x:c r="A556" s="10" t="str">
        <x:v>UP-ab7b2790122e</x:v>
      </x:c>
      <x:c r="B556" s="10" t="str">
        <x:v>L3</x:v>
      </x:c>
      <x:c r="C556" s="10" t="str">
        <x:v>应用与界面兼容</x:v>
      </x:c>
      <x:c r="D556" s="10" t="str">
        <x:v>TestFUSE</x:v>
      </x:c>
      <x:c r="E556" s="10" t="str">
        <x:v>Go 测试入口</x:v>
      </x:c>
      <x:c r="F556" s="10" t="str">
        <x:v>待执行</x:v>
      </x:c>
      <x:c r="G556" s="10" t="str">
        <x:v>引擎源码测试；Windows 可构建性及服务依赖需核对</x:v>
      </x:c>
      <x:c r="H556" s="10" t="str">
        <x:v>pkg/fuse/fuse_test.go:273</x:v>
      </x:c>
      <x:c r="I556" s="10" t="str">
        <x:v>https://github.com/juicedata/juicefs/blob/30190ca1094d26e85f19a979ca51b0ea19af1eaa/pkg/fuse/fuse_test.go#L273</x:v>
      </x:c>
      <x:c r="J556" s="10" t="str">
        <x:v>未提升为 Windows 执行项</x:v>
      </x:c>
      <x:c r="K556" s="10" t="str">
        <x:v>linux; linux</x:v>
      </x:c>
      <x:c r="L556" s="10" t="str">
        <x:v>子用例参数与运行时生成序列不计作独立目录项；级别为源码目录初分，未执行项目不能计作通过</x:v>
      </x:c>
    </x:row>
    <x:row r="557" ht="42" customHeight="1">
      <x:c r="A557" s="11" t="str">
        <x:v>UP-0c011d7e42a2</x:v>
      </x:c>
      <x:c r="B557" s="11" t="str">
        <x:v>L2</x:v>
      </x:c>
      <x:c r="C557" s="11" t="str">
        <x:v>并发与文件锁</x:v>
      </x:c>
      <x:c r="D557" s="11" t="str">
        <x:v>TestGatewayLock</x:v>
      </x:c>
      <x:c r="E557" s="11" t="str">
        <x:v>Go 测试入口</x:v>
      </x:c>
      <x:c r="F557" s="11" t="str">
        <x:v>待执行</x:v>
      </x:c>
      <x:c r="G557" s="11" t="str">
        <x:v>引擎源码测试；Windows 可构建性及服务依赖需核对</x:v>
      </x:c>
      <x:c r="H557" s="11" t="str">
        <x:v>pkg/gateway/gateway_test.go:33</x:v>
      </x:c>
      <x:c r="I557" s="11" t="str">
        <x:v>https://github.com/juicedata/juicefs/blob/30190ca1094d26e85f19a979ca51b0ea19af1eaa/pkg/gateway/gateway_test.go#L33</x:v>
      </x:c>
      <x:c r="J557" s="11" t="str">
        <x:v>未提升为 Windows 执行项</x:v>
      </x:c>
      <x:c r="K557" s="11" t="str">
        <x:v>见源文件及 CI 条件</x:v>
      </x:c>
      <x:c r="L557" s="11" t="str">
        <x:v>子用例参数与运行时生成序列不计作独立目录项；级别为源码目录初分，未执行项目不能计作通过</x:v>
      </x:c>
    </x:row>
    <x:row r="558" ht="42" customHeight="1">
      <x:c r="A558" s="10" t="str">
        <x:v>UP-1ab9d0e68a71</x:v>
      </x:c>
      <x:c r="B558" s="10" t="str">
        <x:v>L1</x:v>
      </x:c>
      <x:c r="C558" s="10" t="str">
        <x:v>挂载与元数据生命周期</x:v>
      </x:c>
      <x:c r="D558" s="10" t="str">
        <x:v>TestRedisClient</x:v>
      </x:c>
      <x:c r="E558" s="10" t="str">
        <x:v>Go 测试入口</x:v>
      </x:c>
      <x:c r="F558" s="10" t="str">
        <x:v>待执行</x:v>
      </x:c>
      <x:c r="G558" s="10" t="str">
        <x:v>引擎源码测试；Windows 可构建性及服务依赖需核对</x:v>
      </x:c>
      <x:c r="H558" s="10" t="str">
        <x:v>pkg/meta/base_test.go:57</x:v>
      </x:c>
      <x:c r="I558" s="10" t="str">
        <x:v>https://github.com/juicedata/juicefs/blob/30190ca1094d26e85f19a979ca51b0ea19af1eaa/pkg/meta/base_test.go#L57</x:v>
      </x:c>
      <x:c r="J558" s="10" t="str">
        <x:v>未提升为 Windows 执行项</x:v>
      </x:c>
      <x:c r="K558" s="10" t="str">
        <x:v>见源文件及 CI 条件</x:v>
      </x:c>
      <x:c r="L558" s="10" t="str">
        <x:v>子用例参数与运行时生成序列不计作独立目录项；级别为源码目录初分，未执行项目不能计作通过</x:v>
      </x:c>
    </x:row>
    <x:row r="559" ht="42" customHeight="1">
      <x:c r="A559" s="11" t="str">
        <x:v>UP-30b2f0e60194</x:v>
      </x:c>
      <x:c r="B559" s="11" t="str">
        <x:v>L1</x:v>
      </x:c>
      <x:c r="C559" s="11" t="str">
        <x:v>挂载与元数据生命周期</x:v>
      </x:c>
      <x:c r="D559" s="11" t="str">
        <x:v>TestKeyDB</x:v>
      </x:c>
      <x:c r="E559" s="11" t="str">
        <x:v>Go 测试入口</x:v>
      </x:c>
      <x:c r="F559" s="11" t="str">
        <x:v>待执行</x:v>
      </x:c>
      <x:c r="G559" s="11" t="str">
        <x:v>引擎源码测试；Windows 可构建性及服务依赖需核对</x:v>
      </x:c>
      <x:c r="H559" s="11" t="str">
        <x:v>pkg/meta/base_test.go:65</x:v>
      </x:c>
      <x:c r="I559" s="11" t="str">
        <x:v>https://github.com/juicedata/juicefs/blob/30190ca1094d26e85f19a979ca51b0ea19af1eaa/pkg/meta/base_test.go#L65</x:v>
      </x:c>
      <x:c r="J559" s="11" t="str">
        <x:v>未提升为 Windows 执行项</x:v>
      </x:c>
      <x:c r="K559" s="11" t="str">
        <x:v>见源文件及 CI 条件</x:v>
      </x:c>
      <x:c r="L559" s="11" t="str">
        <x:v>子用例参数与运行时生成序列不计作独立目录项；级别为源码目录初分，未执行项目不能计作通过</x:v>
      </x:c>
    </x:row>
    <x:row r="560" ht="42" customHeight="1">
      <x:c r="A560" s="10" t="str">
        <x:v>UP-1044ad7f6eff</x:v>
      </x:c>
      <x:c r="B560" s="10" t="str">
        <x:v>L1</x:v>
      </x:c>
      <x:c r="C560" s="10" t="str">
        <x:v>挂载与元数据生命周期</x:v>
      </x:c>
      <x:c r="D560" s="10" t="str">
        <x:v>TestRedisCluster</x:v>
      </x:c>
      <x:c r="E560" s="10" t="str">
        <x:v>Go 测试入口</x:v>
      </x:c>
      <x:c r="F560" s="10" t="str">
        <x:v>待执行</x:v>
      </x:c>
      <x:c r="G560" s="10" t="str">
        <x:v>引擎源码测试；Windows 可构建性及服务依赖需核对</x:v>
      </x:c>
      <x:c r="H560" s="10" t="str">
        <x:v>pkg/meta/base_test.go:110</x:v>
      </x:c>
      <x:c r="I560" s="10" t="str">
        <x:v>https://github.com/juicedata/juicefs/blob/30190ca1094d26e85f19a979ca51b0ea19af1eaa/pkg/meta/base_test.go#L110</x:v>
      </x:c>
      <x:c r="J560" s="10" t="str">
        <x:v>未提升为 Windows 执行项</x:v>
      </x:c>
      <x:c r="K560" s="10" t="str">
        <x:v>见源文件及 CI 条件</x:v>
      </x:c>
      <x:c r="L560" s="10" t="str">
        <x:v>子用例参数与运行时生成序列不计作独立目录项；级别为源码目录初分，未执行项目不能计作通过</x:v>
      </x:c>
    </x:row>
    <x:row r="561" ht="42" customHeight="1">
      <x:c r="A561" s="11" t="str">
        <x:v>UP-70711cfb04e2</x:v>
      </x:c>
      <x:c r="B561" s="11" t="str">
        <x:v>L1</x:v>
      </x:c>
      <x:c r="C561" s="11" t="str">
        <x:v>挂载与元数据生命周期</x:v>
      </x:c>
      <x:c r="D561" s="11" t="str">
        <x:v>testMeta</x:v>
      </x:c>
      <x:c r="E561" s="11" t="str">
        <x:v>Go 子场景</x:v>
      </x:c>
      <x:c r="F561" s="11" t="str">
        <x:v>待执行</x:v>
      </x:c>
      <x:c r="G561" s="11" t="str">
        <x:v>引擎源码测试；Windows 可构建性及服务依赖需核对</x:v>
      </x:c>
      <x:c r="H561" s="11" t="str">
        <x:v>pkg/meta/base_test.go:121</x:v>
      </x:c>
      <x:c r="I561" s="11" t="str">
        <x:v>https://github.com/juicedata/juicefs/blob/30190ca1094d26e85f19a979ca51b0ea19af1eaa/pkg/meta/base_test.go#L121</x:v>
      </x:c>
      <x:c r="J561" s="11" t="str">
        <x:v>未提升为 Windows 执行项</x:v>
      </x:c>
      <x:c r="K561" s="11" t="str">
        <x:v>见源文件及 CI 条件</x:v>
      </x:c>
      <x:c r="L561" s="11" t="str">
        <x:v>子用例参数与运行时生成序列不计作独立目录项；级别为源码目录初分，未执行项目不能计作通过</x:v>
      </x:c>
    </x:row>
    <x:row r="562" ht="42" customHeight="1">
      <x:c r="A562" s="10" t="str">
        <x:v>UP-d082bdf5e42f</x:v>
      </x:c>
      <x:c r="B562" s="10" t="str">
        <x:v>L1</x:v>
      </x:c>
      <x:c r="C562" s="10" t="str">
        <x:v>挂载与元数据生命周期</x:v>
      </x:c>
      <x:c r="D562" s="10" t="str">
        <x:v>testAccess</x:v>
      </x:c>
      <x:c r="E562" s="10" t="str">
        <x:v>Go 子场景</x:v>
      </x:c>
      <x:c r="F562" s="10" t="str">
        <x:v>待执行</x:v>
      </x:c>
      <x:c r="G562" s="10" t="str">
        <x:v>引擎源码测试；Windows 可构建性及服务依赖需核对</x:v>
      </x:c>
      <x:c r="H562" s="10" t="str">
        <x:v>pkg/meta/base_test.go:162</x:v>
      </x:c>
      <x:c r="I562" s="10" t="str">
        <x:v>https://github.com/juicedata/juicefs/blob/30190ca1094d26e85f19a979ca51b0ea19af1eaa/pkg/meta/base_test.go#L162</x:v>
      </x:c>
      <x:c r="J562" s="10" t="str">
        <x:v>未提升为 Windows 执行项</x:v>
      </x:c>
      <x:c r="K562" s="10" t="str">
        <x:v>见源文件及 CI 条件</x:v>
      </x:c>
      <x:c r="L562" s="10" t="str">
        <x:v>子用例参数与运行时生成序列不计作独立目录项；级别为源码目录初分，未执行项目不能计作通过</x:v>
      </x:c>
    </x:row>
    <x:row r="563" ht="42" customHeight="1">
      <x:c r="A563" s="11" t="str">
        <x:v>UP-655399a7a644</x:v>
      </x:c>
      <x:c r="B563" s="11" t="str">
        <x:v>L2</x:v>
      </x:c>
      <x:c r="C563" s="11" t="str">
        <x:v>属性与权限</x:v>
      </x:c>
      <x:c r="D563" s="11" t="str">
        <x:v>testACL</x:v>
      </x:c>
      <x:c r="E563" s="11" t="str">
        <x:v>Go 子场景</x:v>
      </x:c>
      <x:c r="F563" s="11" t="str">
        <x:v>待执行</x:v>
      </x:c>
      <x:c r="G563" s="11" t="str">
        <x:v>引擎源码测试；Windows 可构建性及服务依赖需核对</x:v>
      </x:c>
      <x:c r="H563" s="11" t="str">
        <x:v>pkg/meta/base_test.go:221</x:v>
      </x:c>
      <x:c r="I563" s="11" t="str">
        <x:v>https://github.com/juicedata/juicefs/blob/30190ca1094d26e85f19a979ca51b0ea19af1eaa/pkg/meta/base_test.go#L221</x:v>
      </x:c>
      <x:c r="J563" s="11" t="str">
        <x:v>未提升为 Windows 执行项</x:v>
      </x:c>
      <x:c r="K563" s="11" t="str">
        <x:v>见源文件及 CI 条件</x:v>
      </x:c>
      <x:c r="L563" s="11" t="str">
        <x:v>子用例参数与运行时生成序列不计作独立目录项；级别为源码目录初分，未执行项目不能计作通过</x:v>
      </x:c>
    </x:row>
    <x:row r="564" ht="42" customHeight="1">
      <x:c r="A564" s="10" t="str">
        <x:v>UP-dc5da4ca8b74</x:v>
      </x:c>
      <x:c r="B564" s="10" t="str">
        <x:v>L2</x:v>
      </x:c>
      <x:c r="C564" s="10" t="str">
        <x:v>属性与权限</x:v>
      </x:c>
      <x:c r="D564" s="10" t="str">
        <x:v>testMetaClient</x:v>
      </x:c>
      <x:c r="E564" s="10" t="str">
        <x:v>Go 子场景</x:v>
      </x:c>
      <x:c r="F564" s="10" t="str">
        <x:v>待执行</x:v>
      </x:c>
      <x:c r="G564" s="10" t="str">
        <x:v>引擎源码测试；Windows 可构建性及服务依赖需核对</x:v>
      </x:c>
      <x:c r="H564" s="10" t="str">
        <x:v>pkg/meta/base_test.go:401</x:v>
      </x:c>
      <x:c r="I564" s="10" t="str">
        <x:v>https://github.com/juicedata/juicefs/blob/30190ca1094d26e85f19a979ca51b0ea19af1eaa/pkg/meta/base_test.go#L401</x:v>
      </x:c>
      <x:c r="J564" s="10" t="str">
        <x:v>未提升为 Windows 执行项</x:v>
      </x:c>
      <x:c r="K564" s="10" t="str">
        <x:v>见源文件及 CI 条件</x:v>
      </x:c>
      <x:c r="L564" s="10" t="str">
        <x:v>子用例参数与运行时生成序列不计作独立目录项；级别为源码目录初分，未执行项目不能计作通过</x:v>
      </x:c>
    </x:row>
    <x:row r="565" ht="42" customHeight="1">
      <x:c r="A565" s="11" t="str">
        <x:v>UP-af7c422417d4</x:v>
      </x:c>
      <x:c r="B565" s="11" t="str">
        <x:v>L1</x:v>
      </x:c>
      <x:c r="C565" s="11" t="str">
        <x:v>挂载与元数据生命周期</x:v>
      </x:c>
      <x:c r="D565" s="11" t="str">
        <x:v>testStickyBit</x:v>
      </x:c>
      <x:c r="E565" s="11" t="str">
        <x:v>Go 子场景</x:v>
      </x:c>
      <x:c r="F565" s="11" t="str">
        <x:v>待执行</x:v>
      </x:c>
      <x:c r="G565" s="11" t="str">
        <x:v>引擎源码测试；Windows 可构建性及服务依赖需核对</x:v>
      </x:c>
      <x:c r="H565" s="11" t="str">
        <x:v>pkg/meta/base_test.go:976</x:v>
      </x:c>
      <x:c r="I565" s="11" t="str">
        <x:v>https://github.com/juicedata/juicefs/blob/30190ca1094d26e85f19a979ca51b0ea19af1eaa/pkg/meta/base_test.go#L976</x:v>
      </x:c>
      <x:c r="J565" s="11" t="str">
        <x:v>未提升为 Windows 执行项</x:v>
      </x:c>
      <x:c r="K565" s="11" t="str">
        <x:v>见源文件及 CI 条件</x:v>
      </x:c>
      <x:c r="L565" s="11" t="str">
        <x:v>子用例参数与运行时生成序列不计作独立目录项；级别为源码目录初分，未执行项目不能计作通过</x:v>
      </x:c>
    </x:row>
    <x:row r="566" ht="42" customHeight="1">
      <x:c r="A566" s="10" t="str">
        <x:v>UP-b1ea7f4750d9</x:v>
      </x:c>
      <x:c r="B566" s="10" t="str">
        <x:v>L2</x:v>
      </x:c>
      <x:c r="C566" s="10" t="str">
        <x:v>并发与文件锁</x:v>
      </x:c>
      <x:c r="D566" s="10" t="str">
        <x:v>testListLocks</x:v>
      </x:c>
      <x:c r="E566" s="10" t="str">
        <x:v>Go 子场景</x:v>
      </x:c>
      <x:c r="F566" s="10" t="str">
        <x:v>待执行</x:v>
      </x:c>
      <x:c r="G566" s="10" t="str">
        <x:v>引擎源码测试；Windows 可构建性及服务依赖需核对</x:v>
      </x:c>
      <x:c r="H566" s="10" t="str">
        <x:v>pkg/meta/base_test.go:1042</x:v>
      </x:c>
      <x:c r="I566" s="10" t="str">
        <x:v>https://github.com/juicedata/juicefs/blob/30190ca1094d26e85f19a979ca51b0ea19af1eaa/pkg/meta/base_test.go#L1042</x:v>
      </x:c>
      <x:c r="J566" s="10" t="str">
        <x:v>未提升为 Windows 执行项</x:v>
      </x:c>
      <x:c r="K566" s="10" t="str">
        <x:v>见源文件及 CI 条件</x:v>
      </x:c>
      <x:c r="L566" s="10" t="str">
        <x:v>子用例参数与运行时生成序列不计作独立目录项；级别为源码目录初分，未执行项目不能计作通过</x:v>
      </x:c>
    </x:row>
    <x:row r="567" ht="42" customHeight="1">
      <x:c r="A567" s="11" t="str">
        <x:v>UP-b105050216f4</x:v>
      </x:c>
      <x:c r="B567" s="11" t="str">
        <x:v>L2</x:v>
      </x:c>
      <x:c r="C567" s="11" t="str">
        <x:v>并发与文件锁</x:v>
      </x:c>
      <x:c r="D567" s="11" t="str">
        <x:v>testLocks</x:v>
      </x:c>
      <x:c r="E567" s="11" t="str">
        <x:v>Go 子场景</x:v>
      </x:c>
      <x:c r="F567" s="11" t="str">
        <x:v>待执行</x:v>
      </x:c>
      <x:c r="G567" s="11" t="str">
        <x:v>引擎源码测试；Windows 可构建性及服务依赖需核对</x:v>
      </x:c>
      <x:c r="H567" s="11" t="str">
        <x:v>pkg/meta/base_test.go:1116</x:v>
      </x:c>
      <x:c r="I567" s="11" t="str">
        <x:v>https://github.com/juicedata/juicefs/blob/30190ca1094d26e85f19a979ca51b0ea19af1eaa/pkg/meta/base_test.go#L1116</x:v>
      </x:c>
      <x:c r="J567" s="11" t="str">
        <x:v>未提升为 Windows 执行项</x:v>
      </x:c>
      <x:c r="K567" s="11" t="str">
        <x:v>见源文件及 CI 条件</x:v>
      </x:c>
      <x:c r="L567" s="11" t="str">
        <x:v>子用例参数与运行时生成序列不计作独立目录项；级别为源码目录初分，未执行项目不能计作通过</x:v>
      </x:c>
    </x:row>
    <x:row r="568" ht="42" customHeight="1">
      <x:c r="A568" s="10" t="str">
        <x:v>UP-2804d0dbbcf3</x:v>
      </x:c>
      <x:c r="B568" s="10" t="str">
        <x:v>L1</x:v>
      </x:c>
      <x:c r="C568" s="10" t="str">
        <x:v>挂载与元数据生命周期</x:v>
      </x:c>
      <x:c r="D568" s="10" t="str">
        <x:v>testResolve</x:v>
      </x:c>
      <x:c r="E568" s="10" t="str">
        <x:v>Go 子场景</x:v>
      </x:c>
      <x:c r="F568" s="10" t="str">
        <x:v>待执行</x:v>
      </x:c>
      <x:c r="G568" s="10" t="str">
        <x:v>引擎源码测试；Windows 可构建性及服务依赖需核对</x:v>
      </x:c>
      <x:c r="H568" s="10" t="str">
        <x:v>pkg/meta/base_test.go:1264</x:v>
      </x:c>
      <x:c r="I568" s="10" t="str">
        <x:v>https://github.com/juicedata/juicefs/blob/30190ca1094d26e85f19a979ca51b0ea19af1eaa/pkg/meta/base_test.go#L1264</x:v>
      </x:c>
      <x:c r="J568" s="10" t="str">
        <x:v>未提升为 Windows 执行项</x:v>
      </x:c>
      <x:c r="K568" s="10" t="str">
        <x:v>见源文件及 CI 条件</x:v>
      </x:c>
      <x:c r="L568" s="10" t="str">
        <x:v>子用例参数与运行时生成序列不计作独立目录项；级别为源码目录初分，未执行项目不能计作通过</x:v>
      </x:c>
    </x:row>
    <x:row r="569" ht="42" customHeight="1">
      <x:c r="A569" s="11" t="str">
        <x:v>UP-abb990bba7a6</x:v>
      </x:c>
      <x:c r="B569" s="11" t="str">
        <x:v>L2</x:v>
      </x:c>
      <x:c r="C569" s="11" t="str">
        <x:v>命名与目录</x:v>
      </x:c>
      <x:c r="D569" s="11" t="str">
        <x:v>testRemove</x:v>
      </x:c>
      <x:c r="E569" s="11" t="str">
        <x:v>Go 子场景</x:v>
      </x:c>
      <x:c r="F569" s="11" t="str">
        <x:v>待执行</x:v>
      </x:c>
      <x:c r="G569" s="11" t="str">
        <x:v>引擎源码测试；Windows 可构建性及服务依赖需核对</x:v>
      </x:c>
      <x:c r="H569" s="11" t="str">
        <x:v>pkg/meta/base_test.go:1310</x:v>
      </x:c>
      <x:c r="I569" s="11" t="str">
        <x:v>https://github.com/juicedata/juicefs/blob/30190ca1094d26e85f19a979ca51b0ea19af1eaa/pkg/meta/base_test.go#L1310</x:v>
      </x:c>
      <x:c r="J569" s="11" t="str">
        <x:v>未提升为 Windows 执行项</x:v>
      </x:c>
      <x:c r="K569" s="11" t="str">
        <x:v>见源文件及 CI 条件</x:v>
      </x:c>
      <x:c r="L569" s="11" t="str">
        <x:v>子用例参数与运行时生成序列不计作独立目录项；级别为源码目录初分，未执行项目不能计作通过</x:v>
      </x:c>
    </x:row>
    <x:row r="570" ht="42" customHeight="1">
      <x:c r="A570" s="10" t="str">
        <x:v>UP-c03711917bea</x:v>
      </x:c>
      <x:c r="B570" s="10" t="str">
        <x:v>L1</x:v>
      </x:c>
      <x:c r="C570" s="10" t="str">
        <x:v>挂载与元数据生命周期</x:v>
      </x:c>
      <x:c r="D570" s="10" t="str">
        <x:v>testCaseIncensi</x:v>
      </x:c>
      <x:c r="E570" s="10" t="str">
        <x:v>Go 子场景</x:v>
      </x:c>
      <x:c r="F570" s="10" t="str">
        <x:v>待执行</x:v>
      </x:c>
      <x:c r="G570" s="10" t="str">
        <x:v>引擎源码测试；Windows 可构建性及服务依赖需核对</x:v>
      </x:c>
      <x:c r="H570" s="10" t="str">
        <x:v>pkg/meta/base_test.go:1351</x:v>
      </x:c>
      <x:c r="I570" s="10" t="str">
        <x:v>https://github.com/juicedata/juicefs/blob/30190ca1094d26e85f19a979ca51b0ea19af1eaa/pkg/meta/base_test.go#L1351</x:v>
      </x:c>
      <x:c r="J570" s="10" t="str">
        <x:v>未提升为 Windows 执行项</x:v>
      </x:c>
      <x:c r="K570" s="10" t="str">
        <x:v>见源文件及 CI 条件</x:v>
      </x:c>
      <x:c r="L570" s="10" t="str">
        <x:v>子用例参数与运行时生成序列不计作独立目录项；级别为源码目录初分，未执行项目不能计作通过</x:v>
      </x:c>
    </x:row>
    <x:row r="571" ht="42" customHeight="1">
      <x:c r="A571" s="11" t="str">
        <x:v>UP-aaf16db09e9a</x:v>
      </x:c>
      <x:c r="B571" s="11" t="str">
        <x:v>L2</x:v>
      </x:c>
      <x:c r="C571" s="11" t="str">
        <x:v>命名与目录</x:v>
      </x:c>
      <x:c r="D571" s="11" t="str">
        <x:v>testCaseIncensiRename</x:v>
      </x:c>
      <x:c r="E571" s="11" t="str">
        <x:v>Go 子场景</x:v>
      </x:c>
      <x:c r="F571" s="11" t="str">
        <x:v>待执行</x:v>
      </x:c>
      <x:c r="G571" s="11" t="str">
        <x:v>引擎源码测试；Windows 可构建性及服务依赖需核对</x:v>
      </x:c>
      <x:c r="H571" s="11" t="str">
        <x:v>pkg/meta/base_test.go:1394</x:v>
      </x:c>
      <x:c r="I571" s="11" t="str">
        <x:v>https://github.com/juicedata/juicefs/blob/30190ca1094d26e85f19a979ca51b0ea19af1eaa/pkg/meta/base_test.go#L1394</x:v>
      </x:c>
      <x:c r="J571" s="11" t="str">
        <x:v>未提升为 Windows 执行项</x:v>
      </x:c>
      <x:c r="K571" s="11" t="str">
        <x:v>见源文件及 CI 条件</x:v>
      </x:c>
      <x:c r="L571" s="11" t="str">
        <x:v>子用例参数与运行时生成序列不计作独立目录项；级别为源码目录初分，未执行项目不能计作通过</x:v>
      </x:c>
    </x:row>
    <x:row r="572" ht="42" customHeight="1">
      <x:c r="A572" s="10" t="str">
        <x:v>UP-f0cdf171258a</x:v>
      </x:c>
      <x:c r="B572" s="10" t="str">
        <x:v>L2</x:v>
      </x:c>
      <x:c r="C572" s="10" t="str">
        <x:v>命名与目录</x:v>
      </x:c>
      <x:c r="D572" s="10" t="str">
        <x:v>testCaseIncensiHardlinkRename</x:v>
      </x:c>
      <x:c r="E572" s="10" t="str">
        <x:v>Go 子场景</x:v>
      </x:c>
      <x:c r="F572" s="10" t="str">
        <x:v>待执行</x:v>
      </x:c>
      <x:c r="G572" s="10" t="str">
        <x:v>引擎源码测试；Windows 可构建性及服务依赖需核对</x:v>
      </x:c>
      <x:c r="H572" s="10" t="str">
        <x:v>pkg/meta/base_test.go:1469</x:v>
      </x:c>
      <x:c r="I572" s="10" t="str">
        <x:v>https://github.com/juicedata/juicefs/blob/30190ca1094d26e85f19a979ca51b0ea19af1eaa/pkg/meta/base_test.go#L1469</x:v>
      </x:c>
      <x:c r="J572" s="10" t="str">
        <x:v>未提升为 Windows 执行项</x:v>
      </x:c>
      <x:c r="K572" s="10" t="str">
        <x:v>见源文件及 CI 条件</x:v>
      </x:c>
      <x:c r="L572" s="10" t="str">
        <x:v>子用例参数与运行时生成序列不计作独立目录项；级别为源码目录初分，未执行项目不能计作通过</x:v>
      </x:c>
    </x:row>
    <x:row r="573" ht="42" customHeight="1">
      <x:c r="A573" s="11" t="str">
        <x:v>UP-4ab167bbf305</x:v>
      </x:c>
      <x:c r="B573" s="11" t="str">
        <x:v>L1</x:v>
      </x:c>
      <x:c r="C573" s="11" t="str">
        <x:v>挂载与元数据生命周期</x:v>
      </x:c>
      <x:c r="D573" s="11" t="str">
        <x:v>testCompaction</x:v>
      </x:c>
      <x:c r="E573" s="11" t="str">
        <x:v>Go 子场景</x:v>
      </x:c>
      <x:c r="F573" s="11" t="str">
        <x:v>待执行</x:v>
      </x:c>
      <x:c r="G573" s="11" t="str">
        <x:v>引擎源码测试；Windows 可构建性及服务依赖需核对</x:v>
      </x:c>
      <x:c r="H573" s="11" t="str">
        <x:v>pkg/meta/base_test.go:1554</x:v>
      </x:c>
      <x:c r="I573" s="11" t="str">
        <x:v>https://github.com/juicedata/juicefs/blob/30190ca1094d26e85f19a979ca51b0ea19af1eaa/pkg/meta/base_test.go#L1554</x:v>
      </x:c>
      <x:c r="J573" s="11" t="str">
        <x:v>未提升为 Windows 执行项</x:v>
      </x:c>
      <x:c r="K573" s="11" t="str">
        <x:v>见源文件及 CI 条件</x:v>
      </x:c>
      <x:c r="L573" s="11" t="str">
        <x:v>子用例参数与运行时生成序列不计作独立目录项；级别为源码目录初分，未执行项目不能计作通过</x:v>
      </x:c>
    </x:row>
    <x:row r="574" ht="42" customHeight="1">
      <x:c r="A574" s="10" t="str">
        <x:v>UP-7454eec16ae3</x:v>
      </x:c>
      <x:c r="B574" s="10" t="str">
        <x:v>L2</x:v>
      </x:c>
      <x:c r="C574" s="10" t="str">
        <x:v>并发与文件锁</x:v>
      </x:c>
      <x:c r="D574" s="10" t="str">
        <x:v>testConcurrentWrite</x:v>
      </x:c>
      <x:c r="E574" s="10" t="str">
        <x:v>Go 子场景</x:v>
      </x:c>
      <x:c r="F574" s="10" t="str">
        <x:v>待执行</x:v>
      </x:c>
      <x:c r="G574" s="10" t="str">
        <x:v>引擎源码测试；Windows 可构建性及服务依赖需核对</x:v>
      </x:c>
      <x:c r="H574" s="10" t="str">
        <x:v>pkg/meta/base_test.go:1760</x:v>
      </x:c>
      <x:c r="I574" s="10" t="str">
        <x:v>https://github.com/juicedata/juicefs/blob/30190ca1094d26e85f19a979ca51b0ea19af1eaa/pkg/meta/base_test.go#L1760</x:v>
      </x:c>
      <x:c r="J574" s="10" t="str">
        <x:v>未提升为 Windows 执行项</x:v>
      </x:c>
      <x:c r="K574" s="10" t="str">
        <x:v>见源文件及 CI 条件</x:v>
      </x:c>
      <x:c r="L574" s="10" t="str">
        <x:v>子用例参数与运行时生成序列不计作独立目录项；级别为源码目录初分，未执行项目不能计作通过</x:v>
      </x:c>
    </x:row>
    <x:row r="575" ht="42" customHeight="1">
      <x:c r="A575" s="11" t="str">
        <x:v>UP-ab02bb4ef339</x:v>
      </x:c>
      <x:c r="B575" s="11" t="str">
        <x:v>L1</x:v>
      </x:c>
      <x:c r="C575" s="11" t="str">
        <x:v>刷新与一致性</x:v>
      </x:c>
      <x:c r="D575" s="11" t="str">
        <x:v>testTruncateAndDelete</x:v>
      </x:c>
      <x:c r="E575" s="11" t="str">
        <x:v>Go 子场景</x:v>
      </x:c>
      <x:c r="F575" s="11" t="str">
        <x:v>待执行</x:v>
      </x:c>
      <x:c r="G575" s="11" t="str">
        <x:v>引擎源码测试；Windows 可构建性及服务依赖需核对</x:v>
      </x:c>
      <x:c r="H575" s="11" t="str">
        <x:v>pkg/meta/base_test.go:1828</x:v>
      </x:c>
      <x:c r="I575" s="11" t="str">
        <x:v>https://github.com/juicedata/juicefs/blob/30190ca1094d26e85f19a979ca51b0ea19af1eaa/pkg/meta/base_test.go#L1828</x:v>
      </x:c>
      <x:c r="J575" s="11" t="str">
        <x:v>未提升为 Windows 执行项</x:v>
      </x:c>
      <x:c r="K575" s="11" t="str">
        <x:v>见源文件及 CI 条件</x:v>
      </x:c>
      <x:c r="L575" s="11" t="str">
        <x:v>子用例参数与运行时生成序列不计作独立目录项；级别为源码目录初分，未执行项目不能计作通过</x:v>
      </x:c>
    </x:row>
    <x:row r="576" ht="42" customHeight="1">
      <x:c r="A576" s="10" t="str">
        <x:v>UP-39e01d3f08ca</x:v>
      </x:c>
      <x:c r="B576" s="10" t="str">
        <x:v>L1</x:v>
      </x:c>
      <x:c r="C576" s="10" t="str">
        <x:v>挂载与元数据生命周期</x:v>
      </x:c>
      <x:c r="D576" s="10" t="str">
        <x:v>testCopyFileRange</x:v>
      </x:c>
      <x:c r="E576" s="10" t="str">
        <x:v>Go 子场景</x:v>
      </x:c>
      <x:c r="F576" s="10" t="str">
        <x:v>待执行</x:v>
      </x:c>
      <x:c r="G576" s="10" t="str">
        <x:v>引擎源码测试；Windows 可构建性及服务依赖需核对</x:v>
      </x:c>
      <x:c r="H576" s="10" t="str">
        <x:v>pkg/meta/base_test.go:1892</x:v>
      </x:c>
      <x:c r="I576" s="10" t="str">
        <x:v>https://github.com/juicedata/juicefs/blob/30190ca1094d26e85f19a979ca51b0ea19af1eaa/pkg/meta/base_test.go#L1892</x:v>
      </x:c>
      <x:c r="J576" s="10" t="str">
        <x:v>未提升为 Windows 执行项</x:v>
      </x:c>
      <x:c r="K576" s="10" t="str">
        <x:v>见源文件及 CI 条件</x:v>
      </x:c>
      <x:c r="L576" s="10" t="str">
        <x:v>子用例参数与运行时生成序列不计作独立目录项；级别为源码目录初分，未执行项目不能计作通过</x:v>
      </x:c>
    </x:row>
    <x:row r="577" ht="42" customHeight="1">
      <x:c r="A577" s="11" t="str">
        <x:v>UP-3c5184796915</x:v>
      </x:c>
      <x:c r="B577" s="11" t="str">
        <x:v>L1</x:v>
      </x:c>
      <x:c r="C577" s="11" t="str">
        <x:v>挂载与元数据生命周期</x:v>
      </x:c>
      <x:c r="D577" s="11" t="str">
        <x:v>testCloseSession</x:v>
      </x:c>
      <x:c r="E577" s="11" t="str">
        <x:v>Go 子场景</x:v>
      </x:c>
      <x:c r="F577" s="11" t="str">
        <x:v>待执行</x:v>
      </x:c>
      <x:c r="G577" s="11" t="str">
        <x:v>引擎源码测试；Windows 可构建性及服务依赖需核对</x:v>
      </x:c>
      <x:c r="H577" s="11" t="str">
        <x:v>pkg/meta/base_test.go:1960</x:v>
      </x:c>
      <x:c r="I577" s="11" t="str">
        <x:v>https://github.com/juicedata/juicefs/blob/30190ca1094d26e85f19a979ca51b0ea19af1eaa/pkg/meta/base_test.go#L1960</x:v>
      </x:c>
      <x:c r="J577" s="11" t="str">
        <x:v>未提升为 Windows 执行项</x:v>
      </x:c>
      <x:c r="K577" s="11" t="str">
        <x:v>见源文件及 CI 条件</x:v>
      </x:c>
      <x:c r="L577" s="11" t="str">
        <x:v>子用例参数与运行时生成序列不计作独立目录项；级别为源码目录初分，未执行项目不能计作通过</x:v>
      </x:c>
    </x:row>
    <x:row r="578" ht="42" customHeight="1">
      <x:c r="A578" s="10" t="str">
        <x:v>UP-090c907ae74b</x:v>
      </x:c>
      <x:c r="B578" s="10" t="str">
        <x:v>L1</x:v>
      </x:c>
      <x:c r="C578" s="10" t="str">
        <x:v>挂载与元数据生命周期</x:v>
      </x:c>
      <x:c r="D578" s="10" t="str">
        <x:v>testTrash</x:v>
      </x:c>
      <x:c r="E578" s="10" t="str">
        <x:v>Go 子场景</x:v>
      </x:c>
      <x:c r="F578" s="10" t="str">
        <x:v>待执行</x:v>
      </x:c>
      <x:c r="G578" s="10" t="str">
        <x:v>引擎源码测试；Windows 可构建性及服务依赖需核对</x:v>
      </x:c>
      <x:c r="H578" s="10" t="str">
        <x:v>pkg/meta/base_test.go:2021</x:v>
      </x:c>
      <x:c r="I578" s="10" t="str">
        <x:v>https://github.com/juicedata/juicefs/blob/30190ca1094d26e85f19a979ca51b0ea19af1eaa/pkg/meta/base_test.go#L2021</x:v>
      </x:c>
      <x:c r="J578" s="10" t="str">
        <x:v>未提升为 Windows 执行项</x:v>
      </x:c>
      <x:c r="K578" s="10" t="str">
        <x:v>见源文件及 CI 条件</x:v>
      </x:c>
      <x:c r="L578" s="10" t="str">
        <x:v>子用例参数与运行时生成序列不计作独立目录项；级别为源码目录初分，未执行项目不能计作通过</x:v>
      </x:c>
    </x:row>
    <x:row r="579" ht="42" customHeight="1">
      <x:c r="A579" s="11" t="str">
        <x:v>UP-7918e92c0005</x:v>
      </x:c>
      <x:c r="B579" s="11" t="str">
        <x:v>L1</x:v>
      </x:c>
      <x:c r="C579" s="11" t="str">
        <x:v>挂载与元数据生命周期</x:v>
      </x:c>
      <x:c r="D579" s="11" t="str">
        <x:v>testParents</x:v>
      </x:c>
      <x:c r="E579" s="11" t="str">
        <x:v>Go 子场景</x:v>
      </x:c>
      <x:c r="F579" s="11" t="str">
        <x:v>待执行</x:v>
      </x:c>
      <x:c r="G579" s="11" t="str">
        <x:v>引擎源码测试；Windows 可构建性及服务依赖需核对</x:v>
      </x:c>
      <x:c r="H579" s="11" t="str">
        <x:v>pkg/meta/base_test.go:2207</x:v>
      </x:c>
      <x:c r="I579" s="11" t="str">
        <x:v>https://github.com/juicedata/juicefs/blob/30190ca1094d26e85f19a979ca51b0ea19af1eaa/pkg/meta/base_test.go#L2207</x:v>
      </x:c>
      <x:c r="J579" s="11" t="str">
        <x:v>未提升为 Windows 执行项</x:v>
      </x:c>
      <x:c r="K579" s="11" t="str">
        <x:v>见源文件及 CI 条件</x:v>
      </x:c>
      <x:c r="L579" s="11" t="str">
        <x:v>子用例参数与运行时生成序列不计作独立目录项；级别为源码目录初分，未执行项目不能计作通过</x:v>
      </x:c>
    </x:row>
    <x:row r="580" ht="42" customHeight="1">
      <x:c r="A580" s="10" t="str">
        <x:v>UP-459908e6bf64</x:v>
      </x:c>
      <x:c r="B580" s="10" t="str">
        <x:v>L2</x:v>
      </x:c>
      <x:c r="C580" s="10" t="str">
        <x:v>缓存与后台上传</x:v>
      </x:c>
      <x:c r="D580" s="10" t="str">
        <x:v>testOpenCache</x:v>
      </x:c>
      <x:c r="E580" s="10" t="str">
        <x:v>Go 子场景</x:v>
      </x:c>
      <x:c r="F580" s="10" t="str">
        <x:v>待执行</x:v>
      </x:c>
      <x:c r="G580" s="10" t="str">
        <x:v>引擎源码测试；Windows 可构建性及服务依赖需核对</x:v>
      </x:c>
      <x:c r="H580" s="10" t="str">
        <x:v>pkg/meta/base_test.go:2277</x:v>
      </x:c>
      <x:c r="I580" s="10" t="str">
        <x:v>https://github.com/juicedata/juicefs/blob/30190ca1094d26e85f19a979ca51b0ea19af1eaa/pkg/meta/base_test.go#L2277</x:v>
      </x:c>
      <x:c r="J580" s="10" t="str">
        <x:v>未提升为 Windows 执行项</x:v>
      </x:c>
      <x:c r="K580" s="10" t="str">
        <x:v>见源文件及 CI 条件</x:v>
      </x:c>
      <x:c r="L580" s="10" t="str">
        <x:v>子用例参数与运行时生成序列不计作独立目录项；级别为源码目录初分，未执行项目不能计作通过</x:v>
      </x:c>
    </x:row>
    <x:row r="581" ht="42" customHeight="1">
      <x:c r="A581" s="11" t="str">
        <x:v>UP-777fbfcbaf44</x:v>
      </x:c>
      <x:c r="B581" s="11" t="str">
        <x:v>L1</x:v>
      </x:c>
      <x:c r="C581" s="11" t="str">
        <x:v>挂载与元数据生命周期</x:v>
      </x:c>
      <x:c r="D581" s="11" t="str">
        <x:v>testReadOnly</x:v>
      </x:c>
      <x:c r="E581" s="11" t="str">
        <x:v>Go 子场景</x:v>
      </x:c>
      <x:c r="F581" s="11" t="str">
        <x:v>待执行</x:v>
      </x:c>
      <x:c r="G581" s="11" t="str">
        <x:v>引擎源码测试；Windows 可构建性及服务依赖需核对</x:v>
      </x:c>
      <x:c r="H581" s="11" t="str">
        <x:v>pkg/meta/base_test.go:2309</x:v>
      </x:c>
      <x:c r="I581" s="11" t="str">
        <x:v>https://github.com/juicedata/juicefs/blob/30190ca1094d26e85f19a979ca51b0ea19af1eaa/pkg/meta/base_test.go#L2309</x:v>
      </x:c>
      <x:c r="J581" s="11" t="str">
        <x:v>未提升为 Windows 执行项</x:v>
      </x:c>
      <x:c r="K581" s="11" t="str">
        <x:v>见源文件及 CI 条件</x:v>
      </x:c>
      <x:c r="L581" s="11" t="str">
        <x:v>子用例参数与运行时生成序列不计作独立目录项；级别为源码目录初分，未执行项目不能计作通过</x:v>
      </x:c>
    </x:row>
    <x:row r="582" ht="42" customHeight="1">
      <x:c r="A582" s="10" t="str">
        <x:v>UP-9e3d2b60a02d</x:v>
      </x:c>
      <x:c r="B582" s="10" t="str">
        <x:v>L2</x:v>
      </x:c>
      <x:c r="C582" s="10" t="str">
        <x:v>并发与文件锁</x:v>
      </x:c>
      <x:c r="D582" s="10" t="str">
        <x:v>testConcurrentDir</x:v>
      </x:c>
      <x:c r="E582" s="10" t="str">
        <x:v>Go 子场景</x:v>
      </x:c>
      <x:c r="F582" s="10" t="str">
        <x:v>待执行</x:v>
      </x:c>
      <x:c r="G582" s="10" t="str">
        <x:v>引擎源码测试；Windows 可构建性及服务依赖需核对</x:v>
      </x:c>
      <x:c r="H582" s="10" t="str">
        <x:v>pkg/meta/base_test.go:2336</x:v>
      </x:c>
      <x:c r="I582" s="10" t="str">
        <x:v>https://github.com/juicedata/juicefs/blob/30190ca1094d26e85f19a979ca51b0ea19af1eaa/pkg/meta/base_test.go#L2336</x:v>
      </x:c>
      <x:c r="J582" s="10" t="str">
        <x:v>未提升为 Windows 执行项</x:v>
      </x:c>
      <x:c r="K582" s="10" t="str">
        <x:v>见源文件及 CI 条件</x:v>
      </x:c>
      <x:c r="L582" s="10" t="str">
        <x:v>子用例参数与运行时生成序列不计作独立目录项；级别为源码目录初分，未执行项目不能计作通过</x:v>
      </x:c>
    </x:row>
    <x:row r="583" ht="42" customHeight="1">
      <x:c r="A583" s="11" t="str">
        <x:v>UP-ded876daa205</x:v>
      </x:c>
      <x:c r="B583" s="11" t="str">
        <x:v>L1</x:v>
      </x:c>
      <x:c r="C583" s="11" t="str">
        <x:v>挂载与元数据生命周期</x:v>
      </x:c>
      <x:c r="D583" s="11" t="str">
        <x:v>testAttrFlags</x:v>
      </x:c>
      <x:c r="E583" s="11" t="str">
        <x:v>Go 子场景</x:v>
      </x:c>
      <x:c r="F583" s="11" t="str">
        <x:v>待执行</x:v>
      </x:c>
      <x:c r="G583" s="11" t="str">
        <x:v>引擎源码测试；Windows 可构建性及服务依赖需核对</x:v>
      </x:c>
      <x:c r="H583" s="11" t="str">
        <x:v>pkg/meta/base_test.go:2407</x:v>
      </x:c>
      <x:c r="I583" s="11" t="str">
        <x:v>https://github.com/juicedata/juicefs/blob/30190ca1094d26e85f19a979ca51b0ea19af1eaa/pkg/meta/base_test.go#L2407</x:v>
      </x:c>
      <x:c r="J583" s="11" t="str">
        <x:v>未提升为 Windows 执行项</x:v>
      </x:c>
      <x:c r="K583" s="11" t="str">
        <x:v>见源文件及 CI 条件</x:v>
      </x:c>
      <x:c r="L583" s="11" t="str">
        <x:v>子用例参数与运行时生成序列不计作独立目录项；级别为源码目录初分，未执行项目不能计作通过</x:v>
      </x:c>
    </x:row>
    <x:row r="584" ht="42" customHeight="1">
      <x:c r="A584" s="10" t="str">
        <x:v>UP-c2d665902088</x:v>
      </x:c>
      <x:c r="B584" s="10" t="str">
        <x:v>L1</x:v>
      </x:c>
      <x:c r="C584" s="10" t="str">
        <x:v>挂载与元数据生命周期</x:v>
      </x:c>
      <x:c r="D584" s="10" t="str">
        <x:v>testCheckAndRepair</x:v>
      </x:c>
      <x:c r="E584" s="10" t="str">
        <x:v>Go 子场景</x:v>
      </x:c>
      <x:c r="F584" s="10" t="str">
        <x:v>待执行</x:v>
      </x:c>
      <x:c r="G584" s="10" t="str">
        <x:v>引擎源码测试；Windows 可构建性及服务依赖需核对</x:v>
      </x:c>
      <x:c r="H584" s="10" t="str">
        <x:v>pkg/meta/base_test.go:2605</x:v>
      </x:c>
      <x:c r="I584" s="10" t="str">
        <x:v>https://github.com/juicedata/juicefs/blob/30190ca1094d26e85f19a979ca51b0ea19af1eaa/pkg/meta/base_test.go#L2605</x:v>
      </x:c>
      <x:c r="J584" s="10" t="str">
        <x:v>未提升为 Windows 执行项</x:v>
      </x:c>
      <x:c r="K584" s="10" t="str">
        <x:v>见源文件及 CI 条件</x:v>
      </x:c>
      <x:c r="L584" s="10" t="str">
        <x:v>子用例参数与运行时生成序列不计作独立目录项；级别为源码目录初分，未执行项目不能计作通过</x:v>
      </x:c>
    </x:row>
    <x:row r="585" ht="42" customHeight="1">
      <x:c r="A585" s="11" t="str">
        <x:v>UP-007db03a49cc</x:v>
      </x:c>
      <x:c r="B585" s="11" t="str">
        <x:v>L1</x:v>
      </x:c>
      <x:c r="C585" s="11" t="str">
        <x:v>挂载与元数据生命周期</x:v>
      </x:c>
      <x:c r="D585" s="11" t="str">
        <x:v>testDirStat</x:v>
      </x:c>
      <x:c r="E585" s="11" t="str">
        <x:v>Go 子场景</x:v>
      </x:c>
      <x:c r="F585" s="11" t="str">
        <x:v>待执行</x:v>
      </x:c>
      <x:c r="G585" s="11" t="str">
        <x:v>引擎源码测试；Windows 可构建性及服务依赖需核对</x:v>
      </x:c>
      <x:c r="H585" s="11" t="str">
        <x:v>pkg/meta/base_test.go:2712</x:v>
      </x:c>
      <x:c r="I585" s="11" t="str">
        <x:v>https://github.com/juicedata/juicefs/blob/30190ca1094d26e85f19a979ca51b0ea19af1eaa/pkg/meta/base_test.go#L2712</x:v>
      </x:c>
      <x:c r="J585" s="11" t="str">
        <x:v>未提升为 Windows 执行项</x:v>
      </x:c>
      <x:c r="K585" s="11" t="str">
        <x:v>见源文件及 CI 条件</x:v>
      </x:c>
      <x:c r="L585" s="11" t="str">
        <x:v>子用例参数与运行时生成序列不计作独立目录项；级别为源码目录初分，未执行项目不能计作通过</x:v>
      </x:c>
    </x:row>
    <x:row r="586" ht="42" customHeight="1">
      <x:c r="A586" s="10" t="str">
        <x:v>UP-e1e02fdbf198</x:v>
      </x:c>
      <x:c r="B586" s="10" t="str">
        <x:v>L1</x:v>
      </x:c>
      <x:c r="C586" s="10" t="str">
        <x:v>挂载与元数据生命周期</x:v>
      </x:c>
      <x:c r="D586" s="10" t="str">
        <x:v>testClone</x:v>
      </x:c>
      <x:c r="E586" s="10" t="str">
        <x:v>Go 子场景</x:v>
      </x:c>
      <x:c r="F586" s="10" t="str">
        <x:v>待执行</x:v>
      </x:c>
      <x:c r="G586" s="10" t="str">
        <x:v>引擎源码测试；Windows 可构建性及服务依赖需核对</x:v>
      </x:c>
      <x:c r="H586" s="10" t="str">
        <x:v>pkg/meta/base_test.go:2817</x:v>
      </x:c>
      <x:c r="I586" s="10" t="str">
        <x:v>https://github.com/juicedata/juicefs/blob/30190ca1094d26e85f19a979ca51b0ea19af1eaa/pkg/meta/base_test.go#L2817</x:v>
      </x:c>
      <x:c r="J586" s="10" t="str">
        <x:v>未提升为 Windows 执行项</x:v>
      </x:c>
      <x:c r="K586" s="10" t="str">
        <x:v>见源文件及 CI 条件</x:v>
      </x:c>
      <x:c r="L586" s="10" t="str">
        <x:v>子用例参数与运行时生成序列不计作独立目录项；级别为源码目录初分，未执行项目不能计作通过</x:v>
      </x:c>
    </x:row>
    <x:row r="587" ht="42" customHeight="1">
      <x:c r="A587" s="11" t="str">
        <x:v>UP-1932ec668854</x:v>
      </x:c>
      <x:c r="B587" s="11" t="str">
        <x:v>L1</x:v>
      </x:c>
      <x:c r="C587" s="11" t="str">
        <x:v>崩溃与资源耗尽</x:v>
      </x:c>
      <x:c r="D587" s="11" t="str">
        <x:v>testQuota</x:v>
      </x:c>
      <x:c r="E587" s="11" t="str">
        <x:v>Go 子场景</x:v>
      </x:c>
      <x:c r="F587" s="11" t="str">
        <x:v>待执行</x:v>
      </x:c>
      <x:c r="G587" s="11" t="str">
        <x:v>引擎源码测试；Windows 可构建性及服务依赖需核对</x:v>
      </x:c>
      <x:c r="H587" s="11" t="str">
        <x:v>pkg/meta/base_test.go:3169</x:v>
      </x:c>
      <x:c r="I587" s="11" t="str">
        <x:v>https://github.com/juicedata/juicefs/blob/30190ca1094d26e85f19a979ca51b0ea19af1eaa/pkg/meta/base_test.go#L3169</x:v>
      </x:c>
      <x:c r="J587" s="11" t="str">
        <x:v>未提升为 Windows 执行项</x:v>
      </x:c>
      <x:c r="K587" s="11" t="str">
        <x:v>见源文件及 CI 条件</x:v>
      </x:c>
      <x:c r="L587" s="11" t="str">
        <x:v>子用例参数与运行时生成序列不计作独立目录项；级别为源码目录初分，未执行项目不能计作通过</x:v>
      </x:c>
    </x:row>
    <x:row r="588" ht="42" customHeight="1">
      <x:c r="A588" s="10" t="str">
        <x:v>UP-b086408b98b9</x:v>
      </x:c>
      <x:c r="B588" s="10" t="str">
        <x:v>L1</x:v>
      </x:c>
      <x:c r="C588" s="10" t="str">
        <x:v>挂载与元数据生命周期</x:v>
      </x:c>
      <x:c r="D588" s="10" t="str">
        <x:v>testAtime</x:v>
      </x:c>
      <x:c r="E588" s="10" t="str">
        <x:v>Go 子场景</x:v>
      </x:c>
      <x:c r="F588" s="10" t="str">
        <x:v>待执行</x:v>
      </x:c>
      <x:c r="G588" s="10" t="str">
        <x:v>引擎源码测试；Windows 可构建性及服务依赖需核对</x:v>
      </x:c>
      <x:c r="H588" s="10" t="str">
        <x:v>pkg/meta/base_test.go:3324</x:v>
      </x:c>
      <x:c r="I588" s="10" t="str">
        <x:v>https://github.com/juicedata/juicefs/blob/30190ca1094d26e85f19a979ca51b0ea19af1eaa/pkg/meta/base_test.go#L3324</x:v>
      </x:c>
      <x:c r="J588" s="10" t="str">
        <x:v>未提升为 Windows 执行项</x:v>
      </x:c>
      <x:c r="K588" s="10" t="str">
        <x:v>见源文件及 CI 条件</x:v>
      </x:c>
      <x:c r="L588" s="10" t="str">
        <x:v>子用例参数与运行时生成序列不计作独立目录项；级别为源码目录初分，未执行项目不能计作通过</x:v>
      </x:c>
    </x:row>
    <x:row r="589" ht="42" customHeight="1">
      <x:c r="A589" s="11" t="str">
        <x:v>UP-c4a8c573594e</x:v>
      </x:c>
      <x:c r="B589" s="11" t="str">
        <x:v>L2</x:v>
      </x:c>
      <x:c r="C589" s="11" t="str">
        <x:v>缓存与后台上传</x:v>
      </x:c>
      <x:c r="D589" s="11" t="str">
        <x:v>TestSymlinkCache</x:v>
      </x:c>
      <x:c r="E589" s="11" t="str">
        <x:v>Go 测试入口</x:v>
      </x:c>
      <x:c r="F589" s="11" t="str">
        <x:v>待执行</x:v>
      </x:c>
      <x:c r="G589" s="11" t="str">
        <x:v>引擎源码测试；Windows 可构建性及服务依赖需核对</x:v>
      </x:c>
      <x:c r="H589" s="11" t="str">
        <x:v>pkg/meta/base_test.go:3452</x:v>
      </x:c>
      <x:c r="I589" s="11" t="str">
        <x:v>https://github.com/juicedata/juicefs/blob/30190ca1094d26e85f19a979ca51b0ea19af1eaa/pkg/meta/base_test.go#L3452</x:v>
      </x:c>
      <x:c r="J589" s="11" t="str">
        <x:v>未提升为 Windows 执行项</x:v>
      </x:c>
      <x:c r="K589" s="11" t="str">
        <x:v>见源文件及 CI 条件</x:v>
      </x:c>
      <x:c r="L589" s="11" t="str">
        <x:v>子用例参数与运行时生成序列不计作独立目录项；级别为源码目录初分，未执行项目不能计作通过</x:v>
      </x:c>
    </x:row>
    <x:row r="590" ht="42" customHeight="1">
      <x:c r="A590" s="10" t="str">
        <x:v>UP-e0c0f76440f2</x:v>
      </x:c>
      <x:c r="B590" s="10" t="str">
        <x:v>L2</x:v>
      </x:c>
      <x:c r="C590" s="10" t="str">
        <x:v>并发与文件锁</x:v>
      </x:c>
      <x:c r="D590" s="10" t="str">
        <x:v>TestTxBatchLock</x:v>
      </x:c>
      <x:c r="E590" s="10" t="str">
        <x:v>Go 测试入口</x:v>
      </x:c>
      <x:c r="F590" s="10" t="str">
        <x:v>待执行</x:v>
      </x:c>
      <x:c r="G590" s="10" t="str">
        <x:v>引擎源码测试；Windows 可构建性及服务依赖需核对</x:v>
      </x:c>
      <x:c r="H590" s="10" t="str">
        <x:v>pkg/meta/base_test.go:3477</x:v>
      </x:c>
      <x:c r="I590" s="10" t="str">
        <x:v>https://github.com/juicedata/juicefs/blob/30190ca1094d26e85f19a979ca51b0ea19af1eaa/pkg/meta/base_test.go#L3477</x:v>
      </x:c>
      <x:c r="J590" s="10" t="str">
        <x:v>未提升为 Windows 执行项</x:v>
      </x:c>
      <x:c r="K590" s="10" t="str">
        <x:v>见源文件及 CI 条件</x:v>
      </x:c>
      <x:c r="L590" s="10" t="str">
        <x:v>子用例参数与运行时生成序列不计作独立目录项；级别为源码目录初分，未执行项目不能计作通过</x:v>
      </x:c>
    </x:row>
    <x:row r="591" ht="42" customHeight="1">
      <x:c r="A591" s="11" t="str">
        <x:v>UP-a075159be3ff</x:v>
      </x:c>
      <x:c r="B591" s="11" t="str">
        <x:v>L4</x:v>
      </x:c>
      <x:c r="C591" s="11" t="str">
        <x:v>挂载与元数据生命周期</x:v>
      </x:c>
      <x:c r="D591" s="11" t="str">
        <x:v>BenchmarkReadSlices</x:v>
      </x:c>
      <x:c r="E591" s="11" t="str">
        <x:v>Go 性能基准</x:v>
      </x:c>
      <x:c r="F591" s="11" t="str">
        <x:v>待执行</x:v>
      </x:c>
      <x:c r="G591" s="11" t="str">
        <x:v>引擎源码测试；Windows 可构建性及服务依赖需核对</x:v>
      </x:c>
      <x:c r="H591" s="11" t="str">
        <x:v>pkg/meta/benchmarks_test.go:70</x:v>
      </x:c>
      <x:c r="I591" s="11" t="str">
        <x:v>https://github.com/juicedata/juicefs/blob/30190ca1094d26e85f19a979ca51b0ea19af1eaa/pkg/meta/benchmarks_test.go#L70</x:v>
      </x:c>
      <x:c r="J591" s="11" t="str">
        <x:v>未提升为 Windows 执行项</x:v>
      </x:c>
      <x:c r="K591" s="11" t="str">
        <x:v>见源文件及 CI 条件</x:v>
      </x:c>
      <x:c r="L591" s="11" t="str">
        <x:v>子用例参数与运行时生成序列不计作独立目录项；级别为源码目录初分，未执行项目不能计作通过</x:v>
      </x:c>
    </x:row>
    <x:row r="592" ht="42" customHeight="1">
      <x:c r="A592" s="10" t="str">
        <x:v>UP-aa09a3443990</x:v>
      </x:c>
      <x:c r="B592" s="10" t="str">
        <x:v>L4</x:v>
      </x:c>
      <x:c r="C592" s="10" t="str">
        <x:v>挂载与元数据生命周期</x:v>
      </x:c>
      <x:c r="D592" s="10" t="str">
        <x:v>BenchmarkReadSliceBuf</x:v>
      </x:c>
      <x:c r="E592" s="10" t="str">
        <x:v>Go 性能基准</x:v>
      </x:c>
      <x:c r="F592" s="10" t="str">
        <x:v>待执行</x:v>
      </x:c>
      <x:c r="G592" s="10" t="str">
        <x:v>引擎源码测试；Windows 可构建性及服务依赖需核对</x:v>
      </x:c>
      <x:c r="H592" s="10" t="str">
        <x:v>pkg/meta/benchmarks_test.go:94</x:v>
      </x:c>
      <x:c r="I592" s="10" t="str">
        <x:v>https://github.com/juicedata/juicefs/blob/30190ca1094d26e85f19a979ca51b0ea19af1eaa/pkg/meta/benchmarks_test.go#L94</x:v>
      </x:c>
      <x:c r="J592" s="10" t="str">
        <x:v>未提升为 Windows 执行项</x:v>
      </x:c>
      <x:c r="K592" s="10" t="str">
        <x:v>见源文件及 CI 条件</x:v>
      </x:c>
      <x:c r="L592" s="10" t="str">
        <x:v>子用例参数与运行时生成序列不计作独立目录项；级别为源码目录初分，未执行项目不能计作通过</x:v>
      </x:c>
    </x:row>
    <x:row r="593" ht="42" customHeight="1">
      <x:c r="A593" s="11" t="str">
        <x:v>UP-1fd4b9b41bc1</x:v>
      </x:c>
      <x:c r="B593" s="11" t="str">
        <x:v>L4</x:v>
      </x:c>
      <x:c r="C593" s="11" t="str">
        <x:v>挂载与元数据生命周期</x:v>
      </x:c>
      <x:c r="D593" s="11" t="str">
        <x:v>BenchmarkRedis</x:v>
      </x:c>
      <x:c r="E593" s="11" t="str">
        <x:v>Go 性能基准</x:v>
      </x:c>
      <x:c r="F593" s="11" t="str">
        <x:v>待执行</x:v>
      </x:c>
      <x:c r="G593" s="11" t="str">
        <x:v>引擎源码测试；Windows 可构建性及服务依赖需核对</x:v>
      </x:c>
      <x:c r="H593" s="11" t="str">
        <x:v>pkg/meta/benchmarks_test.go:634</x:v>
      </x:c>
      <x:c r="I593" s="11" t="str">
        <x:v>https://github.com/juicedata/juicefs/blob/30190ca1094d26e85f19a979ca51b0ea19af1eaa/pkg/meta/benchmarks_test.go#L634</x:v>
      </x:c>
      <x:c r="J593" s="11" t="str">
        <x:v>未提升为 Windows 执行项</x:v>
      </x:c>
      <x:c r="K593" s="11" t="str">
        <x:v>见源文件及 CI 条件</x:v>
      </x:c>
      <x:c r="L593" s="11" t="str">
        <x:v>子用例参数与运行时生成序列不计作独立目录项；级别为源码目录初分，未执行项目不能计作通过</x:v>
      </x:c>
    </x:row>
    <x:row r="594" ht="42" customHeight="1">
      <x:c r="A594" s="10" t="str">
        <x:v>UP-b514cbd6d931</x:v>
      </x:c>
      <x:c r="B594" s="10" t="str">
        <x:v>L4</x:v>
      </x:c>
      <x:c r="C594" s="10" t="str">
        <x:v>挂载与元数据生命周期</x:v>
      </x:c>
      <x:c r="D594" s="10" t="str">
        <x:v>BenchmarkSQL</x:v>
      </x:c>
      <x:c r="E594" s="10" t="str">
        <x:v>Go 性能基准</x:v>
      </x:c>
      <x:c r="F594" s="10" t="str">
        <x:v>待执行</x:v>
      </x:c>
      <x:c r="G594" s="10" t="str">
        <x:v>引擎源码测试；Windows 可构建性及服务依赖需核对</x:v>
      </x:c>
      <x:c r="H594" s="10" t="str">
        <x:v>pkg/meta/benchmarks_test.go:639</x:v>
      </x:c>
      <x:c r="I594" s="10" t="str">
        <x:v>https://github.com/juicedata/juicefs/blob/30190ca1094d26e85f19a979ca51b0ea19af1eaa/pkg/meta/benchmarks_test.go#L639</x:v>
      </x:c>
      <x:c r="J594" s="10" t="str">
        <x:v>未提升为 Windows 执行项</x:v>
      </x:c>
      <x:c r="K594" s="10" t="str">
        <x:v>见源文件及 CI 条件</x:v>
      </x:c>
      <x:c r="L594" s="10" t="str">
        <x:v>子用例参数与运行时生成序列不计作独立目录项；级别为源码目录初分，未执行项目不能计作通过</x:v>
      </x:c>
    </x:row>
    <x:row r="595" ht="42" customHeight="1">
      <x:c r="A595" s="11" t="str">
        <x:v>UP-945c22a85222</x:v>
      </x:c>
      <x:c r="B595" s="11" t="str">
        <x:v>L4</x:v>
      </x:c>
      <x:c r="C595" s="11" t="str">
        <x:v>挂载与元数据生命周期</x:v>
      </x:c>
      <x:c r="D595" s="11" t="str">
        <x:v>BenchmarkTKV</x:v>
      </x:c>
      <x:c r="E595" s="11" t="str">
        <x:v>Go 性能基准</x:v>
      </x:c>
      <x:c r="F595" s="11" t="str">
        <x:v>待执行</x:v>
      </x:c>
      <x:c r="G595" s="11" t="str">
        <x:v>引擎源码测试；Windows 可构建性及服务依赖需核对</x:v>
      </x:c>
      <x:c r="H595" s="11" t="str">
        <x:v>pkg/meta/benchmarks_test.go:644</x:v>
      </x:c>
      <x:c r="I595" s="11" t="str">
        <x:v>https://github.com/juicedata/juicefs/blob/30190ca1094d26e85f19a979ca51b0ea19af1eaa/pkg/meta/benchmarks_test.go#L644</x:v>
      </x:c>
      <x:c r="J595" s="11" t="str">
        <x:v>未提升为 Windows 执行项</x:v>
      </x:c>
      <x:c r="K595" s="11" t="str">
        <x:v>见源文件及 CI 条件</x:v>
      </x:c>
      <x:c r="L595" s="11" t="str">
        <x:v>子用例参数与运行时生成序列不计作独立目录项；级别为源码目录初分，未执行项目不能计作通过</x:v>
      </x:c>
    </x:row>
    <x:row r="596" ht="42" customHeight="1">
      <x:c r="A596" s="10" t="str">
        <x:v>UP-dda752de66bb</x:v>
      </x:c>
      <x:c r="B596" s="10" t="str">
        <x:v>L2</x:v>
      </x:c>
      <x:c r="C596" s="10" t="str">
        <x:v>命名与目录</x:v>
      </x:c>
      <x:c r="D596" s="10" t="str">
        <x:v>TestRemoveSecret</x:v>
      </x:c>
      <x:c r="E596" s="10" t="str">
        <x:v>Go 测试入口</x:v>
      </x:c>
      <x:c r="F596" s="10" t="str">
        <x:v>待执行</x:v>
      </x:c>
      <x:c r="G596" s="10" t="str">
        <x:v>引擎源码测试；Windows 可构建性及服务依赖需核对</x:v>
      </x:c>
      <x:c r="H596" s="10" t="str">
        <x:v>pkg/meta/config_test.go:24</x:v>
      </x:c>
      <x:c r="I596" s="10" t="str">
        <x:v>https://github.com/juicedata/juicefs/blob/30190ca1094d26e85f19a979ca51b0ea19af1eaa/pkg/meta/config_test.go#L24</x:v>
      </x:c>
      <x:c r="J596" s="10" t="str">
        <x:v>未提升为 Windows 执行项</x:v>
      </x:c>
      <x:c r="K596" s="10" t="str">
        <x:v>见源文件及 CI 条件</x:v>
      </x:c>
      <x:c r="L596" s="10" t="str">
        <x:v>子用例参数与运行时生成序列不计作独立目录项；级别为源码目录初分，未执行项目不能计作通过</x:v>
      </x:c>
    </x:row>
    <x:row r="597" ht="42" customHeight="1">
      <x:c r="A597" s="11" t="str">
        <x:v>UP-b5cb2914004c</x:v>
      </x:c>
      <x:c r="B597" s="11" t="str">
        <x:v>L1</x:v>
      </x:c>
      <x:c r="C597" s="11" t="str">
        <x:v>挂载与元数据生命周期</x:v>
      </x:c>
      <x:c r="D597" s="11" t="str">
        <x:v>TestEncrypt</x:v>
      </x:c>
      <x:c r="E597" s="11" t="str">
        <x:v>Go 测试入口</x:v>
      </x:c>
      <x:c r="F597" s="11" t="str">
        <x:v>待执行</x:v>
      </x:c>
      <x:c r="G597" s="11" t="str">
        <x:v>引擎源码测试；Windows 可构建性及服务依赖需核对</x:v>
      </x:c>
      <x:c r="H597" s="11" t="str">
        <x:v>pkg/meta/config_test.go:40</x:v>
      </x:c>
      <x:c r="I597" s="11" t="str">
        <x:v>https://github.com/juicedata/juicefs/blob/30190ca1094d26e85f19a979ca51b0ea19af1eaa/pkg/meta/config_test.go#L40</x:v>
      </x:c>
      <x:c r="J597" s="11" t="str">
        <x:v>未提升为 Windows 执行项</x:v>
      </x:c>
      <x:c r="K597" s="11" t="str">
        <x:v>见源文件及 CI 条件</x:v>
      </x:c>
      <x:c r="L597" s="11" t="str">
        <x:v>子用例参数与运行时生成序列不计作独立目录项；级别为源码目录初分，未执行项目不能计作通过</x:v>
      </x:c>
    </x:row>
    <x:row r="598" ht="42" customHeight="1">
      <x:c r="A598" s="10" t="str">
        <x:v>UP-d21003d67fe6</x:v>
      </x:c>
      <x:c r="B598" s="10" t="str">
        <x:v>L1</x:v>
      </x:c>
      <x:c r="C598" s="10" t="str">
        <x:v>挂载与元数据生命周期</x:v>
      </x:c>
      <x:c r="D598" s="10" t="str">
        <x:v>Test_wrapContext_WithValue</x:v>
      </x:c>
      <x:c r="E598" s="10" t="str">
        <x:v>Go 测试入口</x:v>
      </x:c>
      <x:c r="F598" s="10" t="str">
        <x:v>待执行</x:v>
      </x:c>
      <x:c r="G598" s="10" t="str">
        <x:v>引擎源码测试；Windows 可构建性及服务依赖需核对</x:v>
      </x:c>
      <x:c r="H598" s="10" t="str">
        <x:v>pkg/meta/context_test.go:25</x:v>
      </x:c>
      <x:c r="I598" s="10" t="str">
        <x:v>https://github.com/juicedata/juicefs/blob/30190ca1094d26e85f19a979ca51b0ea19af1eaa/pkg/meta/context_test.go#L25</x:v>
      </x:c>
      <x:c r="J598" s="10" t="str">
        <x:v>未提升为 Windows 执行项</x:v>
      </x:c>
      <x:c r="K598" s="10" t="str">
        <x:v>见源文件及 CI 条件</x:v>
      </x:c>
      <x:c r="L598" s="10" t="str">
        <x:v>子用例参数与运行时生成序列不计作独立目录项；级别为源码目录初分，未执行项目不能计作通过</x:v>
      </x:c>
    </x:row>
    <x:row r="599" ht="42" customHeight="1">
      <x:c r="A599" s="11" t="str">
        <x:v>UP-1a8b193ed87c</x:v>
      </x:c>
      <x:c r="B599" s="11" t="str">
        <x:v>L1</x:v>
      </x:c>
      <x:c r="C599" s="11" t="str">
        <x:v>挂载与元数据生命周期</x:v>
      </x:c>
      <x:c r="D599" s="11" t="str">
        <x:v>TestOlderThan</x:v>
      </x:c>
      <x:c r="E599" s="11" t="str">
        <x:v>Go 测试入口</x:v>
      </x:c>
      <x:c r="F599" s="11" t="str">
        <x:v>待执行</x:v>
      </x:c>
      <x:c r="G599" s="11" t="str">
        <x:v>引擎源码测试；Windows 可构建性及服务依赖需核对</x:v>
      </x:c>
      <x:c r="H599" s="11" t="str">
        <x:v>pkg/meta/info_test.go:21</x:v>
      </x:c>
      <x:c r="I599" s="11" t="str">
        <x:v>https://github.com/juicedata/juicefs/blob/30190ca1094d26e85f19a979ca51b0ea19af1eaa/pkg/meta/info_test.go#L21</x:v>
      </x:c>
      <x:c r="J599" s="11" t="str">
        <x:v>未提升为 Windows 执行项</x:v>
      </x:c>
      <x:c r="K599" s="11" t="str">
        <x:v>见源文件及 CI 条件</x:v>
      </x:c>
      <x:c r="L599" s="11" t="str">
        <x:v>子用例参数与运行时生成序列不计作独立目录项；级别为源码目录初分，未执行项目不能计作通过</x:v>
      </x:c>
    </x:row>
    <x:row r="600" ht="42" customHeight="1">
      <x:c r="A600" s="10" t="str">
        <x:v>UP-0adbd6ae1adf</x:v>
      </x:c>
      <x:c r="B600" s="10" t="str">
        <x:v>L1</x:v>
      </x:c>
      <x:c r="C600" s="10" t="str">
        <x:v>挂载与元数据生命周期</x:v>
      </x:c>
      <x:c r="D600" s="10" t="str">
        <x:v>TestParseRedisVersion</x:v>
      </x:c>
      <x:c r="E600" s="10" t="str">
        <x:v>Go 测试入口</x:v>
      </x:c>
      <x:c r="F600" s="10" t="str">
        <x:v>待执行</x:v>
      </x:c>
      <x:c r="G600" s="10" t="str">
        <x:v>引擎源码测试；Windows 可构建性及服务依赖需核对</x:v>
      </x:c>
      <x:c r="H600" s="10" t="str">
        <x:v>pkg/meta/info_test.go:43</x:v>
      </x:c>
      <x:c r="I600" s="10" t="str">
        <x:v>https://github.com/juicedata/juicefs/blob/30190ca1094d26e85f19a979ca51b0ea19af1eaa/pkg/meta/info_test.go#L43</x:v>
      </x:c>
      <x:c r="J600" s="10" t="str">
        <x:v>未提升为 Windows 执行项</x:v>
      </x:c>
      <x:c r="K600" s="10" t="str">
        <x:v>见源文件及 CI 条件</x:v>
      </x:c>
      <x:c r="L600" s="10" t="str">
        <x:v>子用例参数与运行时生成序列不计作独立目录项；级别为源码目录初分，未执行项目不能计作通过</x:v>
      </x:c>
    </x:row>
    <x:row r="601" ht="42" customHeight="1">
      <x:c r="A601" s="11" t="str">
        <x:v>UP-e2fd03509742</x:v>
      </x:c>
      <x:c r="B601" s="11" t="str">
        <x:v>L1</x:v>
      </x:c>
      <x:c r="C601" s="11" t="str">
        <x:v>挂载与元数据生命周期</x:v>
      </x:c>
      <x:c r="D601" s="11" t="str">
        <x:v>TestParseRedisInfo</x:v>
      </x:c>
      <x:c r="E601" s="11" t="str">
        <x:v>Go 测试入口</x:v>
      </x:c>
      <x:c r="F601" s="11" t="str">
        <x:v>待执行</x:v>
      </x:c>
      <x:c r="G601" s="11" t="str">
        <x:v>引擎源码测试；Windows 可构建性及服务依赖需核对</x:v>
      </x:c>
      <x:c r="H601" s="11" t="str">
        <x:v>pkg/meta/info_test.go:67</x:v>
      </x:c>
      <x:c r="I601" s="11" t="str">
        <x:v>https://github.com/juicedata/juicefs/blob/30190ca1094d26e85f19a979ca51b0ea19af1eaa/pkg/meta/info_test.go#L67</x:v>
      </x:c>
      <x:c r="J601" s="11" t="str">
        <x:v>未提升为 Windows 执行项</x:v>
      </x:c>
      <x:c r="K601" s="11" t="str">
        <x:v>见源文件及 CI 条件</x:v>
      </x:c>
      <x:c r="L601" s="11" t="str">
        <x:v>子用例参数与运行时生成序列不计作独立目录项；级别为源码目录初分，未执行项目不能计作通过</x:v>
      </x:c>
    </x:row>
    <x:row r="602" ht="42" customHeight="1">
      <x:c r="A602" s="10" t="str">
        <x:v>UP-de7fe2301342</x:v>
      </x:c>
      <x:c r="B602" s="10" t="str">
        <x:v>L1</x:v>
      </x:c>
      <x:c r="C602" s="10" t="str">
        <x:v>挂载与元数据生命周期</x:v>
      </x:c>
      <x:c r="D602" s="10" t="str">
        <x:v>Test_setPasswordFromEnv</x:v>
      </x:c>
      <x:c r="E602" s="10" t="str">
        <x:v>Go 测试入口</x:v>
      </x:c>
      <x:c r="F602" s="10" t="str">
        <x:v>待执行</x:v>
      </x:c>
      <x:c r="G602" s="10" t="str">
        <x:v>引擎源码测试；Windows 可构建性及服务依赖需核对</x:v>
      </x:c>
      <x:c r="H602" s="10" t="str">
        <x:v>pkg/meta/interface_test.go:24</x:v>
      </x:c>
      <x:c r="I602" s="10" t="str">
        <x:v>https://github.com/juicedata/juicefs/blob/30190ca1094d26e85f19a979ca51b0ea19af1eaa/pkg/meta/interface_test.go#L24</x:v>
      </x:c>
      <x:c r="J602" s="10" t="str">
        <x:v>未提升为 Windows 执行项</x:v>
      </x:c>
      <x:c r="K602" s="10" t="str">
        <x:v>见源文件及 CI 条件</x:v>
      </x:c>
      <x:c r="L602" s="10" t="str">
        <x:v>子用例参数与运行时生成序列不计作独立目录项；级别为源码目录初分，未执行项目不能计作通过</x:v>
      </x:c>
    </x:row>
    <x:row r="603" ht="42" customHeight="1">
      <x:c r="A603" s="11" t="str">
        <x:v>UP-7c5222cb6e5b</x:v>
      </x:c>
      <x:c r="B603" s="11" t="str">
        <x:v>L1</x:v>
      </x:c>
      <x:c r="C603" s="11" t="str">
        <x:v>挂载与元数据生命周期</x:v>
      </x:c>
      <x:c r="D603" s="11" t="str">
        <x:v>TestEscape</x:v>
      </x:c>
      <x:c r="E603" s="11" t="str">
        <x:v>Go 测试入口</x:v>
      </x:c>
      <x:c r="F603" s="11" t="str">
        <x:v>待执行</x:v>
      </x:c>
      <x:c r="G603" s="11" t="str">
        <x:v>引擎源码测试；Windows 可构建性及服务依赖需核对</x:v>
      </x:c>
      <x:c r="H603" s="11" t="str">
        <x:v>pkg/meta/load_dump_test.go:39</x:v>
      </x:c>
      <x:c r="I603" s="11" t="str">
        <x:v>https://github.com/juicedata/juicefs/blob/30190ca1094d26e85f19a979ca51b0ea19af1eaa/pkg/meta/load_dump_test.go#L39</x:v>
      </x:c>
      <x:c r="J603" s="11" t="str">
        <x:v>未提升为 Windows 执行项</x:v>
      </x:c>
      <x:c r="K603" s="11" t="str">
        <x:v>见源文件及 CI 条件</x:v>
      </x:c>
      <x:c r="L603" s="11" t="str">
        <x:v>子用例参数与运行时生成序列不计作独立目录项；级别为源码目录初分，未执行项目不能计作通过</x:v>
      </x:c>
    </x:row>
    <x:row r="604" ht="42" customHeight="1">
      <x:c r="A604" s="10" t="str">
        <x:v>UP-953a90a50baa</x:v>
      </x:c>
      <x:c r="B604" s="10" t="str">
        <x:v>L1</x:v>
      </x:c>
      <x:c r="C604" s="10" t="str">
        <x:v>挂载与元数据生命周期</x:v>
      </x:c>
      <x:c r="D604" s="10" t="str">
        <x:v>testLoadSub</x:v>
      </x:c>
      <x:c r="E604" s="10" t="str">
        <x:v>Go 子场景</x:v>
      </x:c>
      <x:c r="F604" s="10" t="str">
        <x:v>待执行</x:v>
      </x:c>
      <x:c r="G604" s="10" t="str">
        <x:v>引擎源码测试；Windows 可构建性及服务依赖需核对</x:v>
      </x:c>
      <x:c r="H604" s="10" t="str">
        <x:v>pkg/meta/load_dump_test.go:269</x:v>
      </x:c>
      <x:c r="I604" s="10" t="str">
        <x:v>https://github.com/juicedata/juicefs/blob/30190ca1094d26e85f19a979ca51b0ea19af1eaa/pkg/meta/load_dump_test.go#L269</x:v>
      </x:c>
      <x:c r="J604" s="10" t="str">
        <x:v>未提升为 Windows 执行项</x:v>
      </x:c>
      <x:c r="K604" s="10" t="str">
        <x:v>见源文件及 CI 条件</x:v>
      </x:c>
      <x:c r="L604" s="10" t="str">
        <x:v>子用例参数与运行时生成序列不计作独立目录项；级别为源码目录初分，未执行项目不能计作通过</x:v>
      </x:c>
    </x:row>
    <x:row r="605" ht="42" customHeight="1">
      <x:c r="A605" s="11" t="str">
        <x:v>UP-f6dc582d0573</x:v>
      </x:c>
      <x:c r="B605" s="11" t="str">
        <x:v>L1</x:v>
      </x:c>
      <x:c r="C605" s="11" t="str">
        <x:v>挂载与元数据生命周期</x:v>
      </x:c>
      <x:c r="D605" s="11" t="str">
        <x:v>testDump</x:v>
      </x:c>
      <x:c r="E605" s="11" t="str">
        <x:v>Go 子场景</x:v>
      </x:c>
      <x:c r="F605" s="11" t="str">
        <x:v>待执行</x:v>
      </x:c>
      <x:c r="G605" s="11" t="str">
        <x:v>引擎源码测试；Windows 可构建性及服务依赖需核对</x:v>
      </x:c>
      <x:c r="H605" s="11" t="str">
        <x:v>pkg/meta/load_dump_test.go:297</x:v>
      </x:c>
      <x:c r="I605" s="11" t="str">
        <x:v>https://github.com/juicedata/juicefs/blob/30190ca1094d26e85f19a979ca51b0ea19af1eaa/pkg/meta/load_dump_test.go#L297</x:v>
      </x:c>
      <x:c r="J605" s="11" t="str">
        <x:v>未提升为 Windows 执行项</x:v>
      </x:c>
      <x:c r="K605" s="11" t="str">
        <x:v>见源文件及 CI 条件</x:v>
      </x:c>
      <x:c r="L605" s="11" t="str">
        <x:v>子用例参数与运行时生成序列不计作独立目录项；级别为源码目录初分，未执行项目不能计作通过</x:v>
      </x:c>
    </x:row>
    <x:row r="606" ht="42" customHeight="1">
      <x:c r="A606" s="10" t="str">
        <x:v>UP-048fad4a5420</x:v>
      </x:c>
      <x:c r="B606" s="10" t="str">
        <x:v>L1</x:v>
      </x:c>
      <x:c r="C606" s="10" t="str">
        <x:v>挂载与元数据生命周期</x:v>
      </x:c>
      <x:c r="D606" s="10" t="str">
        <x:v>testLoadDump</x:v>
      </x:c>
      <x:c r="E606" s="10" t="str">
        <x:v>Go 子场景</x:v>
      </x:c>
      <x:c r="F606" s="10" t="str">
        <x:v>待执行</x:v>
      </x:c>
      <x:c r="G606" s="10" t="str">
        <x:v>引擎源码测试；Windows 可构建性及服务依赖需核对</x:v>
      </x:c>
      <x:c r="H606" s="10" t="str">
        <x:v>pkg/meta/load_dump_test.go:323</x:v>
      </x:c>
      <x:c r="I606" s="10" t="str">
        <x:v>https://github.com/juicedata/juicefs/blob/30190ca1094d26e85f19a979ca51b0ea19af1eaa/pkg/meta/load_dump_test.go#L323</x:v>
      </x:c>
      <x:c r="J606" s="10" t="str">
        <x:v>未提升为 Windows 执行项</x:v>
      </x:c>
      <x:c r="K606" s="10" t="str">
        <x:v>见源文件及 CI 条件</x:v>
      </x:c>
      <x:c r="L606" s="10" t="str">
        <x:v>子用例参数与运行时生成序列不计作独立目录项；级别为源码目录初分，未执行项目不能计作通过</x:v>
      </x:c>
    </x:row>
    <x:row r="607" ht="42" customHeight="1">
      <x:c r="A607" s="11" t="str">
        <x:v>UP-6c8100fd5386</x:v>
      </x:c>
      <x:c r="B607" s="11" t="str">
        <x:v>L1</x:v>
      </x:c>
      <x:c r="C607" s="11" t="str">
        <x:v>挂载与元数据生命周期</x:v>
      </x:c>
      <x:c r="D607" s="11" t="str">
        <x:v>TestLoadDump</x:v>
      </x:c>
      <x:c r="E607" s="11" t="str">
        <x:v>Go 测试入口</x:v>
      </x:c>
      <x:c r="F607" s="11" t="str">
        <x:v>待执行</x:v>
      </x:c>
      <x:c r="G607" s="11" t="str">
        <x:v>引擎源码测试；Windows 可构建性及服务依赖需核对</x:v>
      </x:c>
      <x:c r="H607" s="11" t="str">
        <x:v>pkg/meta/load_dump_test.go:339</x:v>
      </x:c>
      <x:c r="I607" s="11" t="str">
        <x:v>https://github.com/juicedata/juicefs/blob/30190ca1094d26e85f19a979ca51b0ea19af1eaa/pkg/meta/load_dump_test.go#L339</x:v>
      </x:c>
      <x:c r="J607" s="11" t="str">
        <x:v>未提升为 Windows 执行项</x:v>
      </x:c>
      <x:c r="K607" s="11" t="str">
        <x:v>见源文件及 CI 条件</x:v>
      </x:c>
      <x:c r="L607" s="11" t="str">
        <x:v>子用例参数与运行时生成序列不计作独立目录项；级别为源码目录初分，未执行项目不能计作通过</x:v>
      </x:c>
    </x:row>
    <x:row r="608" ht="42" customHeight="1">
      <x:c r="A608" s="10" t="str">
        <x:v>UP-b1a9e01ca12f</x:v>
      </x:c>
      <x:c r="B608" s="10" t="str">
        <x:v>L1</x:v>
      </x:c>
      <x:c r="C608" s="10" t="str">
        <x:v>挂载与元数据生命周期</x:v>
      </x:c>
      <x:c r="D608" s="10" t="str">
        <x:v>testDumpV2</x:v>
      </x:c>
      <x:c r="E608" s="10" t="str">
        <x:v>Go 子场景</x:v>
      </x:c>
      <x:c r="F608" s="10" t="str">
        <x:v>待执行</x:v>
      </x:c>
      <x:c r="G608" s="10" t="str">
        <x:v>引擎源码测试；Windows 可构建性及服务依赖需核对</x:v>
      </x:c>
      <x:c r="H608" s="10" t="str">
        <x:v>pkg/meta/load_dump_test.go:346</x:v>
      </x:c>
      <x:c r="I608" s="10" t="str">
        <x:v>https://github.com/juicedata/juicefs/blob/30190ca1094d26e85f19a979ca51b0ea19af1eaa/pkg/meta/load_dump_test.go#L346</x:v>
      </x:c>
      <x:c r="J608" s="10" t="str">
        <x:v>未提升为 Windows 执行项</x:v>
      </x:c>
      <x:c r="K608" s="10" t="str">
        <x:v>见源文件及 CI 条件</x:v>
      </x:c>
      <x:c r="L608" s="10" t="str">
        <x:v>子用例参数与运行时生成序列不计作独立目录项；级别为源码目录初分，未执行项目不能计作通过</x:v>
      </x:c>
    </x:row>
    <x:row r="609" ht="42" customHeight="1">
      <x:c r="A609" s="11" t="str">
        <x:v>UP-f7fb16952155</x:v>
      </x:c>
      <x:c r="B609" s="11" t="str">
        <x:v>L1</x:v>
      </x:c>
      <x:c r="C609" s="11" t="str">
        <x:v>挂载与元数据生命周期</x:v>
      </x:c>
      <x:c r="D609" s="11" t="str">
        <x:v>testLoad</x:v>
      </x:c>
      <x:c r="E609" s="11" t="str">
        <x:v>Go 子场景</x:v>
      </x:c>
      <x:c r="F609" s="11" t="str">
        <x:v>待执行</x:v>
      </x:c>
      <x:c r="G609" s="11" t="str">
        <x:v>引擎源码测试；Windows 可构建性及服务依赖需核对</x:v>
      </x:c>
      <x:c r="H609" s="11" t="str">
        <x:v>pkg/meta/load_dump_test.go:364</x:v>
      </x:c>
      <x:c r="I609" s="11" t="str">
        <x:v>https://github.com/juicedata/juicefs/blob/30190ca1094d26e85f19a979ca51b0ea19af1eaa/pkg/meta/load_dump_test.go#L364</x:v>
      </x:c>
      <x:c r="J609" s="11" t="str">
        <x:v>未提升为 Windows 执行项</x:v>
      </x:c>
      <x:c r="K609" s="11" t="str">
        <x:v>见源文件及 CI 条件</x:v>
      </x:c>
      <x:c r="L609" s="11" t="str">
        <x:v>子用例参数与运行时生成序列不计作独立目录项；级别为源码目录初分，未执行项目不能计作通过</x:v>
      </x:c>
    </x:row>
    <x:row r="610" ht="42" customHeight="1">
      <x:c r="A610" s="10" t="str">
        <x:v>UP-17edbd02b24a</x:v>
      </x:c>
      <x:c r="B610" s="10" t="str">
        <x:v>L1</x:v>
      </x:c>
      <x:c r="C610" s="10" t="str">
        <x:v>挂载与元数据生命周期</x:v>
      </x:c>
      <x:c r="D610" s="10" t="str">
        <x:v>testLoadDumpV2</x:v>
      </x:c>
      <x:c r="E610" s="10" t="str">
        <x:v>Go 子场景</x:v>
      </x:c>
      <x:c r="F610" s="10" t="str">
        <x:v>待执行</x:v>
      </x:c>
      <x:c r="G610" s="10" t="str">
        <x:v>引擎源码测试；Windows 可构建性及服务依赖需核对</x:v>
      </x:c>
      <x:c r="H610" s="10" t="str">
        <x:v>pkg/meta/load_dump_test.go:387</x:v>
      </x:c>
      <x:c r="I610" s="10" t="str">
        <x:v>https://github.com/juicedata/juicefs/blob/30190ca1094d26e85f19a979ca51b0ea19af1eaa/pkg/meta/load_dump_test.go#L387</x:v>
      </x:c>
      <x:c r="J610" s="10" t="str">
        <x:v>未提升为 Windows 执行项</x:v>
      </x:c>
      <x:c r="K610" s="10" t="str">
        <x:v>见源文件及 CI 条件</x:v>
      </x:c>
      <x:c r="L610" s="10" t="str">
        <x:v>子用例参数与运行时生成序列不计作独立目录项；级别为源码目录初分，未执行项目不能计作通过</x:v>
      </x:c>
    </x:row>
    <x:row r="611" ht="42" customHeight="1">
      <x:c r="A611" s="11" t="str">
        <x:v>UP-a3efd975e924</x:v>
      </x:c>
      <x:c r="B611" s="11" t="str">
        <x:v>L1</x:v>
      </x:c>
      <x:c r="C611" s="11" t="str">
        <x:v>挂载与元数据生命周期</x:v>
      </x:c>
      <x:c r="D611" s="11" t="str">
        <x:v>testLoadOtherEngine</x:v>
      </x:c>
      <x:c r="E611" s="11" t="str">
        <x:v>Go 子场景</x:v>
      </x:c>
      <x:c r="F611" s="11" t="str">
        <x:v>待执行</x:v>
      </x:c>
      <x:c r="G611" s="11" t="str">
        <x:v>引擎源码测试；Windows 可构建性及服务依赖需核对</x:v>
      </x:c>
      <x:c r="H611" s="11" t="str">
        <x:v>pkg/meta/load_dump_test.go:403</x:v>
      </x:c>
      <x:c r="I611" s="11" t="str">
        <x:v>https://github.com/juicedata/juicefs/blob/30190ca1094d26e85f19a979ca51b0ea19af1eaa/pkg/meta/load_dump_test.go#L403</x:v>
      </x:c>
      <x:c r="J611" s="11" t="str">
        <x:v>未提升为 Windows 执行项</x:v>
      </x:c>
      <x:c r="K611" s="11" t="str">
        <x:v>见源文件及 CI 条件</x:v>
      </x:c>
      <x:c r="L611" s="11" t="str">
        <x:v>子用例参数与运行时生成序列不计作独立目录项；级别为源码目录初分，未执行项目不能计作通过</x:v>
      </x:c>
    </x:row>
    <x:row r="612" ht="42" customHeight="1">
      <x:c r="A612" s="10" t="str">
        <x:v>UP-c1ec808b7057</x:v>
      </x:c>
      <x:c r="B612" s="10" t="str">
        <x:v>L1</x:v>
      </x:c>
      <x:c r="C612" s="10" t="str">
        <x:v>挂载与元数据生命周期</x:v>
      </x:c>
      <x:c r="D612" s="10" t="str">
        <x:v>TestLoadDumpV2</x:v>
      </x:c>
      <x:c r="E612" s="10" t="str">
        <x:v>Go 测试入口</x:v>
      </x:c>
      <x:c r="F612" s="10" t="str">
        <x:v>待执行</x:v>
      </x:c>
      <x:c r="G612" s="10" t="str">
        <x:v>引擎源码测试；Windows 可构建性及服务依赖需核对</x:v>
      </x:c>
      <x:c r="H612" s="10" t="str">
        <x:v>pkg/meta/load_dump_test.go:410</x:v>
      </x:c>
      <x:c r="I612" s="10" t="str">
        <x:v>https://github.com/juicedata/juicefs/blob/30190ca1094d26e85f19a979ca51b0ea19af1eaa/pkg/meta/load_dump_test.go#L410</x:v>
      </x:c>
      <x:c r="J612" s="10" t="str">
        <x:v>未提升为 Windows 执行项</x:v>
      </x:c>
      <x:c r="K612" s="10" t="str">
        <x:v>见源文件及 CI 条件</x:v>
      </x:c>
      <x:c r="L612" s="10" t="str">
        <x:v>子用例参数与运行时生成序列不计作独立目录项；级别为源码目录初分，未执行项目不能计作通过</x:v>
      </x:c>
    </x:row>
    <x:row r="613" ht="42" customHeight="1">
      <x:c r="A613" s="11" t="str">
        <x:v>UP-505f82de0496</x:v>
      </x:c>
      <x:c r="B613" s="11" t="str">
        <x:v>L1</x:v>
      </x:c>
      <x:c r="C613" s="11" t="str">
        <x:v>挂载与元数据生命周期</x:v>
      </x:c>
      <x:c r="D613" s="11" t="str">
        <x:v>TestLoadDumpSlow</x:v>
      </x:c>
      <x:c r="E613" s="11" t="str">
        <x:v>Go 测试入口</x:v>
      </x:c>
      <x:c r="F613" s="11" t="str">
        <x:v>待执行</x:v>
      </x:c>
      <x:c r="G613" s="11" t="str">
        <x:v>引擎源码测试；Windows 可构建性及服务依赖需核对</x:v>
      </x:c>
      <x:c r="H613" s="11" t="str">
        <x:v>pkg/meta/load_dump_test.go:436</x:v>
      </x:c>
      <x:c r="I613" s="11" t="str">
        <x:v>https://github.com/juicedata/juicefs/blob/30190ca1094d26e85f19a979ca51b0ea19af1eaa/pkg/meta/load_dump_test.go#L436</x:v>
      </x:c>
      <x:c r="J613" s="11" t="str">
        <x:v>未提升为 Windows 执行项</x:v>
      </x:c>
      <x:c r="K613" s="11" t="str">
        <x:v>见源文件及 CI 条件</x:v>
      </x:c>
      <x:c r="L613" s="11" t="str">
        <x:v>子用例参数与运行时生成序列不计作独立目录项；级别为源码目录初分，未执行项目不能计作通过</x:v>
      </x:c>
    </x:row>
    <x:row r="614" ht="42" customHeight="1">
      <x:c r="A614" s="10" t="str">
        <x:v>UP-62e12d48cfe4</x:v>
      </x:c>
      <x:c r="B614" s="10" t="str">
        <x:v>L1</x:v>
      </x:c>
      <x:c r="C614" s="10" t="str">
        <x:v>挂载与元数据生命周期</x:v>
      </x:c>
      <x:c r="D614" s="10" t="str">
        <x:v>TestLoadDump_MemKV</x:v>
      </x:c>
      <x:c r="E614" s="10" t="str">
        <x:v>Go 测试入口</x:v>
      </x:c>
      <x:c r="F614" s="10" t="str">
        <x:v>待执行</x:v>
      </x:c>
      <x:c r="G614" s="10" t="str">
        <x:v>引擎源码测试；Windows 可构建性及服务依赖需核对</x:v>
      </x:c>
      <x:c r="H614" s="10" t="str">
        <x:v>pkg/meta/load_dump_test.go:447</x:v>
      </x:c>
      <x:c r="I614" s="10" t="str">
        <x:v>https://github.com/juicedata/juicefs/blob/30190ca1094d26e85f19a979ca51b0ea19af1eaa/pkg/meta/load_dump_test.go#L447</x:v>
      </x:c>
      <x:c r="J614" s="10" t="str">
        <x:v>未提升为 Windows 执行项</x:v>
      </x:c>
      <x:c r="K614" s="10" t="str">
        <x:v>见源文件及 CI 条件</x:v>
      </x:c>
      <x:c r="L614" s="10" t="str">
        <x:v>子用例参数与运行时生成序列不计作独立目录项；级别为源码目录初分，未执行项目不能计作通过</x:v>
      </x:c>
    </x:row>
    <x:row r="615" ht="42" customHeight="1">
      <x:c r="A615" s="11" t="str">
        <x:v>UP-e0580be4e5c8</x:v>
      </x:c>
      <x:c r="B615" s="11" t="str">
        <x:v>L1</x:v>
      </x:c>
      <x:c r="C615" s="11" t="str">
        <x:v>挂载与元数据生命周期</x:v>
      </x:c>
      <x:c r="D615" s="11" t="str">
        <x:v>testSecretAndTrash</x:v>
      </x:c>
      <x:c r="E615" s="11" t="str">
        <x:v>Go 子场景</x:v>
      </x:c>
      <x:c r="F615" s="11" t="str">
        <x:v>待执行</x:v>
      </x:c>
      <x:c r="G615" s="11" t="str">
        <x:v>引擎源码测试；Windows 可构建性及服务依赖需核对</x:v>
      </x:c>
      <x:c r="H615" s="11" t="str">
        <x:v>pkg/meta/load_dump_test.go:468</x:v>
      </x:c>
      <x:c r="I615" s="11" t="str">
        <x:v>https://github.com/juicedata/juicefs/blob/30190ca1094d26e85f19a979ca51b0ea19af1eaa/pkg/meta/load_dump_test.go#L468</x:v>
      </x:c>
      <x:c r="J615" s="11" t="str">
        <x:v>未提升为 Windows 执行项</x:v>
      </x:c>
      <x:c r="K615" s="11" t="str">
        <x:v>见源文件及 CI 条件</x:v>
      </x:c>
      <x:c r="L615" s="11" t="str">
        <x:v>子用例参数与运行时生成序列不计作独立目录项；级别为源码目录初分，未执行项目不能计作通过</x:v>
      </x:c>
    </x:row>
    <x:row r="616" ht="42" customHeight="1">
      <x:c r="A616" s="10" t="str">
        <x:v>UP-0b5d9696731a</x:v>
      </x:c>
      <x:c r="B616" s="10" t="str">
        <x:v>L4</x:v>
      </x:c>
      <x:c r="C616" s="10" t="str">
        <x:v>挂载与元数据生命周期</x:v>
      </x:c>
      <x:c r="D616" s="10" t="str">
        <x:v>BenchmarkLoadDumpV2</x:v>
      </x:c>
      <x:c r="E616" s="10" t="str">
        <x:v>Go 性能基准</x:v>
      </x:c>
      <x:c r="F616" s="10" t="str">
        <x:v>待执行</x:v>
      </x:c>
      <x:c r="G616" s="10" t="str">
        <x:v>引擎源码测试；Windows 可构建性及服务依赖需核对</x:v>
      </x:c>
      <x:c r="H616" s="10" t="str">
        <x:v>pkg/meta/load_dump_test.go:505</x:v>
      </x:c>
      <x:c r="I616" s="10" t="str">
        <x:v>https://github.com/juicedata/juicefs/blob/30190ca1094d26e85f19a979ca51b0ea19af1eaa/pkg/meta/load_dump_test.go#L505</x:v>
      </x:c>
      <x:c r="J616" s="10" t="str">
        <x:v>未提升为 Windows 执行项</x:v>
      </x:c>
      <x:c r="K616" s="10" t="str">
        <x:v>见源文件及 CI 条件</x:v>
      </x:c>
      <x:c r="L616" s="10" t="str">
        <x:v>子用例参数与运行时生成序列不计作独立目录项；级别为源码目录初分，未执行项目不能计作通过</x:v>
      </x:c>
    </x:row>
    <x:row r="617" ht="42" customHeight="1">
      <x:c r="A617" s="11" t="str">
        <x:v>UP-90b06e43b41a</x:v>
      </x:c>
      <x:c r="B617" s="11" t="str">
        <x:v>L1</x:v>
      </x:c>
      <x:c r="C617" s="11" t="str">
        <x:v>挂载与元数据生命周期</x:v>
      </x:c>
      <x:c r="D617" s="11" t="str">
        <x:v>TestFSOps</x:v>
      </x:c>
      <x:c r="E617" s="11" t="str">
        <x:v>Go 测试入口</x:v>
      </x:c>
      <x:c r="F617" s="11" t="str">
        <x:v>待执行</x:v>
      </x:c>
      <x:c r="G617" s="11" t="str">
        <x:v>引擎源码测试；Windows 可构建性及服务依赖需核对</x:v>
      </x:c>
      <x:c r="H617" s="11" t="str">
        <x:v>pkg/meta/random_test.go:2265</x:v>
      </x:c>
      <x:c r="I617" s="11" t="str">
        <x:v>https://github.com/juicedata/juicefs/blob/30190ca1094d26e85f19a979ca51b0ea19af1eaa/pkg/meta/random_test.go#L2265</x:v>
      </x:c>
      <x:c r="J617" s="11" t="str">
        <x:v>未提升为 Windows 执行项</x:v>
      </x:c>
      <x:c r="K617" s="11" t="str">
        <x:v>见源文件及 CI 条件</x:v>
      </x:c>
      <x:c r="L617" s="11" t="str">
        <x:v>子用例参数与运行时生成序列不计作独立目录项；级别为源码目录初分，未执行项目不能计作通过</x:v>
      </x:c>
    </x:row>
    <x:row r="618" ht="42" customHeight="1">
      <x:c r="A618" s="10" t="str">
        <x:v>UP-5ac1d868a824</x:v>
      </x:c>
      <x:c r="B618" s="10" t="str">
        <x:v>L1</x:v>
      </x:c>
      <x:c r="C618" s="10" t="str">
        <x:v>挂载与元数据生命周期</x:v>
      </x:c>
      <x:c r="D618" s="10" t="str">
        <x:v>TestSQLiteClient</x:v>
      </x:c>
      <x:c r="E618" s="10" t="str">
        <x:v>Go 测试入口</x:v>
      </x:c>
      <x:c r="F618" s="10" t="str">
        <x:v>待执行</x:v>
      </x:c>
      <x:c r="G618" s="10" t="str">
        <x:v>引擎源码测试；Windows 可构建性及服务依赖需核对</x:v>
      </x:c>
      <x:c r="H618" s="10" t="str">
        <x:v>pkg/meta/sql_test.go:28</x:v>
      </x:c>
      <x:c r="I618" s="10" t="str">
        <x:v>https://github.com/juicedata/juicefs/blob/30190ca1094d26e85f19a979ca51b0ea19af1eaa/pkg/meta/sql_test.go#L28</x:v>
      </x:c>
      <x:c r="J618" s="10" t="str">
        <x:v>未提升为 Windows 执行项</x:v>
      </x:c>
      <x:c r="K618" s="10" t="str">
        <x:v>见源文件及 CI 条件</x:v>
      </x:c>
      <x:c r="L618" s="10" t="str">
        <x:v>子用例参数与运行时生成序列不计作独立目录项；级别为源码目录初分，未执行项目不能计作通过</x:v>
      </x:c>
    </x:row>
    <x:row r="619" ht="42" customHeight="1">
      <x:c r="A619" s="11" t="str">
        <x:v>UP-3253986e6698</x:v>
      </x:c>
      <x:c r="B619" s="11" t="str">
        <x:v>L1</x:v>
      </x:c>
      <x:c r="C619" s="11" t="str">
        <x:v>挂载与元数据生命周期</x:v>
      </x:c>
      <x:c r="D619" s="11" t="str">
        <x:v>TestMySQLClient</x:v>
      </x:c>
      <x:c r="E619" s="11" t="str">
        <x:v>Go 测试入口</x:v>
      </x:c>
      <x:c r="F619" s="11" t="str">
        <x:v>待执行</x:v>
      </x:c>
      <x:c r="G619" s="11" t="str">
        <x:v>引擎源码测试；Windows 可构建性及服务依赖需核对</x:v>
      </x:c>
      <x:c r="H619" s="11" t="str">
        <x:v>pkg/meta/sql_test.go:36</x:v>
      </x:c>
      <x:c r="I619" s="11" t="str">
        <x:v>https://github.com/juicedata/juicefs/blob/30190ca1094d26e85f19a979ca51b0ea19af1eaa/pkg/meta/sql_test.go#L36</x:v>
      </x:c>
      <x:c r="J619" s="11" t="str">
        <x:v>未提升为 Windows 执行项</x:v>
      </x:c>
      <x:c r="K619" s="11" t="str">
        <x:v>见源文件及 CI 条件</x:v>
      </x:c>
      <x:c r="L619" s="11" t="str">
        <x:v>子用例参数与运行时生成序列不计作独立目录项；级别为源码目录初分，未执行项目不能计作通过</x:v>
      </x:c>
    </x:row>
    <x:row r="620" ht="42" customHeight="1">
      <x:c r="A620" s="10" t="str">
        <x:v>UP-ba88d3486c37</x:v>
      </x:c>
      <x:c r="B620" s="10" t="str">
        <x:v>L1</x:v>
      </x:c>
      <x:c r="C620" s="10" t="str">
        <x:v>挂载与元数据生命周期</x:v>
      </x:c>
      <x:c r="D620" s="10" t="str">
        <x:v>TestPostgreSQLClient</x:v>
      </x:c>
      <x:c r="E620" s="10" t="str">
        <x:v>Go 测试入口</x:v>
      </x:c>
      <x:c r="F620" s="10" t="str">
        <x:v>待执行</x:v>
      </x:c>
      <x:c r="G620" s="10" t="str">
        <x:v>引擎源码测试；Windows 可构建性及服务依赖需核对</x:v>
      </x:c>
      <x:c r="H620" s="10" t="str">
        <x:v>pkg/meta/sql_test.go:44</x:v>
      </x:c>
      <x:c r="I620" s="10" t="str">
        <x:v>https://github.com/juicedata/juicefs/blob/30190ca1094d26e85f19a979ca51b0ea19af1eaa/pkg/meta/sql_test.go#L44</x:v>
      </x:c>
      <x:c r="J620" s="10" t="str">
        <x:v>未提升为 Windows 执行项</x:v>
      </x:c>
      <x:c r="K620" s="10" t="str">
        <x:v>见源文件及 CI 条件</x:v>
      </x:c>
      <x:c r="L620" s="10" t="str">
        <x:v>子用例参数与运行时生成序列不计作独立目录项；级别为源码目录初分，未执行项目不能计作通过</x:v>
      </x:c>
    </x:row>
    <x:row r="621" ht="42" customHeight="1">
      <x:c r="A621" s="11" t="str">
        <x:v>UP-9728d8d947c2</x:v>
      </x:c>
      <x:c r="B621" s="11" t="str">
        <x:v>L2</x:v>
      </x:c>
      <x:c r="C621" s="11" t="str">
        <x:v>命名与目录</x:v>
      </x:c>
      <x:c r="D621" s="11" t="str">
        <x:v>TestPostgreSQLClientWithSearchPath</x:v>
      </x:c>
      <x:c r="E621" s="11" t="str">
        <x:v>Go 测试入口</x:v>
      </x:c>
      <x:c r="F621" s="11" t="str">
        <x:v>待执行</x:v>
      </x:c>
      <x:c r="G621" s="11" t="str">
        <x:v>引擎源码测试；Windows 可构建性及服务依赖需核对</x:v>
      </x:c>
      <x:c r="H621" s="11" t="str">
        <x:v>pkg/meta/sql_test.go:55</x:v>
      </x:c>
      <x:c r="I621" s="11" t="str">
        <x:v>https://github.com/juicedata/juicefs/blob/30190ca1094d26e85f19a979ca51b0ea19af1eaa/pkg/meta/sql_test.go#L55</x:v>
      </x:c>
      <x:c r="J621" s="11" t="str">
        <x:v>未提升为 Windows 执行项</x:v>
      </x:c>
      <x:c r="K621" s="11" t="str">
        <x:v>见源文件及 CI 条件</x:v>
      </x:c>
      <x:c r="L621" s="11" t="str">
        <x:v>子用例参数与运行时生成序列不计作独立目录项；级别为源码目录初分，未执行项目不能计作通过</x:v>
      </x:c>
    </x:row>
    <x:row r="622" ht="42" customHeight="1">
      <x:c r="A622" s="10" t="str">
        <x:v>UP-d6ab8c9a0343</x:v>
      </x:c>
      <x:c r="B622" s="10" t="str">
        <x:v>L1</x:v>
      </x:c>
      <x:c r="C622" s="10" t="str">
        <x:v>挂载与元数据生命周期</x:v>
      </x:c>
      <x:c r="D622" s="10" t="str">
        <x:v>TestRecoveryMysqlPwd</x:v>
      </x:c>
      <x:c r="E622" s="10" t="str">
        <x:v>Go 测试入口</x:v>
      </x:c>
      <x:c r="F622" s="10" t="str">
        <x:v>待执行</x:v>
      </x:c>
      <x:c r="G622" s="10" t="str">
        <x:v>引擎源码测试；Windows 可构建性及服务依赖需核对</x:v>
      </x:c>
      <x:c r="H622" s="10" t="str">
        <x:v>pkg/meta/sql_test.go:62</x:v>
      </x:c>
      <x:c r="I622" s="10" t="str">
        <x:v>https://github.com/juicedata/juicefs/blob/30190ca1094d26e85f19a979ca51b0ea19af1eaa/pkg/meta/sql_test.go#L62</x:v>
      </x:c>
      <x:c r="J622" s="10" t="str">
        <x:v>未提升为 Windows 执行项</x:v>
      </x:c>
      <x:c r="K622" s="10" t="str">
        <x:v>见源文件及 CI 条件</x:v>
      </x:c>
      <x:c r="L622" s="10" t="str">
        <x:v>子用例参数与运行时生成序列不计作独立目录项；级别为源码目录初分，未执行项目不能计作通过</x:v>
      </x:c>
    </x:row>
    <x:row r="623" ht="42" customHeight="1">
      <x:c r="A623" s="11" t="str">
        <x:v>UP-244b0982b85c</x:v>
      </x:c>
      <x:c r="B623" s="11" t="str">
        <x:v>L1</x:v>
      </x:c>
      <x:c r="C623" s="11" t="str">
        <x:v>挂载与元数据生命周期</x:v>
      </x:c>
      <x:c r="D623" s="11" t="str">
        <x:v>TestGetCustomConfig</x:v>
      </x:c>
      <x:c r="E623" s="11" t="str">
        <x:v>Go 测试入口</x:v>
      </x:c>
      <x:c r="F623" s="11" t="str">
        <x:v>待执行</x:v>
      </x:c>
      <x:c r="G623" s="11" t="str">
        <x:v>引擎源码测试；Windows 可构建性及服务依赖需核对</x:v>
      </x:c>
      <x:c r="H623" s="11" t="str">
        <x:v>pkg/meta/sql_test.go:126</x:v>
      </x:c>
      <x:c r="I623" s="11" t="str">
        <x:v>https://github.com/juicedata/juicefs/blob/30190ca1094d26e85f19a979ca51b0ea19af1eaa/pkg/meta/sql_test.go#L126</x:v>
      </x:c>
      <x:c r="J623" s="11" t="str">
        <x:v>未提升为 Windows 执行项</x:v>
      </x:c>
      <x:c r="K623" s="11" t="str">
        <x:v>见源文件及 CI 条件</x:v>
      </x:c>
      <x:c r="L623" s="11" t="str">
        <x:v>子用例参数与运行时生成序列不计作独立目录项；级别为源码目录初分，未执行项目不能计作通过</x:v>
      </x:c>
    </x:row>
    <x:row r="624" ht="42" customHeight="1">
      <x:c r="A624" s="10" t="str">
        <x:v>UP-3b89d9cafd50</x:v>
      </x:c>
      <x:c r="B624" s="10" t="str">
        <x:v>L1</x:v>
      </x:c>
      <x:c r="C624" s="10" t="str">
        <x:v>挂载与元数据生命周期</x:v>
      </x:c>
      <x:c r="D624" s="10" t="str">
        <x:v>TestFdbClient</x:v>
      </x:c>
      <x:c r="E624" s="10" t="str">
        <x:v>Go 测试入口</x:v>
      </x:c>
      <x:c r="F624" s="10" t="str">
        <x:v>待执行</x:v>
      </x:c>
      <x:c r="G624" s="10" t="str">
        <x:v>引擎源码测试；Windows 可构建性及服务依赖需核对</x:v>
      </x:c>
      <x:c r="H624" s="10" t="str">
        <x:v>pkg/meta/tkv_fdb_test.go:27</x:v>
      </x:c>
      <x:c r="I624" s="10" t="str">
        <x:v>https://github.com/juicedata/juicefs/blob/30190ca1094d26e85f19a979ca51b0ea19af1eaa/pkg/meta/tkv_fdb_test.go#L27</x:v>
      </x:c>
      <x:c r="J624" s="10" t="str">
        <x:v>未提升为 Windows 执行项</x:v>
      </x:c>
      <x:c r="K624" s="10" t="str">
        <x:v>fdb; fdb</x:v>
      </x:c>
      <x:c r="L624" s="10" t="str">
        <x:v>子用例参数与运行时生成序列不计作独立目录项；级别为源码目录初分，未执行项目不能计作通过</x:v>
      </x:c>
    </x:row>
    <x:row r="625" ht="42" customHeight="1">
      <x:c r="A625" s="11" t="str">
        <x:v>UP-4a1b21fe1760</x:v>
      </x:c>
      <x:c r="B625" s="11" t="str">
        <x:v>L1</x:v>
      </x:c>
      <x:c r="C625" s="11" t="str">
        <x:v>挂载与元数据生命周期</x:v>
      </x:c>
      <x:c r="D625" s="11" t="str">
        <x:v>TestFdb</x:v>
      </x:c>
      <x:c r="E625" s="11" t="str">
        <x:v>Go 测试入口</x:v>
      </x:c>
      <x:c r="F625" s="11" t="str">
        <x:v>待执行</x:v>
      </x:c>
      <x:c r="G625" s="11" t="str">
        <x:v>引擎源码测试；Windows 可构建性及服务依赖需核对</x:v>
      </x:c>
      <x:c r="H625" s="11" t="str">
        <x:v>pkg/meta/tkv_fdb_test.go:35</x:v>
      </x:c>
      <x:c r="I625" s="11" t="str">
        <x:v>https://github.com/juicedata/juicefs/blob/30190ca1094d26e85f19a979ca51b0ea19af1eaa/pkg/meta/tkv_fdb_test.go#L35</x:v>
      </x:c>
      <x:c r="J625" s="11" t="str">
        <x:v>未提升为 Windows 执行项</x:v>
      </x:c>
      <x:c r="K625" s="11" t="str">
        <x:v>fdb; fdb</x:v>
      </x:c>
      <x:c r="L625" s="11" t="str">
        <x:v>子用例参数与运行时生成序列不计作独立目录项；级别为源码目录初分，未执行项目不能计作通过</x:v>
      </x:c>
    </x:row>
    <x:row r="626" ht="42" customHeight="1">
      <x:c r="A626" s="10" t="str">
        <x:v>UP-babca21be343</x:v>
      </x:c>
      <x:c r="B626" s="10" t="str">
        <x:v>L1</x:v>
      </x:c>
      <x:c r="C626" s="10" t="str">
        <x:v>挂载与元数据生命周期</x:v>
      </x:c>
      <x:c r="D626" s="10" t="str">
        <x:v>TestMemKVClient</x:v>
      </x:c>
      <x:c r="E626" s="10" t="str">
        <x:v>Go 测试入口</x:v>
      </x:c>
      <x:c r="F626" s="10" t="str">
        <x:v>待执行</x:v>
      </x:c>
      <x:c r="G626" s="10" t="str">
        <x:v>引擎源码测试；Windows 可构建性及服务依赖需核对</x:v>
      </x:c>
      <x:c r="H626" s="10" t="str">
        <x:v>pkg/meta/tkv_test.go:29</x:v>
      </x:c>
      <x:c r="I626" s="10" t="str">
        <x:v>https://github.com/juicedata/juicefs/blob/30190ca1094d26e85f19a979ca51b0ea19af1eaa/pkg/meta/tkv_test.go#L29</x:v>
      </x:c>
      <x:c r="J626" s="10" t="str">
        <x:v>未提升为 Windows 执行项</x:v>
      </x:c>
      <x:c r="K626" s="10" t="str">
        <x:v>见源文件及 CI 条件</x:v>
      </x:c>
      <x:c r="L626" s="10" t="str">
        <x:v>子用例参数与运行时生成序列不计作独立目录项；级别为源码目录初分，未执行项目不能计作通过</x:v>
      </x:c>
    </x:row>
    <x:row r="627" ht="42" customHeight="1">
      <x:c r="A627" s="11" t="str">
        <x:v>UP-13774325c3f2</x:v>
      </x:c>
      <x:c r="B627" s="11" t="str">
        <x:v>L1</x:v>
      </x:c>
      <x:c r="C627" s="11" t="str">
        <x:v>挂载与元数据生命周期</x:v>
      </x:c>
      <x:c r="D627" s="11" t="str">
        <x:v>TestTiKVClient</x:v>
      </x:c>
      <x:c r="E627" s="11" t="str">
        <x:v>Go 测试入口</x:v>
      </x:c>
      <x:c r="F627" s="11" t="str">
        <x:v>待执行</x:v>
      </x:c>
      <x:c r="G627" s="11" t="str">
        <x:v>引擎源码测试；Windows 可构建性及服务依赖需核对</x:v>
      </x:c>
      <x:c r="H627" s="11" t="str">
        <x:v>pkg/meta/tkv_test.go:38</x:v>
      </x:c>
      <x:c r="I627" s="11" t="str">
        <x:v>https://github.com/juicedata/juicefs/blob/30190ca1094d26e85f19a979ca51b0ea19af1eaa/pkg/meta/tkv_test.go#L38</x:v>
      </x:c>
      <x:c r="J627" s="11" t="str">
        <x:v>未提升为 Windows 执行项</x:v>
      </x:c>
      <x:c r="K627" s="11" t="str">
        <x:v>见源文件及 CI 条件</x:v>
      </x:c>
      <x:c r="L627" s="11" t="str">
        <x:v>子用例参数与运行时生成序列不计作独立目录项；级别为源码目录初分，未执行项目不能计作通过</x:v>
      </x:c>
    </x:row>
    <x:row r="628" ht="42" customHeight="1">
      <x:c r="A628" s="10" t="str">
        <x:v>UP-8881f918cd77</x:v>
      </x:c>
      <x:c r="B628" s="10" t="str">
        <x:v>L1</x:v>
      </x:c>
      <x:c r="C628" s="10" t="str">
        <x:v>挂载与元数据生命周期</x:v>
      </x:c>
      <x:c r="D628" s="10" t="str">
        <x:v>TestBadgerClient</x:v>
      </x:c>
      <x:c r="E628" s="10" t="str">
        <x:v>Go 测试入口</x:v>
      </x:c>
      <x:c r="F628" s="10" t="str">
        <x:v>待执行</x:v>
      </x:c>
      <x:c r="G628" s="10" t="str">
        <x:v>引擎源码测试；Windows 可构建性及服务依赖需核对</x:v>
      </x:c>
      <x:c r="H628" s="10" t="str">
        <x:v>pkg/meta/tkv_test.go:46</x:v>
      </x:c>
      <x:c r="I628" s="10" t="str">
        <x:v>https://github.com/juicedata/juicefs/blob/30190ca1094d26e85f19a979ca51b0ea19af1eaa/pkg/meta/tkv_test.go#L46</x:v>
      </x:c>
      <x:c r="J628" s="10" t="str">
        <x:v>未提升为 Windows 执行项</x:v>
      </x:c>
      <x:c r="K628" s="10" t="str">
        <x:v>见源文件及 CI 条件</x:v>
      </x:c>
      <x:c r="L628" s="10" t="str">
        <x:v>子用例参数与运行时生成序列不计作独立目录项；级别为源码目录初分，未执行项目不能计作通过</x:v>
      </x:c>
    </x:row>
    <x:row r="629" ht="42" customHeight="1">
      <x:c r="A629" s="11" t="str">
        <x:v>UP-b5b7e43126fc</x:v>
      </x:c>
      <x:c r="B629" s="11" t="str">
        <x:v>L1</x:v>
      </x:c>
      <x:c r="C629" s="11" t="str">
        <x:v>挂载与元数据生命周期</x:v>
      </x:c>
      <x:c r="D629" s="11" t="str">
        <x:v>TestEtcdClient</x:v>
      </x:c>
      <x:c r="E629" s="11" t="str">
        <x:v>Go 测试入口</x:v>
      </x:c>
      <x:c r="F629" s="11" t="str">
        <x:v>待执行</x:v>
      </x:c>
      <x:c r="G629" s="11" t="str">
        <x:v>引擎源码测试；Windows 可构建性及服务依赖需核对</x:v>
      </x:c>
      <x:c r="H629" s="11" t="str">
        <x:v>pkg/meta/tkv_test.go:54</x:v>
      </x:c>
      <x:c r="I629" s="11" t="str">
        <x:v>https://github.com/juicedata/juicefs/blob/30190ca1094d26e85f19a979ca51b0ea19af1eaa/pkg/meta/tkv_test.go#L54</x:v>
      </x:c>
      <x:c r="J629" s="11" t="str">
        <x:v>未提升为 Windows 执行项</x:v>
      </x:c>
      <x:c r="K629" s="11" t="str">
        <x:v>见源文件及 CI 条件</x:v>
      </x:c>
      <x:c r="L629" s="11" t="str">
        <x:v>子用例参数与运行时生成序列不计作独立目录项；级别为源码目录初分，未执行项目不能计作通过</x:v>
      </x:c>
    </x:row>
    <x:row r="630" ht="42" customHeight="1">
      <x:c r="A630" s="10" t="str">
        <x:v>UP-6ed4a0662d39</x:v>
      </x:c>
      <x:c r="B630" s="10" t="str">
        <x:v>L1</x:v>
      </x:c>
      <x:c r="C630" s="10" t="str">
        <x:v>挂载与元数据生命周期</x:v>
      </x:c>
      <x:c r="D630" s="10" t="str">
        <x:v>testTKV</x:v>
      </x:c>
      <x:c r="E630" s="10" t="str">
        <x:v>Go 子场景</x:v>
      </x:c>
      <x:c r="F630" s="10" t="str">
        <x:v>待执行</x:v>
      </x:c>
      <x:c r="G630" s="10" t="str">
        <x:v>引擎源码测试；Windows 可构建性及服务依赖需核对</x:v>
      </x:c>
      <x:c r="H630" s="10" t="str">
        <x:v>pkg/meta/tkv_test.go:65</x:v>
      </x:c>
      <x:c r="I630" s="10" t="str">
        <x:v>https://github.com/juicedata/juicefs/blob/30190ca1094d26e85f19a979ca51b0ea19af1eaa/pkg/meta/tkv_test.go#L65</x:v>
      </x:c>
      <x:c r="J630" s="10" t="str">
        <x:v>未提升为 Windows 执行项</x:v>
      </x:c>
      <x:c r="K630" s="10" t="str">
        <x:v>见源文件及 CI 条件</x:v>
      </x:c>
      <x:c r="L630" s="10" t="str">
        <x:v>子用例参数与运行时生成序列不计作独立目录项；级别为源码目录初分，未执行项目不能计作通过</x:v>
      </x:c>
    </x:row>
    <x:row r="631" ht="42" customHeight="1">
      <x:c r="A631" s="11" t="str">
        <x:v>UP-190333cb25fe</x:v>
      </x:c>
      <x:c r="B631" s="11" t="str">
        <x:v>L1</x:v>
      </x:c>
      <x:c r="C631" s="11" t="str">
        <x:v>挂载与元数据生命周期</x:v>
      </x:c>
      <x:c r="D631" s="11" t="str">
        <x:v>TestBadgerKV</x:v>
      </x:c>
      <x:c r="E631" s="11" t="str">
        <x:v>Go 测试入口</x:v>
      </x:c>
      <x:c r="F631" s="11" t="str">
        <x:v>待执行</x:v>
      </x:c>
      <x:c r="G631" s="11" t="str">
        <x:v>引擎源码测试；Windows 可构建性及服务依赖需核对</x:v>
      </x:c>
      <x:c r="H631" s="11" t="str">
        <x:v>pkg/meta/tkv_test.go:263</x:v>
      </x:c>
      <x:c r="I631" s="11" t="str">
        <x:v>https://github.com/juicedata/juicefs/blob/30190ca1094d26e85f19a979ca51b0ea19af1eaa/pkg/meta/tkv_test.go#L263</x:v>
      </x:c>
      <x:c r="J631" s="11" t="str">
        <x:v>未提升为 Windows 执行项</x:v>
      </x:c>
      <x:c r="K631" s="11" t="str">
        <x:v>见源文件及 CI 条件</x:v>
      </x:c>
      <x:c r="L631" s="11" t="str">
        <x:v>子用例参数与运行时生成序列不计作独立目录项；级别为源码目录初分，未执行项目不能计作通过</x:v>
      </x:c>
    </x:row>
    <x:row r="632" ht="42" customHeight="1">
      <x:c r="A632" s="10" t="str">
        <x:v>UP-4182e38b3d5a</x:v>
      </x:c>
      <x:c r="B632" s="10" t="str">
        <x:v>L1</x:v>
      </x:c>
      <x:c r="C632" s="10" t="str">
        <x:v>挂载与元数据生命周期</x:v>
      </x:c>
      <x:c r="D632" s="10" t="str">
        <x:v>TestEtcd</x:v>
      </x:c>
      <x:c r="E632" s="10" t="str">
        <x:v>Go 测试入口</x:v>
      </x:c>
      <x:c r="F632" s="10" t="str">
        <x:v>待执行</x:v>
      </x:c>
      <x:c r="G632" s="10" t="str">
        <x:v>引擎源码测试；Windows 可构建性及服务依赖需核对</x:v>
      </x:c>
      <x:c r="H632" s="10" t="str">
        <x:v>pkg/meta/tkv_test.go:271</x:v>
      </x:c>
      <x:c r="I632" s="10" t="str">
        <x:v>https://github.com/juicedata/juicefs/blob/30190ca1094d26e85f19a979ca51b0ea19af1eaa/pkg/meta/tkv_test.go#L271</x:v>
      </x:c>
      <x:c r="J632" s="10" t="str">
        <x:v>未提升为 Windows 执行项</x:v>
      </x:c>
      <x:c r="K632" s="10" t="str">
        <x:v>见源文件及 CI 条件</x:v>
      </x:c>
      <x:c r="L632" s="10" t="str">
        <x:v>子用例参数与运行时生成序列不计作独立目录项；级别为源码目录初分，未执行项目不能计作通过</x:v>
      </x:c>
    </x:row>
    <x:row r="633" ht="42" customHeight="1">
      <x:c r="A633" s="11" t="str">
        <x:v>UP-2c6769c8e2d0</x:v>
      </x:c>
      <x:c r="B633" s="11" t="str">
        <x:v>L1</x:v>
      </x:c>
      <x:c r="C633" s="11" t="str">
        <x:v>挂载与元数据生命周期</x:v>
      </x:c>
      <x:c r="D633" s="11" t="str">
        <x:v>TestMemKV</x:v>
      </x:c>
      <x:c r="E633" s="11" t="str">
        <x:v>Go 测试入口</x:v>
      </x:c>
      <x:c r="F633" s="11" t="str">
        <x:v>待执行</x:v>
      </x:c>
      <x:c r="G633" s="11" t="str">
        <x:v>引擎源码测试；Windows 可构建性及服务依赖需核对</x:v>
      </x:c>
      <x:c r="H633" s="11" t="str">
        <x:v>pkg/meta/tkv_test.go:282</x:v>
      </x:c>
      <x:c r="I633" s="11" t="str">
        <x:v>https://github.com/juicedata/juicefs/blob/30190ca1094d26e85f19a979ca51b0ea19af1eaa/pkg/meta/tkv_test.go#L282</x:v>
      </x:c>
      <x:c r="J633" s="11" t="str">
        <x:v>未提升为 Windows 执行项</x:v>
      </x:c>
      <x:c r="K633" s="11" t="str">
        <x:v>见源文件及 CI 条件</x:v>
      </x:c>
      <x:c r="L633" s="11" t="str">
        <x:v>子用例参数与运行时生成序列不计作独立目录项；级别为源码目录初分，未执行项目不能计作通过</x:v>
      </x:c>
    </x:row>
    <x:row r="634" ht="42" customHeight="1">
      <x:c r="A634" s="10" t="str">
        <x:v>UP-b28f42dd53b5</x:v>
      </x:c>
      <x:c r="B634" s="10" t="str">
        <x:v>L1</x:v>
      </x:c>
      <x:c r="C634" s="10" t="str">
        <x:v>挂载与元数据生命周期</x:v>
      </x:c>
      <x:c r="D634" s="10" t="str">
        <x:v>TestRelatimeNeedUpdate</x:v>
      </x:c>
      <x:c r="E634" s="10" t="str">
        <x:v>Go 测试入口</x:v>
      </x:c>
      <x:c r="F634" s="10" t="str">
        <x:v>待执行</x:v>
      </x:c>
      <x:c r="G634" s="10" t="str">
        <x:v>引擎源码测试；Windows 可构建性及服务依赖需核对</x:v>
      </x:c>
      <x:c r="H634" s="10" t="str">
        <x:v>pkg/meta/utils_test.go:25</x:v>
      </x:c>
      <x:c r="I634" s="10" t="str">
        <x:v>https://github.com/juicedata/juicefs/blob/30190ca1094d26e85f19a979ca51b0ea19af1eaa/pkg/meta/utils_test.go#L25</x:v>
      </x:c>
      <x:c r="J634" s="10" t="str">
        <x:v>未提升为 Windows 执行项</x:v>
      </x:c>
      <x:c r="K634" s="10" t="str">
        <x:v>见源文件及 CI 条件</x:v>
      </x:c>
      <x:c r="L634" s="10" t="str">
        <x:v>子用例参数与运行时生成序列不计作独立目录项；级别为源码目录初分，未执行项目不能计作通过</x:v>
      </x:c>
    </x:row>
    <x:row r="635" ht="42" customHeight="1">
      <x:c r="A635" s="11" t="str">
        <x:v>UP-63b37bc8c4d4</x:v>
      </x:c>
      <x:c r="B635" s="11" t="str">
        <x:v>L1</x:v>
      </x:c>
      <x:c r="C635" s="11" t="str">
        <x:v>挂载与元数据生命周期</x:v>
      </x:c>
      <x:c r="D635" s="11" t="str">
        <x:v>TestAtimeNeedsUpdate</x:v>
      </x:c>
      <x:c r="E635" s="11" t="str">
        <x:v>Go 测试入口</x:v>
      </x:c>
      <x:c r="F635" s="11" t="str">
        <x:v>待执行</x:v>
      </x:c>
      <x:c r="G635" s="11" t="str">
        <x:v>引擎源码测试；Windows 可构建性及服务依赖需核对</x:v>
      </x:c>
      <x:c r="H635" s="11" t="str">
        <x:v>pkg/meta/utils_test.go:56</x:v>
      </x:c>
      <x:c r="I635" s="11" t="str">
        <x:v>https://github.com/juicedata/juicefs/blob/30190ca1094d26e85f19a979ca51b0ea19af1eaa/pkg/meta/utils_test.go#L56</x:v>
      </x:c>
      <x:c r="J635" s="11" t="str">
        <x:v>未提升为 Windows 执行项</x:v>
      </x:c>
      <x:c r="K635" s="11" t="str">
        <x:v>见源文件及 CI 条件</x:v>
      </x:c>
      <x:c r="L635" s="11" t="str">
        <x:v>子用例参数与运行时生成序列不计作独立目录项；级别为源码目录初分，未执行项目不能计作通过</x:v>
      </x:c>
    </x:row>
    <x:row r="636" ht="42" customHeight="1">
      <x:c r="A636" s="10" t="str">
        <x:v>UP-2a06d53f48ac</x:v>
      </x:c>
      <x:c r="B636" s="10" t="str">
        <x:v>L1</x:v>
      </x:c>
      <x:c r="C636" s="10" t="str">
        <x:v>挂载与元数据生命周期</x:v>
      </x:c>
      <x:c r="D636" s="10" t="str">
        <x:v>Test_getCallerName</x:v>
      </x:c>
      <x:c r="E636" s="10" t="str">
        <x:v>Go 测试入口</x:v>
      </x:c>
      <x:c r="F636" s="10" t="str">
        <x:v>待执行</x:v>
      </x:c>
      <x:c r="G636" s="10" t="str">
        <x:v>引擎源码测试；Windows 可构建性及服务依赖需核对</x:v>
      </x:c>
      <x:c r="H636" s="10" t="str">
        <x:v>pkg/meta/utils_test.go:92</x:v>
      </x:c>
      <x:c r="I636" s="10" t="str">
        <x:v>https://github.com/juicedata/juicefs/blob/30190ca1094d26e85f19a979ca51b0ea19af1eaa/pkg/meta/utils_test.go#L92</x:v>
      </x:c>
      <x:c r="J636" s="10" t="str">
        <x:v>未提升为 Windows 执行项</x:v>
      </x:c>
      <x:c r="K636" s="10" t="str">
        <x:v>见源文件及 CI 条件</x:v>
      </x:c>
      <x:c r="L636" s="10" t="str">
        <x:v>子用例参数与运行时生成序列不计作独立目录项；级别为源码目录初分，未执行项目不能计作通过</x:v>
      </x:c>
    </x:row>
    <x:row r="637" ht="42" customHeight="1">
      <x:c r="A637" s="11" t="str">
        <x:v>UP-22fb506a5779</x:v>
      </x:c>
      <x:c r="B637" s="11" t="str">
        <x:v>L2</x:v>
      </x:c>
      <x:c r="C637" s="11" t="str">
        <x:v>网关与后端重试</x:v>
      </x:c>
      <x:c r="D637" s="11" t="str">
        <x:v>TestChecksum</x:v>
      </x:c>
      <x:c r="E637" s="11" t="str">
        <x:v>Go 测试入口</x:v>
      </x:c>
      <x:c r="F637" s="11" t="str">
        <x:v>待执行</x:v>
      </x:c>
      <x:c r="G637" s="11" t="str">
        <x:v>引擎源码测试；Windows 可构建性及服务依赖需核对</x:v>
      </x:c>
      <x:c r="H637" s="11" t="str">
        <x:v>pkg/object/checksum_test.go:30</x:v>
      </x:c>
      <x:c r="I637" s="11" t="str">
        <x:v>https://github.com/juicedata/juicefs/blob/30190ca1094d26e85f19a979ca51b0ea19af1eaa/pkg/object/checksum_test.go#L30</x:v>
      </x:c>
      <x:c r="J637" s="11" t="str">
        <x:v>未提升为 Windows 执行项</x:v>
      </x:c>
      <x:c r="K637" s="11" t="str">
        <x:v>见源文件及 CI 条件</x:v>
      </x:c>
      <x:c r="L637" s="11" t="str">
        <x:v>子用例参数与运行时生成序列不计作独立目录项；级别为源码目录初分，未执行项目不能计作通过</x:v>
      </x:c>
    </x:row>
    <x:row r="638" ht="42" customHeight="1">
      <x:c r="A638" s="10" t="str">
        <x:v>UP-2774457db58b</x:v>
      </x:c>
      <x:c r="B638" s="10" t="str">
        <x:v>L2</x:v>
      </x:c>
      <x:c r="C638" s="10" t="str">
        <x:v>网关与后端重试</x:v>
      </x:c>
      <x:c r="D638" s="10" t="str">
        <x:v>TestChecksumRead</x:v>
      </x:c>
      <x:c r="E638" s="10" t="str">
        <x:v>Go 测试入口</x:v>
      </x:c>
      <x:c r="F638" s="10" t="str">
        <x:v>待执行</x:v>
      </x:c>
      <x:c r="G638" s="10" t="str">
        <x:v>引擎源码测试；Windows 可构建性及服务依赖需核对</x:v>
      </x:c>
      <x:c r="H638" s="10" t="str">
        <x:v>pkg/object/checksum_test.go:46</x:v>
      </x:c>
      <x:c r="I638" s="10" t="str">
        <x:v>https://github.com/juicedata/juicefs/blob/30190ca1094d26e85f19a979ca51b0ea19af1eaa/pkg/object/checksum_test.go#L46</x:v>
      </x:c>
      <x:c r="J638" s="10" t="str">
        <x:v>未提升为 Windows 执行项</x:v>
      </x:c>
      <x:c r="K638" s="10" t="str">
        <x:v>见源文件及 CI 条件</x:v>
      </x:c>
      <x:c r="L638" s="10" t="str">
        <x:v>子用例参数与运行时生成序列不计作独立目录项；级别为源码目录初分，未执行项目不能计作通过</x:v>
      </x:c>
    </x:row>
    <x:row r="639" ht="42" customHeight="1">
      <x:c r="A639" s="11" t="str">
        <x:v>UP-f68917b2e783</x:v>
      </x:c>
      <x:c r="B639" s="11" t="str">
        <x:v>L2</x:v>
      </x:c>
      <x:c r="C639" s="11" t="str">
        <x:v>网关与后端重试</x:v>
      </x:c>
      <x:c r="D639" s="11" t="str">
        <x:v>TestParsePKCS8</x:v>
      </x:c>
      <x:c r="E639" s="11" t="str">
        <x:v>Go 测试入口</x:v>
      </x:c>
      <x:c r="F639" s="11" t="str">
        <x:v>待执行</x:v>
      </x:c>
      <x:c r="G639" s="11" t="str">
        <x:v>引擎源码测试；Windows 可构建性及服务依赖需核对</x:v>
      </x:c>
      <x:c r="H639" s="11" t="str">
        <x:v>pkg/object/encrypt_test.go:70</x:v>
      </x:c>
      <x:c r="I639" s="11" t="str">
        <x:v>https://github.com/juicedata/juicefs/blob/30190ca1094d26e85f19a979ca51b0ea19af1eaa/pkg/object/encrypt_test.go#L70</x:v>
      </x:c>
      <x:c r="J639" s="11" t="str">
        <x:v>未提升为 Windows 执行项</x:v>
      </x:c>
      <x:c r="K639" s="11" t="str">
        <x:v>见源文件及 CI 条件</x:v>
      </x:c>
      <x:c r="L639" s="11" t="str">
        <x:v>子用例参数与运行时生成序列不计作独立目录项；级别为源码目录初分，未执行项目不能计作通过</x:v>
      </x:c>
    </x:row>
    <x:row r="640" ht="42" customHeight="1">
      <x:c r="A640" s="10" t="str">
        <x:v>UP-b050e0486b63</x:v>
      </x:c>
      <x:c r="B640" s="10" t="str">
        <x:v>L2</x:v>
      </x:c>
      <x:c r="C640" s="10" t="str">
        <x:v>网关与后端重试</x:v>
      </x:c>
      <x:c r="D640" s="10" t="str">
        <x:v>TestParsePemWithoutPassword</x:v>
      </x:c>
      <x:c r="E640" s="10" t="str">
        <x:v>Go 测试入口</x:v>
      </x:c>
      <x:c r="F640" s="10" t="str">
        <x:v>待执行</x:v>
      </x:c>
      <x:c r="G640" s="10" t="str">
        <x:v>引擎源码测试；Windows 可构建性及服务依赖需核对</x:v>
      </x:c>
      <x:c r="H640" s="10" t="str">
        <x:v>pkg/object/encrypt_test.go:81</x:v>
      </x:c>
      <x:c r="I640" s="10" t="str">
        <x:v>https://github.com/juicedata/juicefs/blob/30190ca1094d26e85f19a979ca51b0ea19af1eaa/pkg/object/encrypt_test.go#L81</x:v>
      </x:c>
      <x:c r="J640" s="10" t="str">
        <x:v>未提升为 Windows 执行项</x:v>
      </x:c>
      <x:c r="K640" s="10" t="str">
        <x:v>见源文件及 CI 条件</x:v>
      </x:c>
      <x:c r="L640" s="10" t="str">
        <x:v>子用例参数与运行时生成序列不计作独立目录项；级别为源码目录初分，未执行项目不能计作通过</x:v>
      </x:c>
    </x:row>
    <x:row r="641" ht="42" customHeight="1">
      <x:c r="A641" s="11" t="str">
        <x:v>UP-d31c32b424e7</x:v>
      </x:c>
      <x:c r="B641" s="11" t="str">
        <x:v>L2</x:v>
      </x:c>
      <x:c r="C641" s="11" t="str">
        <x:v>网关与后端重试</x:v>
      </x:c>
      <x:c r="D641" s="11" t="str">
        <x:v>TestRSA</x:v>
      </x:c>
      <x:c r="E641" s="11" t="str">
        <x:v>Go 测试入口</x:v>
      </x:c>
      <x:c r="F641" s="11" t="str">
        <x:v>待执行</x:v>
      </x:c>
      <x:c r="G641" s="11" t="str">
        <x:v>引擎源码测试；Windows 可构建性及服务依赖需核对</x:v>
      </x:c>
      <x:c r="H641" s="11" t="str">
        <x:v>pkg/object/encrypt_test.go:97</x:v>
      </x:c>
      <x:c r="I641" s="11" t="str">
        <x:v>https://github.com/juicedata/juicefs/blob/30190ca1094d26e85f19a979ca51b0ea19af1eaa/pkg/object/encrypt_test.go#L97</x:v>
      </x:c>
      <x:c r="J641" s="11" t="str">
        <x:v>未提升为 Windows 执行项</x:v>
      </x:c>
      <x:c r="K641" s="11" t="str">
        <x:v>见源文件及 CI 条件</x:v>
      </x:c>
      <x:c r="L641" s="11" t="str">
        <x:v>子用例参数与运行时生成序列不计作独立目录项；级别为源码目录初分，未执行项目不能计作通过</x:v>
      </x:c>
    </x:row>
    <x:row r="642" ht="42" customHeight="1">
      <x:c r="A642" s="10" t="str">
        <x:v>UP-702b7f0f9368</x:v>
      </x:c>
      <x:c r="B642" s="10" t="str">
        <x:v>L4</x:v>
      </x:c>
      <x:c r="C642" s="10" t="str">
        <x:v>网关与后端重试</x:v>
      </x:c>
      <x:c r="D642" s="10" t="str">
        <x:v>BenchmarkRSA4096Encrypt</x:v>
      </x:c>
      <x:c r="E642" s="10" t="str">
        <x:v>Go 性能基准</x:v>
      </x:c>
      <x:c r="F642" s="10" t="str">
        <x:v>待执行</x:v>
      </x:c>
      <x:c r="G642" s="10" t="str">
        <x:v>引擎源码测试；Windows 可构建性及服务依赖需核对</x:v>
      </x:c>
      <x:c r="H642" s="10" t="str">
        <x:v>pkg/object/encrypt_test.go:164</x:v>
      </x:c>
      <x:c r="I642" s="10" t="str">
        <x:v>https://github.com/juicedata/juicefs/blob/30190ca1094d26e85f19a979ca51b0ea19af1eaa/pkg/object/encrypt_test.go#L164</x:v>
      </x:c>
      <x:c r="J642" s="10" t="str">
        <x:v>未提升为 Windows 执行项</x:v>
      </x:c>
      <x:c r="K642" s="10" t="str">
        <x:v>见源文件及 CI 条件</x:v>
      </x:c>
      <x:c r="L642" s="10" t="str">
        <x:v>子用例参数与运行时生成序列不计作独立目录项；级别为源码目录初分，未执行项目不能计作通过</x:v>
      </x:c>
    </x:row>
    <x:row r="643" ht="42" customHeight="1">
      <x:c r="A643" s="11" t="str">
        <x:v>UP-feb52a78c6ff</x:v>
      </x:c>
      <x:c r="B643" s="11" t="str">
        <x:v>L4</x:v>
      </x:c>
      <x:c r="C643" s="11" t="str">
        <x:v>网关与后端重试</x:v>
      </x:c>
      <x:c r="D643" s="11" t="str">
        <x:v>BenchmarkRSA4096Decrypt</x:v>
      </x:c>
      <x:c r="E643" s="11" t="str">
        <x:v>Go 性能基准</x:v>
      </x:c>
      <x:c r="F643" s="11" t="str">
        <x:v>待执行</x:v>
      </x:c>
      <x:c r="G643" s="11" t="str">
        <x:v>引擎源码测试；Windows 可构建性及服务依赖需核对</x:v>
      </x:c>
      <x:c r="H643" s="11" t="str">
        <x:v>pkg/object/encrypt_test.go:173</x:v>
      </x:c>
      <x:c r="I643" s="11" t="str">
        <x:v>https://github.com/juicedata/juicefs/blob/30190ca1094d26e85f19a979ca51b0ea19af1eaa/pkg/object/encrypt_test.go#L173</x:v>
      </x:c>
      <x:c r="J643" s="11" t="str">
        <x:v>未提升为 Windows 执行项</x:v>
      </x:c>
      <x:c r="K643" s="11" t="str">
        <x:v>见源文件及 CI 条件</x:v>
      </x:c>
      <x:c r="L643" s="11" t="str">
        <x:v>子用例参数与运行时生成序列不计作独立目录项；级别为源码目录初分，未执行项目不能计作通过</x:v>
      </x:c>
    </x:row>
    <x:row r="644" ht="42" customHeight="1">
      <x:c r="A644" s="10" t="str">
        <x:v>UP-3cf18e1b5b42</x:v>
      </x:c>
      <x:c r="B644" s="10" t="str">
        <x:v>L2</x:v>
      </x:c>
      <x:c r="C644" s="10" t="str">
        <x:v>网关与后端重试</x:v>
      </x:c>
      <x:c r="D644" s="10" t="str">
        <x:v>TestChaCha20</x:v>
      </x:c>
      <x:c r="E644" s="10" t="str">
        <x:v>Go 测试入口</x:v>
      </x:c>
      <x:c r="F644" s="10" t="str">
        <x:v>待执行</x:v>
      </x:c>
      <x:c r="G644" s="10" t="str">
        <x:v>引擎源码测试；Windows 可构建性及服务依赖需核对</x:v>
      </x:c>
      <x:c r="H644" s="10" t="str">
        <x:v>pkg/object/encrypt_test.go:183</x:v>
      </x:c>
      <x:c r="I644" s="10" t="str">
        <x:v>https://github.com/juicedata/juicefs/blob/30190ca1094d26e85f19a979ca51b0ea19af1eaa/pkg/object/encrypt_test.go#L183</x:v>
      </x:c>
      <x:c r="J644" s="10" t="str">
        <x:v>未提升为 Windows 执行项</x:v>
      </x:c>
      <x:c r="K644" s="10" t="str">
        <x:v>见源文件及 CI 条件</x:v>
      </x:c>
      <x:c r="L644" s="10" t="str">
        <x:v>子用例参数与运行时生成序列不计作独立目录项；级别为源码目录初分，未执行项目不能计作通过</x:v>
      </x:c>
    </x:row>
    <x:row r="645" ht="42" customHeight="1">
      <x:c r="A645" s="11" t="str">
        <x:v>UP-d55d15daa4b6</x:v>
      </x:c>
      <x:c r="B645" s="11" t="str">
        <x:v>L2</x:v>
      </x:c>
      <x:c r="C645" s="11" t="str">
        <x:v>网关与后端重试</x:v>
      </x:c>
      <x:c r="D645" s="11" t="str">
        <x:v>TestAESGCM</x:v>
      </x:c>
      <x:c r="E645" s="11" t="str">
        <x:v>Go 测试入口</x:v>
      </x:c>
      <x:c r="F645" s="11" t="str">
        <x:v>待执行</x:v>
      </x:c>
      <x:c r="G645" s="11" t="str">
        <x:v>引擎源码测试；Windows 可构建性及服务依赖需核对</x:v>
      </x:c>
      <x:c r="H645" s="11" t="str">
        <x:v>pkg/object/encrypt_test.go:195</x:v>
      </x:c>
      <x:c r="I645" s="11" t="str">
        <x:v>https://github.com/juicedata/juicefs/blob/30190ca1094d26e85f19a979ca51b0ea19af1eaa/pkg/object/encrypt_test.go#L195</x:v>
      </x:c>
      <x:c r="J645" s="11" t="str">
        <x:v>未提升为 Windows 执行项</x:v>
      </x:c>
      <x:c r="K645" s="11" t="str">
        <x:v>见源文件及 CI 条件</x:v>
      </x:c>
      <x:c r="L645" s="11" t="str">
        <x:v>子用例参数与运行时生成序列不计作独立目录项；级别为源码目录初分，未执行项目不能计作通过</x:v>
      </x:c>
    </x:row>
    <x:row r="646" ht="42" customHeight="1">
      <x:c r="A646" s="10" t="str">
        <x:v>UP-e62d80315cdb</x:v>
      </x:c>
      <x:c r="B646" s="10" t="str">
        <x:v>L2</x:v>
      </x:c>
      <x:c r="C646" s="10" t="str">
        <x:v>网关与后端重试</x:v>
      </x:c>
      <x:c r="D646" s="10" t="str">
        <x:v>TestEncryptedStore</x:v>
      </x:c>
      <x:c r="E646" s="10" t="str">
        <x:v>Go 测试入口</x:v>
      </x:c>
      <x:c r="F646" s="10" t="str">
        <x:v>待执行</x:v>
      </x:c>
      <x:c r="G646" s="10" t="str">
        <x:v>引擎源码测试；Windows 可构建性及服务依赖需核对</x:v>
      </x:c>
      <x:c r="H646" s="10" t="str">
        <x:v>pkg/object/encrypt_test.go:207</x:v>
      </x:c>
      <x:c r="I646" s="10" t="str">
        <x:v>https://github.com/juicedata/juicefs/blob/30190ca1094d26e85f19a979ca51b0ea19af1eaa/pkg/object/encrypt_test.go#L207</x:v>
      </x:c>
      <x:c r="J646" s="10" t="str">
        <x:v>未提升为 Windows 执行项</x:v>
      </x:c>
      <x:c r="K646" s="10" t="str">
        <x:v>见源文件及 CI 条件</x:v>
      </x:c>
      <x:c r="L646" s="10" t="str">
        <x:v>子用例参数与运行时生成序列不计作独立目录项；级别为源码目录初分，未执行项目不能计作通过</x:v>
      </x:c>
    </x:row>
    <x:row r="647" ht="42" customHeight="1">
      <x:c r="A647" s="11" t="str">
        <x:v>UP-3d33a0baa842</x:v>
      </x:c>
      <x:c r="B647" s="11" t="str">
        <x:v>L2</x:v>
      </x:c>
      <x:c r="C647" s="11" t="str">
        <x:v>网关与后端重试</x:v>
      </x:c>
      <x:c r="D647" s="11" t="str">
        <x:v>TestLChtimes</x:v>
      </x:c>
      <x:c r="E647" s="11" t="str">
        <x:v>Go 测试入口</x:v>
      </x:c>
      <x:c r="F647" s="11" t="str">
        <x:v>待执行</x:v>
      </x:c>
      <x:c r="G647" s="11" t="str">
        <x:v>引擎源码测试；Windows 可构建性及服务依赖需核对</x:v>
      </x:c>
      <x:c r="H647" s="11" t="str">
        <x:v>pkg/object/file_unix_test.go:28</x:v>
      </x:c>
      <x:c r="I647" s="11" t="str">
        <x:v>https://github.com/juicedata/juicefs/blob/30190ca1094d26e85f19a979ca51b0ea19af1eaa/pkg/object/file_unix_test.go#L28</x:v>
      </x:c>
      <x:c r="J647" s="11" t="str">
        <x:v>未提升为 Windows 执行项</x:v>
      </x:c>
      <x:c r="K647" s="11" t="str">
        <x:v>!windows; !windows</x:v>
      </x:c>
      <x:c r="L647" s="11" t="str">
        <x:v>子用例参数与运行时生成序列不计作独立目录项；级别为源码目录初分，未执行项目不能计作通过</x:v>
      </x:c>
    </x:row>
    <x:row r="648" ht="42" customHeight="1">
      <x:c r="A648" s="10" t="str">
        <x:v>UP-e68b9d64aae0</x:v>
      </x:c>
      <x:c r="B648" s="10" t="str">
        <x:v>L2</x:v>
      </x:c>
      <x:c r="C648" s="10" t="str">
        <x:v>网关与后端重试</x:v>
      </x:c>
      <x:c r="D648" s="10" t="str">
        <x:v>TestDisk2</x:v>
      </x:c>
      <x:c r="E648" s="10" t="str">
        <x:v>Go 测试入口</x:v>
      </x:c>
      <x:c r="F648" s="10" t="str">
        <x:v>待执行</x:v>
      </x:c>
      <x:c r="G648" s="10" t="str">
        <x:v>引擎源码测试；Windows 可构建性及服务依赖需核对</x:v>
      </x:c>
      <x:c r="H648" s="10" t="str">
        <x:v>pkg/object/filesystem_test.go:47</x:v>
      </x:c>
      <x:c r="I648" s="10" t="str">
        <x:v>https://github.com/juicedata/juicefs/blob/30190ca1094d26e85f19a979ca51b0ea19af1eaa/pkg/object/filesystem_test.go#L47</x:v>
      </x:c>
      <x:c r="J648" s="10" t="str">
        <x:v>未提升为 Windows 执行项</x:v>
      </x:c>
      <x:c r="K648" s="10" t="str">
        <x:v>见源文件及 CI 条件</x:v>
      </x:c>
      <x:c r="L648" s="10" t="str">
        <x:v>子用例参数与运行时生成序列不计作独立目录项；级别为源码目录初分，未执行项目不能计作通过</x:v>
      </x:c>
    </x:row>
    <x:row r="649" ht="42" customHeight="1">
      <x:c r="A649" s="11" t="str">
        <x:v>UP-58091e7a8140</x:v>
      </x:c>
      <x:c r="B649" s="11" t="str">
        <x:v>L2</x:v>
      </x:c>
      <x:c r="C649" s="11" t="str">
        <x:v>网关与后端重试</x:v>
      </x:c>
      <x:c r="D649" s="11" t="str">
        <x:v>TestSftp2</x:v>
      </x:c>
      <x:c r="E649" s="11" t="str">
        <x:v>Go 测试入口</x:v>
      </x:c>
      <x:c r="F649" s="11" t="str">
        <x:v>待执行</x:v>
      </x:c>
      <x:c r="G649" s="11" t="str">
        <x:v>引擎源码测试；Windows 可构建性及服务依赖需核对</x:v>
      </x:c>
      <x:c r="H649" s="11" t="str">
        <x:v>pkg/object/filesystem_test.go:55</x:v>
      </x:c>
      <x:c r="I649" s="11" t="str">
        <x:v>https://github.com/juicedata/juicefs/blob/30190ca1094d26e85f19a979ca51b0ea19af1eaa/pkg/object/filesystem_test.go#L55</x:v>
      </x:c>
      <x:c r="J649" s="11" t="str">
        <x:v>未提升为 Windows 执行项</x:v>
      </x:c>
      <x:c r="K649" s="11" t="str">
        <x:v>见源文件及 CI 条件</x:v>
      </x:c>
      <x:c r="L649" s="11" t="str">
        <x:v>子用例参数与运行时生成序列不计作独立目录项；级别为源码目录初分，未执行项目不能计作通过</x:v>
      </x:c>
    </x:row>
    <x:row r="650" ht="42" customHeight="1">
      <x:c r="A650" s="10" t="str">
        <x:v>UP-0b45babce8e6</x:v>
      </x:c>
      <x:c r="B650" s="10" t="str">
        <x:v>L2</x:v>
      </x:c>
      <x:c r="C650" s="10" t="str">
        <x:v>网关与后端重试</x:v>
      </x:c>
      <x:c r="D650" s="10" t="str">
        <x:v>TestHDFS2</x:v>
      </x:c>
      <x:c r="E650" s="10" t="str">
        <x:v>Go 测试入口</x:v>
      </x:c>
      <x:c r="F650" s="10" t="str">
        <x:v>待执行</x:v>
      </x:c>
      <x:c r="G650" s="10" t="str">
        <x:v>引擎源码测试；Windows 可构建性及服务依赖需核对</x:v>
      </x:c>
      <x:c r="H650" s="10" t="str">
        <x:v>pkg/object/filesystem_test.go:66</x:v>
      </x:c>
      <x:c r="I650" s="10" t="str">
        <x:v>https://github.com/juicedata/juicefs/blob/30190ca1094d26e85f19a979ca51b0ea19af1eaa/pkg/object/filesystem_test.go#L66</x:v>
      </x:c>
      <x:c r="J650" s="10" t="str">
        <x:v>未提升为 Windows 执行项</x:v>
      </x:c>
      <x:c r="K650" s="10" t="str">
        <x:v>见源文件及 CI 条件</x:v>
      </x:c>
      <x:c r="L650" s="10" t="str">
        <x:v>子用例参数与运行时生成序列不计作独立目录项；级别为源码目录初分，未执行项目不能计作通过</x:v>
      </x:c>
    </x:row>
    <x:row r="651" ht="42" customHeight="1">
      <x:c r="A651" s="11" t="str">
        <x:v>UP-94aed7e6224a</x:v>
      </x:c>
      <x:c r="B651" s="11" t="str">
        <x:v>L2</x:v>
      </x:c>
      <x:c r="C651" s="11" t="str">
        <x:v>网关与后端重试</x:v>
      </x:c>
      <x:c r="D651" s="11" t="str">
        <x:v>TestNFS2</x:v>
      </x:c>
      <x:c r="E651" s="11" t="str">
        <x:v>Go 测试入口</x:v>
      </x:c>
      <x:c r="F651" s="11" t="str">
        <x:v>待执行</x:v>
      </x:c>
      <x:c r="G651" s="11" t="str">
        <x:v>引擎源码测试；Windows 可构建性及服务依赖需核对</x:v>
      </x:c>
      <x:c r="H651" s="11" t="str">
        <x:v>pkg/object/filesystem_test.go:74</x:v>
      </x:c>
      <x:c r="I651" s="11" t="str">
        <x:v>https://github.com/juicedata/juicefs/blob/30190ca1094d26e85f19a979ca51b0ea19af1eaa/pkg/object/filesystem_test.go#L74</x:v>
      </x:c>
      <x:c r="J651" s="11" t="str">
        <x:v>未提升为 Windows 执行项</x:v>
      </x:c>
      <x:c r="K651" s="11" t="str">
        <x:v>见源文件及 CI 条件</x:v>
      </x:c>
      <x:c r="L651" s="11" t="str">
        <x:v>子用例参数与运行时生成序列不计作独立目录项；级别为源码目录初分，未执行项目不能计作通过</x:v>
      </x:c>
    </x:row>
    <x:row r="652" ht="42" customHeight="1">
      <x:c r="A652" s="10" t="str">
        <x:v>UP-0d52da3fd730</x:v>
      </x:c>
      <x:c r="B652" s="10" t="str">
        <x:v>L2</x:v>
      </x:c>
      <x:c r="C652" s="10" t="str">
        <x:v>网关与后端重试</x:v>
      </x:c>
      <x:c r="D652" s="10" t="str">
        <x:v>testFileSystem</x:v>
      </x:c>
      <x:c r="E652" s="10" t="str">
        <x:v>Go 子场景</x:v>
      </x:c>
      <x:c r="F652" s="10" t="str">
        <x:v>待执行</x:v>
      </x:c>
      <x:c r="G652" s="10" t="str">
        <x:v>引擎源码测试；Windows 可构建性及服务依赖需核对</x:v>
      </x:c>
      <x:c r="H652" s="10" t="str">
        <x:v>pkg/object/filesystem_test.go:85</x:v>
      </x:c>
      <x:c r="I652" s="10" t="str">
        <x:v>https://github.com/juicedata/juicefs/blob/30190ca1094d26e85f19a979ca51b0ea19af1eaa/pkg/object/filesystem_test.go#L85</x:v>
      </x:c>
      <x:c r="J652" s="10" t="str">
        <x:v>未提升为 Windows 执行项</x:v>
      </x:c>
      <x:c r="K652" s="10" t="str">
        <x:v>见源文件及 CI 条件</x:v>
      </x:c>
      <x:c r="L652" s="10" t="str">
        <x:v>子用例参数与运行时生成序列不计作独立目录项；级别为源码目录初分，未执行项目不能计作通过</x:v>
      </x:c>
    </x:row>
    <x:row r="653" ht="42" customHeight="1">
      <x:c r="A653" s="11" t="str">
        <x:v>UP-c47bdf1d7363</x:v>
      </x:c>
      <x:c r="B653" s="11" t="str">
        <x:v>L2</x:v>
      </x:c>
      <x:c r="C653" s="11" t="str">
        <x:v>网关与后端重试</x:v>
      </x:c>
      <x:c r="D653" s="11" t="str">
        <x:v>TestGluster</x:v>
      </x:c>
      <x:c r="E653" s="11" t="str">
        <x:v>Go 测试入口</x:v>
      </x:c>
      <x:c r="F653" s="11" t="str">
        <x:v>待执行</x:v>
      </x:c>
      <x:c r="G653" s="11" t="str">
        <x:v>引擎源码测试；Windows 可构建性及服务依赖需核对</x:v>
      </x:c>
      <x:c r="H653" s="11" t="str">
        <x:v>pkg/object/gluster_test.go:27</x:v>
      </x:c>
      <x:c r="I653" s="11" t="str">
        <x:v>https://github.com/juicedata/juicefs/blob/30190ca1094d26e85f19a979ca51b0ea19af1eaa/pkg/object/gluster_test.go#L27</x:v>
      </x:c>
      <x:c r="J653" s="11" t="str">
        <x:v>未提升为 Windows 执行项</x:v>
      </x:c>
      <x:c r="K653" s="11" t="str">
        <x:v>gluster; gluster</x:v>
      </x:c>
      <x:c r="L653" s="11" t="str">
        <x:v>子用例参数与运行时生成序列不计作独立目录项；级别为源码目录初分，未执行项目不能计作通过</x:v>
      </x:c>
    </x:row>
    <x:row r="654" ht="42" customHeight="1">
      <x:c r="A654" s="10" t="str">
        <x:v>UP-3d60341b2a25</x:v>
      </x:c>
      <x:c r="B654" s="10" t="str">
        <x:v>L2</x:v>
      </x:c>
      <x:c r="C654" s="10" t="str">
        <x:v>网关与后端重试</x:v>
      </x:c>
      <x:c r="D654" s="10" t="str">
        <x:v>TestGluster2</x:v>
      </x:c>
      <x:c r="E654" s="10" t="str">
        <x:v>Go 测试入口</x:v>
      </x:c>
      <x:c r="F654" s="10" t="str">
        <x:v>待执行</x:v>
      </x:c>
      <x:c r="G654" s="10" t="str">
        <x:v>引擎源码测试；Windows 可构建性及服务依赖需核对</x:v>
      </x:c>
      <x:c r="H654" s="10" t="str">
        <x:v>pkg/object/gluster_test.go:36</x:v>
      </x:c>
      <x:c r="I654" s="10" t="str">
        <x:v>https://github.com/juicedata/juicefs/blob/30190ca1094d26e85f19a979ca51b0ea19af1eaa/pkg/object/gluster_test.go#L36</x:v>
      </x:c>
      <x:c r="J654" s="10" t="str">
        <x:v>未提升为 Windows 执行项</x:v>
      </x:c>
      <x:c r="K654" s="10" t="str">
        <x:v>gluster; gluster</x:v>
      </x:c>
      <x:c r="L654" s="10" t="str">
        <x:v>子用例参数与运行时生成序列不计作独立目录项；级别为源码目录初分，未执行项目不能计作通过</x:v>
      </x:c>
    </x:row>
    <x:row r="655" ht="42" customHeight="1">
      <x:c r="A655" s="11" t="str">
        <x:v>UP-6d407dfc70b1</x:v>
      </x:c>
      <x:c r="B655" s="11" t="str">
        <x:v>L2</x:v>
      </x:c>
      <x:c r="C655" s="11" t="str">
        <x:v>网关与后端重试</x:v>
      </x:c>
      <x:c r="D655" s="11" t="str">
        <x:v>testStorage</x:v>
      </x:c>
      <x:c r="E655" s="11" t="str">
        <x:v>Go 子场景</x:v>
      </x:c>
      <x:c r="F655" s="11" t="str">
        <x:v>待执行</x:v>
      </x:c>
      <x:c r="G655" s="11" t="str">
        <x:v>引擎源码测试；Windows 可构建性及服务依赖需核对</x:v>
      </x:c>
      <x:c r="H655" s="11" t="str">
        <x:v>pkg/object/object_storage_test.go:109</x:v>
      </x:c>
      <x:c r="I655" s="11" t="str">
        <x:v>https://github.com/juicedata/juicefs/blob/30190ca1094d26e85f19a979ca51b0ea19af1eaa/pkg/object/object_storage_test.go#L109</x:v>
      </x:c>
      <x:c r="J655" s="11" t="str">
        <x:v>未提升为 Windows 执行项</x:v>
      </x:c>
      <x:c r="K655" s="11" t="str">
        <x:v>见源文件及 CI 条件</x:v>
      </x:c>
      <x:c r="L655" s="11" t="str">
        <x:v>子用例参数与运行时生成序列不计作独立目录项；级别为源码目录初分，未执行项目不能计作通过</x:v>
      </x:c>
    </x:row>
    <x:row r="656" ht="42" customHeight="1">
      <x:c r="A656" s="10" t="str">
        <x:v>UP-b6d087928fc0</x:v>
      </x:c>
      <x:c r="B656" s="10" t="str">
        <x:v>L2</x:v>
      </x:c>
      <x:c r="C656" s="10" t="str">
        <x:v>网关与后端重试</x:v>
      </x:c>
      <x:c r="D656" s="10" t="str">
        <x:v>TestMem</x:v>
      </x:c>
      <x:c r="E656" s="10" t="str">
        <x:v>Go 测试入口</x:v>
      </x:c>
      <x:c r="F656" s="10" t="str">
        <x:v>待执行</x:v>
      </x:c>
      <x:c r="G656" s="10" t="str">
        <x:v>引擎源码测试；Windows 可构建性及服务依赖需核对</x:v>
      </x:c>
      <x:c r="H656" s="10" t="str">
        <x:v>pkg/object/object_storage_test.go:626</x:v>
      </x:c>
      <x:c r="I656" s="10" t="str">
        <x:v>https://github.com/juicedata/juicefs/blob/30190ca1094d26e85f19a979ca51b0ea19af1eaa/pkg/object/object_storage_test.go#L626</x:v>
      </x:c>
      <x:c r="J656" s="10" t="str">
        <x:v>未提升为 Windows 执行项</x:v>
      </x:c>
      <x:c r="K656" s="10" t="str">
        <x:v>见源文件及 CI 条件</x:v>
      </x:c>
      <x:c r="L656" s="10" t="str">
        <x:v>子用例参数与运行时生成序列不计作独立目录项；级别为源码目录初分，未执行项目不能计作通过</x:v>
      </x:c>
    </x:row>
    <x:row r="657" ht="42" customHeight="1">
      <x:c r="A657" s="11" t="str">
        <x:v>UP-81bb2fc9682d</x:v>
      </x:c>
      <x:c r="B657" s="11" t="str">
        <x:v>L2</x:v>
      </x:c>
      <x:c r="C657" s="11" t="str">
        <x:v>网关与后端重试</x:v>
      </x:c>
      <x:c r="D657" s="11" t="str">
        <x:v>TestDisk</x:v>
      </x:c>
      <x:c r="E657" s="11" t="str">
        <x:v>Go 测试入口</x:v>
      </x:c>
      <x:c r="F657" s="11" t="str">
        <x:v>待执行</x:v>
      </x:c>
      <x:c r="G657" s="11" t="str">
        <x:v>引擎源码测试；Windows 可构建性及服务依赖需核对</x:v>
      </x:c>
      <x:c r="H657" s="11" t="str">
        <x:v>pkg/object/object_storage_test.go:631</x:v>
      </x:c>
      <x:c r="I657" s="11" t="str">
        <x:v>https://github.com/juicedata/juicefs/blob/30190ca1094d26e85f19a979ca51b0ea19af1eaa/pkg/object/object_storage_test.go#L631</x:v>
      </x:c>
      <x:c r="J657" s="11" t="str">
        <x:v>未提升为 Windows 执行项</x:v>
      </x:c>
      <x:c r="K657" s="11" t="str">
        <x:v>见源文件及 CI 条件</x:v>
      </x:c>
      <x:c r="L657" s="11" t="str">
        <x:v>子用例参数与运行时生成序列不计作独立目录项；级别为源码目录初分，未执行项目不能计作通过</x:v>
      </x:c>
    </x:row>
    <x:row r="658" ht="42" customHeight="1">
      <x:c r="A658" s="10" t="str">
        <x:v>UP-7fedbf4d6929</x:v>
      </x:c>
      <x:c r="B658" s="10" t="str">
        <x:v>L2</x:v>
      </x:c>
      <x:c r="C658" s="10" t="str">
        <x:v>网关与后端重试</x:v>
      </x:c>
      <x:c r="D658" s="10" t="str">
        <x:v>TestQingStor</x:v>
      </x:c>
      <x:c r="E658" s="10" t="str">
        <x:v>Go 测试入口</x:v>
      </x:c>
      <x:c r="F658" s="10" t="str">
        <x:v>待执行</x:v>
      </x:c>
      <x:c r="G658" s="10" t="str">
        <x:v>引擎源码测试；Windows 可构建性及服务依赖需核对</x:v>
      </x:c>
      <x:c r="H658" s="10" t="str">
        <x:v>pkg/object/object_storage_test.go:637</x:v>
      </x:c>
      <x:c r="I658" s="10" t="str">
        <x:v>https://github.com/juicedata/juicefs/blob/30190ca1094d26e85f19a979ca51b0ea19af1eaa/pkg/object/object_storage_test.go#L637</x:v>
      </x:c>
      <x:c r="J658" s="10" t="str">
        <x:v>未提升为 Windows 执行项</x:v>
      </x:c>
      <x:c r="K658" s="10" t="str">
        <x:v>见源文件及 CI 条件</x:v>
      </x:c>
      <x:c r="L658" s="10" t="str">
        <x:v>子用例参数与运行时生成序列不计作独立目录项；级别为源码目录初分，未执行项目不能计作通过</x:v>
      </x:c>
    </x:row>
    <x:row r="659" ht="42" customHeight="1">
      <x:c r="A659" s="11" t="str">
        <x:v>UP-67c38653f792</x:v>
      </x:c>
      <x:c r="B659" s="11" t="str">
        <x:v>L2</x:v>
      </x:c>
      <x:c r="C659" s="11" t="str">
        <x:v>网关与后端重试</x:v>
      </x:c>
      <x:c r="D659" s="11" t="str">
        <x:v>TestS3</x:v>
      </x:c>
      <x:c r="E659" s="11" t="str">
        <x:v>Go 测试入口</x:v>
      </x:c>
      <x:c r="F659" s="11" t="str">
        <x:v>待执行</x:v>
      </x:c>
      <x:c r="G659" s="11" t="str">
        <x:v>引擎源码测试；Windows 可构建性及服务依赖需核对</x:v>
      </x:c>
      <x:c r="H659" s="11" t="str">
        <x:v>pkg/object/object_storage_test.go:654</x:v>
      </x:c>
      <x:c r="I659" s="11" t="str">
        <x:v>https://github.com/juicedata/juicefs/blob/30190ca1094d26e85f19a979ca51b0ea19af1eaa/pkg/object/object_storage_test.go#L654</x:v>
      </x:c>
      <x:c r="J659" s="11" t="str">
        <x:v>未提升为 Windows 执行项</x:v>
      </x:c>
      <x:c r="K659" s="11" t="str">
        <x:v>见源文件及 CI 条件</x:v>
      </x:c>
      <x:c r="L659" s="11" t="str">
        <x:v>子用例参数与运行时生成序列不计作独立目录项；级别为源码目录初分，未执行项目不能计作通过</x:v>
      </x:c>
    </x:row>
    <x:row r="660" ht="42" customHeight="1">
      <x:c r="A660" s="10" t="str">
        <x:v>UP-5df846af8717</x:v>
      </x:c>
      <x:c r="B660" s="10" t="str">
        <x:v>L2</x:v>
      </x:c>
      <x:c r="C660" s="10" t="str">
        <x:v>属性与权限</x:v>
      </x:c>
      <x:c r="D660" s="10" t="str">
        <x:v>TestOracleCompileRegexp</x:v>
      </x:c>
      <x:c r="E660" s="10" t="str">
        <x:v>Go 测试入口</x:v>
      </x:c>
      <x:c r="F660" s="10" t="str">
        <x:v>待执行</x:v>
      </x:c>
      <x:c r="G660" s="10" t="str">
        <x:v>引擎源码测试；Windows 可构建性及服务依赖需核对</x:v>
      </x:c>
      <x:c r="H660" s="10" t="str">
        <x:v>pkg/object/object_storage_test.go:665</x:v>
      </x:c>
      <x:c r="I660" s="10" t="str">
        <x:v>https://github.com/juicedata/juicefs/blob/30190ca1094d26e85f19a979ca51b0ea19af1eaa/pkg/object/object_storage_test.go#L665</x:v>
      </x:c>
      <x:c r="J660" s="10" t="str">
        <x:v>未提升为 Windows 执行项</x:v>
      </x:c>
      <x:c r="K660" s="10" t="str">
        <x:v>见源文件及 CI 条件</x:v>
      </x:c>
      <x:c r="L660" s="10" t="str">
        <x:v>子用例参数与运行时生成序列不计作独立目录项；级别为源码目录初分，未执行项目不能计作通过</x:v>
      </x:c>
    </x:row>
    <x:row r="661" ht="42" customHeight="1">
      <x:c r="A661" s="11" t="str">
        <x:v>UP-c516907eb337</x:v>
      </x:c>
      <x:c r="B661" s="11" t="str">
        <x:v>L2</x:v>
      </x:c>
      <x:c r="C661" s="11" t="str">
        <x:v>网关与后端重试</x:v>
      </x:c>
      <x:c r="D661" s="11" t="str">
        <x:v>TestOVHCompileRegexp</x:v>
      </x:c>
      <x:c r="E661" s="11" t="str">
        <x:v>Go 测试入口</x:v>
      </x:c>
      <x:c r="F661" s="11" t="str">
        <x:v>待执行</x:v>
      </x:c>
      <x:c r="G661" s="11" t="str">
        <x:v>引擎源码测试；Windows 可构建性及服务依赖需核对</x:v>
      </x:c>
      <x:c r="H661" s="11" t="str">
        <x:v>pkg/object/object_storage_test.go:681</x:v>
      </x:c>
      <x:c r="I661" s="11" t="str">
        <x:v>https://github.com/juicedata/juicefs/blob/30190ca1094d26e85f19a979ca51b0ea19af1eaa/pkg/object/object_storage_test.go#L681</x:v>
      </x:c>
      <x:c r="J661" s="11" t="str">
        <x:v>未提升为 Windows 执行项</x:v>
      </x:c>
      <x:c r="K661" s="11" t="str">
        <x:v>见源文件及 CI 条件</x:v>
      </x:c>
      <x:c r="L661" s="11" t="str">
        <x:v>子用例参数与运行时生成序列不计作独立目录项；级别为源码目录初分，未执行项目不能计作通过</x:v>
      </x:c>
    </x:row>
    <x:row r="662" ht="42" customHeight="1">
      <x:c r="A662" s="10" t="str">
        <x:v>UP-47f0c02527cb</x:v>
      </x:c>
      <x:c r="B662" s="10" t="str">
        <x:v>L2</x:v>
      </x:c>
      <x:c r="C662" s="10" t="str">
        <x:v>网关与后端重试</x:v>
      </x:c>
      <x:c r="D662" s="10" t="str">
        <x:v>TestOSS</x:v>
      </x:c>
      <x:c r="E662" s="10" t="str">
        <x:v>Go 测试入口</x:v>
      </x:c>
      <x:c r="F662" s="10" t="str">
        <x:v>待执行</x:v>
      </x:c>
      <x:c r="G662" s="10" t="str">
        <x:v>引擎源码测试；Windows 可构建性及服务依赖需核对</x:v>
      </x:c>
      <x:c r="H662" s="10" t="str">
        <x:v>pkg/object/object_storage_test.go:698</x:v>
      </x:c>
      <x:c r="I662" s="10" t="str">
        <x:v>https://github.com/juicedata/juicefs/blob/30190ca1094d26e85f19a979ca51b0ea19af1eaa/pkg/object/object_storage_test.go#L698</x:v>
      </x:c>
      <x:c r="J662" s="10" t="str">
        <x:v>未提升为 Windows 执行项</x:v>
      </x:c>
      <x:c r="K662" s="10" t="str">
        <x:v>见源文件及 CI 条件</x:v>
      </x:c>
      <x:c r="L662" s="10" t="str">
        <x:v>子用例参数与运行时生成序列不计作独立目录项；级别为源码目录初分，未执行项目不能计作通过</x:v>
      </x:c>
    </x:row>
    <x:row r="663" ht="42" customHeight="1">
      <x:c r="A663" s="11" t="str">
        <x:v>UP-c5b5d45d32e4</x:v>
      </x:c>
      <x:c r="B663" s="11" t="str">
        <x:v>L2</x:v>
      </x:c>
      <x:c r="C663" s="11" t="str">
        <x:v>网关与后端重试</x:v>
      </x:c>
      <x:c r="D663" s="11" t="str">
        <x:v>TestUFile</x:v>
      </x:c>
      <x:c r="E663" s="11" t="str">
        <x:v>Go 测试入口</x:v>
      </x:c>
      <x:c r="F663" s="11" t="str">
        <x:v>待执行</x:v>
      </x:c>
      <x:c r="G663" s="11" t="str">
        <x:v>引擎源码测试；Windows 可构建性及服务依赖需核对</x:v>
      </x:c>
      <x:c r="H663" s="11" t="str">
        <x:v>pkg/object/object_storage_test.go:708</x:v>
      </x:c>
      <x:c r="I663" s="11" t="str">
        <x:v>https://github.com/juicedata/juicefs/blob/30190ca1094d26e85f19a979ca51b0ea19af1eaa/pkg/object/object_storage_test.go#L708</x:v>
      </x:c>
      <x:c r="J663" s="11" t="str">
        <x:v>未提升为 Windows 执行项</x:v>
      </x:c>
      <x:c r="K663" s="11" t="str">
        <x:v>见源文件及 CI 条件</x:v>
      </x:c>
      <x:c r="L663" s="11" t="str">
        <x:v>子用例参数与运行时生成序列不计作独立目录项；级别为源码目录初分，未执行项目不能计作通过</x:v>
      </x:c>
    </x:row>
    <x:row r="664" ht="42" customHeight="1">
      <x:c r="A664" s="10" t="str">
        <x:v>UP-a47bca1b1058</x:v>
      </x:c>
      <x:c r="B664" s="10" t="str">
        <x:v>L2</x:v>
      </x:c>
      <x:c r="C664" s="10" t="str">
        <x:v>网关与后端重试</x:v>
      </x:c>
      <x:c r="D664" s="10" t="str">
        <x:v>TestGS</x:v>
      </x:c>
      <x:c r="E664" s="10" t="str">
        <x:v>Go 测试入口</x:v>
      </x:c>
      <x:c r="F664" s="10" t="str">
        <x:v>待执行</x:v>
      </x:c>
      <x:c r="G664" s="10" t="str">
        <x:v>引擎源码测试；Windows 可构建性及服务依赖需核对</x:v>
      </x:c>
      <x:c r="H664" s="10" t="str">
        <x:v>pkg/object/object_storage_test.go:717</x:v>
      </x:c>
      <x:c r="I664" s="10" t="str">
        <x:v>https://github.com/juicedata/juicefs/blob/30190ca1094d26e85f19a979ca51b0ea19af1eaa/pkg/object/object_storage_test.go#L717</x:v>
      </x:c>
      <x:c r="J664" s="10" t="str">
        <x:v>未提升为 Windows 执行项</x:v>
      </x:c>
      <x:c r="K664" s="10" t="str">
        <x:v>见源文件及 CI 条件</x:v>
      </x:c>
      <x:c r="L664" s="10" t="str">
        <x:v>子用例参数与运行时生成序列不计作独立目录项；级别为源码目录初分，未执行项目不能计作通过</x:v>
      </x:c>
    </x:row>
    <x:row r="665" ht="42" customHeight="1">
      <x:c r="A665" s="11" t="str">
        <x:v>UP-2a095b26c2a8</x:v>
      </x:c>
      <x:c r="B665" s="11" t="str">
        <x:v>L2</x:v>
      </x:c>
      <x:c r="C665" s="11" t="str">
        <x:v>网关与后端重试</x:v>
      </x:c>
      <x:c r="D665" s="11" t="str">
        <x:v>TestQiniu</x:v>
      </x:c>
      <x:c r="E665" s="11" t="str">
        <x:v>Go 测试入口</x:v>
      </x:c>
      <x:c r="F665" s="11" t="str">
        <x:v>待执行</x:v>
      </x:c>
      <x:c r="G665" s="11" t="str">
        <x:v>引擎源码测试；Windows 可构建性及服务依赖需核对</x:v>
      </x:c>
      <x:c r="H665" s="11" t="str">
        <x:v>pkg/object/object_storage_test.go:725</x:v>
      </x:c>
      <x:c r="I665" s="11" t="str">
        <x:v>https://github.com/juicedata/juicefs/blob/30190ca1094d26e85f19a979ca51b0ea19af1eaa/pkg/object/object_storage_test.go#L725</x:v>
      </x:c>
      <x:c r="J665" s="11" t="str">
        <x:v>未提升为 Windows 执行项</x:v>
      </x:c>
      <x:c r="K665" s="11" t="str">
        <x:v>见源文件及 CI 条件</x:v>
      </x:c>
      <x:c r="L665" s="11" t="str">
        <x:v>子用例参数与运行时生成序列不计作独立目录项；级别为源码目录初分，未执行项目不能计作通过</x:v>
      </x:c>
    </x:row>
    <x:row r="666" ht="42" customHeight="1">
      <x:c r="A666" s="10" t="str">
        <x:v>UP-7af185534561</x:v>
      </x:c>
      <x:c r="B666" s="10" t="str">
        <x:v>L2</x:v>
      </x:c>
      <x:c r="C666" s="10" t="str">
        <x:v>网关与后端重试</x:v>
      </x:c>
      <x:c r="D666" s="10" t="str">
        <x:v>TestKS3</x:v>
      </x:c>
      <x:c r="E666" s="10" t="str">
        <x:v>Go 测试入口</x:v>
      </x:c>
      <x:c r="F666" s="10" t="str">
        <x:v>待执行</x:v>
      </x:c>
      <x:c r="G666" s="10" t="str">
        <x:v>引擎源码测试；Windows 可构建性及服务依赖需核对</x:v>
      </x:c>
      <x:c r="H666" s="10" t="str">
        <x:v>pkg/object/object_storage_test.go:737</x:v>
      </x:c>
      <x:c r="I666" s="10" t="str">
        <x:v>https://github.com/juicedata/juicefs/blob/30190ca1094d26e85f19a979ca51b0ea19af1eaa/pkg/object/object_storage_test.go#L737</x:v>
      </x:c>
      <x:c r="J666" s="10" t="str">
        <x:v>未提升为 Windows 执行项</x:v>
      </x:c>
      <x:c r="K666" s="10" t="str">
        <x:v>见源文件及 CI 条件</x:v>
      </x:c>
      <x:c r="L666" s="10" t="str">
        <x:v>子用例参数与运行时生成序列不计作独立目录项；级别为源码目录初分，未执行项目不能计作通过</x:v>
      </x:c>
    </x:row>
    <x:row r="667" ht="42" customHeight="1">
      <x:c r="A667" s="11" t="str">
        <x:v>UP-feabf041ca2b</x:v>
      </x:c>
      <x:c r="B667" s="11" t="str">
        <x:v>L2</x:v>
      </x:c>
      <x:c r="C667" s="11" t="str">
        <x:v>网关与后端重试</x:v>
      </x:c>
      <x:c r="D667" s="11" t="str">
        <x:v>TestCOS</x:v>
      </x:c>
      <x:c r="E667" s="11" t="str">
        <x:v>Go 测试入口</x:v>
      </x:c>
      <x:c r="F667" s="11" t="str">
        <x:v>待执行</x:v>
      </x:c>
      <x:c r="G667" s="11" t="str">
        <x:v>引擎源码测试；Windows 可构建性及服务依赖需核对</x:v>
      </x:c>
      <x:c r="H667" s="11" t="str">
        <x:v>pkg/object/object_storage_test.go:746</x:v>
      </x:c>
      <x:c r="I667" s="11" t="str">
        <x:v>https://github.com/juicedata/juicefs/blob/30190ca1094d26e85f19a979ca51b0ea19af1eaa/pkg/object/object_storage_test.go#L746</x:v>
      </x:c>
      <x:c r="J667" s="11" t="str">
        <x:v>未提升为 Windows 执行项</x:v>
      </x:c>
      <x:c r="K667" s="11" t="str">
        <x:v>见源文件及 CI 条件</x:v>
      </x:c>
      <x:c r="L667" s="11" t="str">
        <x:v>子用例参数与运行时生成序列不计作独立目录项；级别为源码目录初分，未执行项目不能计作通过</x:v>
      </x:c>
    </x:row>
    <x:row r="668" ht="42" customHeight="1">
      <x:c r="A668" s="10" t="str">
        <x:v>UP-45106782c5a8</x:v>
      </x:c>
      <x:c r="B668" s="10" t="str">
        <x:v>L2</x:v>
      </x:c>
      <x:c r="C668" s="10" t="str">
        <x:v>网关与后端重试</x:v>
      </x:c>
      <x:c r="D668" s="10" t="str">
        <x:v>TestAzure</x:v>
      </x:c>
      <x:c r="E668" s="10" t="str">
        <x:v>Go 测试入口</x:v>
      </x:c>
      <x:c r="F668" s="10" t="str">
        <x:v>待执行</x:v>
      </x:c>
      <x:c r="G668" s="10" t="str">
        <x:v>引擎源码测试；Windows 可构建性及服务依赖需核对</x:v>
      </x:c>
      <x:c r="H668" s="10" t="str">
        <x:v>pkg/object/object_storage_test.go:756</x:v>
      </x:c>
      <x:c r="I668" s="10" t="str">
        <x:v>https://github.com/juicedata/juicefs/blob/30190ca1094d26e85f19a979ca51b0ea19af1eaa/pkg/object/object_storage_test.go#L756</x:v>
      </x:c>
      <x:c r="J668" s="10" t="str">
        <x:v>未提升为 Windows 执行项</x:v>
      </x:c>
      <x:c r="K668" s="10" t="str">
        <x:v>见源文件及 CI 条件</x:v>
      </x:c>
      <x:c r="L668" s="10" t="str">
        <x:v>子用例参数与运行时生成序列不计作独立目录项；级别为源码目录初分，未执行项目不能计作通过</x:v>
      </x:c>
    </x:row>
    <x:row r="669" ht="42" customHeight="1">
      <x:c r="A669" s="11" t="str">
        <x:v>UP-cd52df8300e8</x:v>
      </x:c>
      <x:c r="B669" s="11" t="str">
        <x:v>L2</x:v>
      </x:c>
      <x:c r="C669" s="11" t="str">
        <x:v>网关与后端重试</x:v>
      </x:c>
      <x:c r="D669" s="11" t="str">
        <x:v>TestB2</x:v>
      </x:c>
      <x:c r="E669" s="11" t="str">
        <x:v>Go 测试入口</x:v>
      </x:c>
      <x:c r="F669" s="11" t="str">
        <x:v>待执行</x:v>
      </x:c>
      <x:c r="G669" s="11" t="str">
        <x:v>引擎源码测试；Windows 可构建性及服务依赖需核对</x:v>
      </x:c>
      <x:c r="H669" s="11" t="str">
        <x:v>pkg/object/object_storage_test.go:766</x:v>
      </x:c>
      <x:c r="I669" s="11" t="str">
        <x:v>https://github.com/juicedata/juicefs/blob/30190ca1094d26e85f19a979ca51b0ea19af1eaa/pkg/object/object_storage_test.go#L766</x:v>
      </x:c>
      <x:c r="J669" s="11" t="str">
        <x:v>未提升为 Windows 执行项</x:v>
      </x:c>
      <x:c r="K669" s="11" t="str">
        <x:v>见源文件及 CI 条件</x:v>
      </x:c>
      <x:c r="L669" s="11" t="str">
        <x:v>子用例参数与运行时生成序列不计作独立目录项；级别为源码目录初分，未执行项目不能计作通过</x:v>
      </x:c>
    </x:row>
    <x:row r="670" ht="42" customHeight="1">
      <x:c r="A670" s="10" t="str">
        <x:v>UP-2ea8d4974be2</x:v>
      </x:c>
      <x:c r="B670" s="10" t="str">
        <x:v>L2</x:v>
      </x:c>
      <x:c r="C670" s="10" t="str">
        <x:v>网关与后端重试</x:v>
      </x:c>
      <x:c r="D670" s="10" t="str">
        <x:v>TestSpace</x:v>
      </x:c>
      <x:c r="E670" s="10" t="str">
        <x:v>Go 测试入口</x:v>
      </x:c>
      <x:c r="F670" s="10" t="str">
        <x:v>待执行</x:v>
      </x:c>
      <x:c r="G670" s="10" t="str">
        <x:v>引擎源码测试；Windows 可构建性及服务依赖需核对</x:v>
      </x:c>
      <x:c r="H670" s="10" t="str">
        <x:v>pkg/object/object_storage_test.go:777</x:v>
      </x:c>
      <x:c r="I670" s="10" t="str">
        <x:v>https://github.com/juicedata/juicefs/blob/30190ca1094d26e85f19a979ca51b0ea19af1eaa/pkg/object/object_storage_test.go#L777</x:v>
      </x:c>
      <x:c r="J670" s="10" t="str">
        <x:v>未提升为 Windows 执行项</x:v>
      </x:c>
      <x:c r="K670" s="10" t="str">
        <x:v>见源文件及 CI 条件</x:v>
      </x:c>
      <x:c r="L670" s="10" t="str">
        <x:v>子用例参数与运行时生成序列不计作独立目录项；级别为源码目录初分，未执行项目不能计作通过</x:v>
      </x:c>
    </x:row>
    <x:row r="671" ht="42" customHeight="1">
      <x:c r="A671" s="11" t="str">
        <x:v>UP-2647f7e960c5</x:v>
      </x:c>
      <x:c r="B671" s="11" t="str">
        <x:v>L2</x:v>
      </x:c>
      <x:c r="C671" s="11" t="str">
        <x:v>网关与后端重试</x:v>
      </x:c>
      <x:c r="D671" s="11" t="str">
        <x:v>TestBOS</x:v>
      </x:c>
      <x:c r="E671" s="11" t="str">
        <x:v>Go 测试入口</x:v>
      </x:c>
      <x:c r="F671" s="11" t="str">
        <x:v>待执行</x:v>
      </x:c>
      <x:c r="G671" s="11" t="str">
        <x:v>引擎源码测试；Windows 可构建性及服务依赖需核对</x:v>
      </x:c>
      <x:c r="H671" s="11" t="str">
        <x:v>pkg/object/object_storage_test.go:785</x:v>
      </x:c>
      <x:c r="I671" s="11" t="str">
        <x:v>https://github.com/juicedata/juicefs/blob/30190ca1094d26e85f19a979ca51b0ea19af1eaa/pkg/object/object_storage_test.go#L785</x:v>
      </x:c>
      <x:c r="J671" s="11" t="str">
        <x:v>未提升为 Windows 执行项</x:v>
      </x:c>
      <x:c r="K671" s="11" t="str">
        <x:v>见源文件及 CI 条件</x:v>
      </x:c>
      <x:c r="L671" s="11" t="str">
        <x:v>子用例参数与运行时生成序列不计作独立目录项；级别为源码目录初分，未执行项目不能计作通过</x:v>
      </x:c>
    </x:row>
    <x:row r="672" ht="42" customHeight="1">
      <x:c r="A672" s="10" t="str">
        <x:v>UP-b9de289b67a3</x:v>
      </x:c>
      <x:c r="B672" s="10" t="str">
        <x:v>L2</x:v>
      </x:c>
      <x:c r="C672" s="10" t="str">
        <x:v>网关与后端重试</x:v>
      </x:c>
      <x:c r="D672" s="10" t="str">
        <x:v>TestSftp</x:v>
      </x:c>
      <x:c r="E672" s="10" t="str">
        <x:v>Go 测试入口</x:v>
      </x:c>
      <x:c r="F672" s="10" t="str">
        <x:v>待执行</x:v>
      </x:c>
      <x:c r="G672" s="10" t="str">
        <x:v>引擎源码测试；Windows 可构建性及服务依赖需核对</x:v>
      </x:c>
      <x:c r="H672" s="10" t="str">
        <x:v>pkg/object/object_storage_test.go:794</x:v>
      </x:c>
      <x:c r="I672" s="10" t="str">
        <x:v>https://github.com/juicedata/juicefs/blob/30190ca1094d26e85f19a979ca51b0ea19af1eaa/pkg/object/object_storage_test.go#L794</x:v>
      </x:c>
      <x:c r="J672" s="10" t="str">
        <x:v>未提升为 Windows 执行项</x:v>
      </x:c>
      <x:c r="K672" s="10" t="str">
        <x:v>见源文件及 CI 条件</x:v>
      </x:c>
      <x:c r="L672" s="10" t="str">
        <x:v>子用例参数与运行时生成序列不计作独立目录项；级别为源码目录初分，未执行项目不能计作通过</x:v>
      </x:c>
    </x:row>
    <x:row r="673" ht="42" customHeight="1">
      <x:c r="A673" s="11" t="str">
        <x:v>UP-f8ea61d2d851</x:v>
      </x:c>
      <x:c r="B673" s="11" t="str">
        <x:v>L2</x:v>
      </x:c>
      <x:c r="C673" s="11" t="str">
        <x:v>网关与后端重试</x:v>
      </x:c>
      <x:c r="D673" s="11" t="str">
        <x:v>TestOBS</x:v>
      </x:c>
      <x:c r="E673" s="11" t="str">
        <x:v>Go 测试入口</x:v>
      </x:c>
      <x:c r="F673" s="11" t="str">
        <x:v>待执行</x:v>
      </x:c>
      <x:c r="G673" s="11" t="str">
        <x:v>引擎源码测试；Windows 可构建性及服务依赖需核对</x:v>
      </x:c>
      <x:c r="H673" s="11" t="str">
        <x:v>pkg/object/object_storage_test.go:802</x:v>
      </x:c>
      <x:c r="I673" s="11" t="str">
        <x:v>https://github.com/juicedata/juicefs/blob/30190ca1094d26e85f19a979ca51b0ea19af1eaa/pkg/object/object_storage_test.go#L802</x:v>
      </x:c>
      <x:c r="J673" s="11" t="str">
        <x:v>未提升为 Windows 执行项</x:v>
      </x:c>
      <x:c r="K673" s="11" t="str">
        <x:v>见源文件及 CI 条件</x:v>
      </x:c>
      <x:c r="L673" s="11" t="str">
        <x:v>子用例参数与运行时生成序列不计作独立目录项；级别为源码目录初分，未执行项目不能计作通过</x:v>
      </x:c>
    </x:row>
    <x:row r="674" ht="42" customHeight="1">
      <x:c r="A674" s="10" t="str">
        <x:v>UP-ed85d372e4d6</x:v>
      </x:c>
      <x:c r="B674" s="10" t="str">
        <x:v>L2</x:v>
      </x:c>
      <x:c r="C674" s="10" t="str">
        <x:v>网关与后端重试</x:v>
      </x:c>
      <x:c r="D674" s="10" t="str">
        <x:v>TestNFS</x:v>
      </x:c>
      <x:c r="E674" s="10" t="str">
        <x:v>Go 测试入口</x:v>
      </x:c>
      <x:c r="F674" s="10" t="str">
        <x:v>待执行</x:v>
      </x:c>
      <x:c r="G674" s="10" t="str">
        <x:v>引擎源码测试；Windows 可构建性及服务依赖需核对</x:v>
      </x:c>
      <x:c r="H674" s="10" t="str">
        <x:v>pkg/object/object_storage_test.go:811</x:v>
      </x:c>
      <x:c r="I674" s="10" t="str">
        <x:v>https://github.com/juicedata/juicefs/blob/30190ca1094d26e85f19a979ca51b0ea19af1eaa/pkg/object/object_storage_test.go#L811</x:v>
      </x:c>
      <x:c r="J674" s="10" t="str">
        <x:v>未提升为 Windows 执行项</x:v>
      </x:c>
      <x:c r="K674" s="10" t="str">
        <x:v>见源文件及 CI 条件</x:v>
      </x:c>
      <x:c r="L674" s="10" t="str">
        <x:v>子用例参数与运行时生成序列不计作独立目录项；级别为源码目录初分，未执行项目不能计作通过</x:v>
      </x:c>
    </x:row>
    <x:row r="675" ht="42" customHeight="1">
      <x:c r="A675" s="11" t="str">
        <x:v>UP-d59fd689d385</x:v>
      </x:c>
      <x:c r="B675" s="11" t="str">
        <x:v>L2</x:v>
      </x:c>
      <x:c r="C675" s="11" t="str">
        <x:v>网关与后端重试</x:v>
      </x:c>
      <x:c r="D675" s="11" t="str">
        <x:v>TestHDFS</x:v>
      </x:c>
      <x:c r="E675" s="11" t="str">
        <x:v>Go 测试入口</x:v>
      </x:c>
      <x:c r="F675" s="11" t="str">
        <x:v>待执行</x:v>
      </x:c>
      <x:c r="G675" s="11" t="str">
        <x:v>引擎源码测试；Windows 可构建性及服务依赖需核对</x:v>
      </x:c>
      <x:c r="H675" s="11" t="str">
        <x:v>pkg/object/object_storage_test.go:822</x:v>
      </x:c>
      <x:c r="I675" s="11" t="str">
        <x:v>https://github.com/juicedata/juicefs/blob/30190ca1094d26e85f19a979ca51b0ea19af1eaa/pkg/object/object_storage_test.go#L822</x:v>
      </x:c>
      <x:c r="J675" s="11" t="str">
        <x:v>未提升为 Windows 执行项</x:v>
      </x:c>
      <x:c r="K675" s="11" t="str">
        <x:v>见源文件及 CI 条件</x:v>
      </x:c>
      <x:c r="L675" s="11" t="str">
        <x:v>子用例参数与运行时生成序列不计作独立目录项；级别为源码目录初分，未执行项目不能计作通过</x:v>
      </x:c>
    </x:row>
    <x:row r="676" ht="42" customHeight="1">
      <x:c r="A676" s="10" t="str">
        <x:v>UP-ff43b061915a</x:v>
      </x:c>
      <x:c r="B676" s="10" t="str">
        <x:v>L2</x:v>
      </x:c>
      <x:c r="C676" s="10" t="str">
        <x:v>网关与后端重试</x:v>
      </x:c>
      <x:c r="D676" s="10" t="str">
        <x:v>TestOOS</x:v>
      </x:c>
      <x:c r="E676" s="10" t="str">
        <x:v>Go 测试入口</x:v>
      </x:c>
      <x:c r="F676" s="10" t="str">
        <x:v>待执行</x:v>
      </x:c>
      <x:c r="G676" s="10" t="str">
        <x:v>引擎源码测试；Windows 可构建性及服务依赖需核对</x:v>
      </x:c>
      <x:c r="H676" s="10" t="str">
        <x:v>pkg/object/object_storage_test.go:857</x:v>
      </x:c>
      <x:c r="I676" s="10" t="str">
        <x:v>https://github.com/juicedata/juicefs/blob/30190ca1094d26e85f19a979ca51b0ea19af1eaa/pkg/object/object_storage_test.go#L857</x:v>
      </x:c>
      <x:c r="J676" s="10" t="str">
        <x:v>未提升为 Windows 执行项</x:v>
      </x:c>
      <x:c r="K676" s="10" t="str">
        <x:v>见源文件及 CI 条件</x:v>
      </x:c>
      <x:c r="L676" s="10" t="str">
        <x:v>子用例参数与运行时生成序列不计作独立目录项；级别为源码目录初分，未执行项目不能计作通过</x:v>
      </x:c>
    </x:row>
    <x:row r="677" ht="42" customHeight="1">
      <x:c r="A677" s="11" t="str">
        <x:v>UP-dd8ed0425b54</x:v>
      </x:c>
      <x:c r="B677" s="11" t="str">
        <x:v>L2</x:v>
      </x:c>
      <x:c r="C677" s="11" t="str">
        <x:v>网关与后端重试</x:v>
      </x:c>
      <x:c r="D677" s="11" t="str">
        <x:v>TestScw</x:v>
      </x:c>
      <x:c r="E677" s="11" t="str">
        <x:v>Go 测试入口</x:v>
      </x:c>
      <x:c r="F677" s="11" t="str">
        <x:v>待执行</x:v>
      </x:c>
      <x:c r="G677" s="11" t="str">
        <x:v>引擎源码测试；Windows 可构建性及服务依赖需核对</x:v>
      </x:c>
      <x:c r="H677" s="11" t="str">
        <x:v>pkg/object/object_storage_test.go:866</x:v>
      </x:c>
      <x:c r="I677" s="11" t="str">
        <x:v>https://github.com/juicedata/juicefs/blob/30190ca1094d26e85f19a979ca51b0ea19af1eaa/pkg/object/object_storage_test.go#L866</x:v>
      </x:c>
      <x:c r="J677" s="11" t="str">
        <x:v>未提升为 Windows 执行项</x:v>
      </x:c>
      <x:c r="K677" s="11" t="str">
        <x:v>见源文件及 CI 条件</x:v>
      </x:c>
      <x:c r="L677" s="11" t="str">
        <x:v>子用例参数与运行时生成序列不计作独立目录项；级别为源码目录初分，未执行项目不能计作通过</x:v>
      </x:c>
    </x:row>
    <x:row r="678" ht="42" customHeight="1">
      <x:c r="A678" s="10" t="str">
        <x:v>UP-29668947036b</x:v>
      </x:c>
      <x:c r="B678" s="10" t="str">
        <x:v>L2</x:v>
      </x:c>
      <x:c r="C678" s="10" t="str">
        <x:v>网关与后端重试</x:v>
      </x:c>
      <x:c r="D678" s="10" t="str">
        <x:v>TestMinIO</x:v>
      </x:c>
      <x:c r="E678" s="10" t="str">
        <x:v>Go 测试入口</x:v>
      </x:c>
      <x:c r="F678" s="10" t="str">
        <x:v>待执行</x:v>
      </x:c>
      <x:c r="G678" s="10" t="str">
        <x:v>引擎源码测试；Windows 可构建性及服务依赖需核对</x:v>
      </x:c>
      <x:c r="H678" s="10" t="str">
        <x:v>pkg/object/object_storage_test.go:874</x:v>
      </x:c>
      <x:c r="I678" s="10" t="str">
        <x:v>https://github.com/juicedata/juicefs/blob/30190ca1094d26e85f19a979ca51b0ea19af1eaa/pkg/object/object_storage_test.go#L874</x:v>
      </x:c>
      <x:c r="J678" s="10" t="str">
        <x:v>未提升为 Windows 执行项</x:v>
      </x:c>
      <x:c r="K678" s="10" t="str">
        <x:v>见源文件及 CI 条件</x:v>
      </x:c>
      <x:c r="L678" s="10" t="str">
        <x:v>子用例参数与运行时生成序列不计作独立目录项；级别为源码目录初分，未执行项目不能计作通过</x:v>
      </x:c>
    </x:row>
    <x:row r="679" ht="42" customHeight="1">
      <x:c r="A679" s="11" t="str">
        <x:v>UP-40a13d6d2df8</x:v>
      </x:c>
      <x:c r="B679" s="11" t="str">
        <x:v>L2</x:v>
      </x:c>
      <x:c r="C679" s="11" t="str">
        <x:v>网关与后端重试</x:v>
      </x:c>
      <x:c r="D679" s="11" t="str">
        <x:v>TestTiKV</x:v>
      </x:c>
      <x:c r="E679" s="11" t="str">
        <x:v>Go 测试入口</x:v>
      </x:c>
      <x:c r="F679" s="11" t="str">
        <x:v>待执行</x:v>
      </x:c>
      <x:c r="G679" s="11" t="str">
        <x:v>引擎源码测试；Windows 可构建性及服务依赖需核对</x:v>
      </x:c>
      <x:c r="H679" s="11" t="str">
        <x:v>pkg/object/object_storage_test.go:887</x:v>
      </x:c>
      <x:c r="I679" s="11" t="str">
        <x:v>https://github.com/juicedata/juicefs/blob/30190ca1094d26e85f19a979ca51b0ea19af1eaa/pkg/object/object_storage_test.go#L887</x:v>
      </x:c>
      <x:c r="J679" s="11" t="str">
        <x:v>未提升为 Windows 执行项</x:v>
      </x:c>
      <x:c r="K679" s="11" t="str">
        <x:v>见源文件及 CI 条件</x:v>
      </x:c>
      <x:c r="L679" s="11" t="str">
        <x:v>子用例参数与运行时生成序列不计作独立目录项；级别为源码目录初分，未执行项目不能计作通过</x:v>
      </x:c>
    </x:row>
    <x:row r="680" ht="42" customHeight="1">
      <x:c r="A680" s="10" t="str">
        <x:v>UP-fb2e08bae2e0</x:v>
      </x:c>
      <x:c r="B680" s="10" t="str">
        <x:v>L2</x:v>
      </x:c>
      <x:c r="C680" s="10" t="str">
        <x:v>网关与后端重试</x:v>
      </x:c>
      <x:c r="D680" s="10" t="str">
        <x:v>TestRedis</x:v>
      </x:c>
      <x:c r="E680" s="10" t="str">
        <x:v>Go 测试入口</x:v>
      </x:c>
      <x:c r="F680" s="10" t="str">
        <x:v>待执行</x:v>
      </x:c>
      <x:c r="G680" s="10" t="str">
        <x:v>引擎源码测试；Windows 可构建性及服务依赖需核对</x:v>
      </x:c>
      <x:c r="H680" s="10" t="str">
        <x:v>pkg/object/object_storage_test.go:898</x:v>
      </x:c>
      <x:c r="I680" s="10" t="str">
        <x:v>https://github.com/juicedata/juicefs/blob/30190ca1094d26e85f19a979ca51b0ea19af1eaa/pkg/object/object_storage_test.go#L898</x:v>
      </x:c>
      <x:c r="J680" s="10" t="str">
        <x:v>未提升为 Windows 执行项</x:v>
      </x:c>
      <x:c r="K680" s="10" t="str">
        <x:v>见源文件及 CI 条件</x:v>
      </x:c>
      <x:c r="L680" s="10" t="str">
        <x:v>子用例参数与运行时生成序列不计作独立目录项；级别为源码目录初分，未执行项目不能计作通过</x:v>
      </x:c>
    </x:row>
    <x:row r="681" ht="42" customHeight="1">
      <x:c r="A681" s="11" t="str">
        <x:v>UP-e5dea97e3c5a</x:v>
      </x:c>
      <x:c r="B681" s="11" t="str">
        <x:v>L2</x:v>
      </x:c>
      <x:c r="C681" s="11" t="str">
        <x:v>网关与后端重试</x:v>
      </x:c>
      <x:c r="D681" s="11" t="str">
        <x:v>TestSwift</x:v>
      </x:c>
      <x:c r="E681" s="11" t="str">
        <x:v>Go 测试入口</x:v>
      </x:c>
      <x:c r="F681" s="11" t="str">
        <x:v>待执行</x:v>
      </x:c>
      <x:c r="G681" s="11" t="str">
        <x:v>引擎源码测试；Windows 可构建性及服务依赖需核对</x:v>
      </x:c>
      <x:c r="H681" s="11" t="str">
        <x:v>pkg/object/object_storage_test.go:914</x:v>
      </x:c>
      <x:c r="I681" s="11" t="str">
        <x:v>https://github.com/juicedata/juicefs/blob/30190ca1094d26e85f19a979ca51b0ea19af1eaa/pkg/object/object_storage_test.go#L914</x:v>
      </x:c>
      <x:c r="J681" s="11" t="str">
        <x:v>未提升为 Windows 执行项</x:v>
      </x:c>
      <x:c r="K681" s="11" t="str">
        <x:v>见源文件及 CI 条件</x:v>
      </x:c>
      <x:c r="L681" s="11" t="str">
        <x:v>子用例参数与运行时生成序列不计作独立目录项；级别为源码目录初分，未执行项目不能计作通过</x:v>
      </x:c>
    </x:row>
    <x:row r="682" ht="42" customHeight="1">
      <x:c r="A682" s="10" t="str">
        <x:v>UP-88d00ea893d8</x:v>
      </x:c>
      <x:c r="B682" s="10" t="str">
        <x:v>L2</x:v>
      </x:c>
      <x:c r="C682" s="10" t="str">
        <x:v>网关与后端重试</x:v>
      </x:c>
      <x:c r="D682" s="10" t="str">
        <x:v>TestWebDAV</x:v>
      </x:c>
      <x:c r="E682" s="10" t="str">
        <x:v>Go 测试入口</x:v>
      </x:c>
      <x:c r="F682" s="10" t="str">
        <x:v>待执行</x:v>
      </x:c>
      <x:c r="G682" s="10" t="str">
        <x:v>引擎源码测试；Windows 可构建性及服务依赖需核对</x:v>
      </x:c>
      <x:c r="H682" s="10" t="str">
        <x:v>pkg/object/object_storage_test.go:925</x:v>
      </x:c>
      <x:c r="I682" s="10" t="str">
        <x:v>https://github.com/juicedata/juicefs/blob/30190ca1094d26e85f19a979ca51b0ea19af1eaa/pkg/object/object_storage_test.go#L925</x:v>
      </x:c>
      <x:c r="J682" s="10" t="str">
        <x:v>未提升为 Windows 执行项</x:v>
      </x:c>
      <x:c r="K682" s="10" t="str">
        <x:v>见源文件及 CI 条件</x:v>
      </x:c>
      <x:c r="L682" s="10" t="str">
        <x:v>子用例参数与运行时生成序列不计作独立目录项；级别为源码目录初分，未执行项目不能计作通过</x:v>
      </x:c>
    </x:row>
    <x:row r="683" ht="42" customHeight="1">
      <x:c r="A683" s="11" t="str">
        <x:v>UP-aa22a5908ce4</x:v>
      </x:c>
      <x:c r="B683" s="11" t="str">
        <x:v>L2</x:v>
      </x:c>
      <x:c r="C683" s="11" t="str">
        <x:v>网关与后端重试</x:v>
      </x:c>
      <x:c r="D683" s="11" t="str">
        <x:v>TestEncrypted</x:v>
      </x:c>
      <x:c r="E683" s="11" t="str">
        <x:v>Go 测试入口</x:v>
      </x:c>
      <x:c r="F683" s="11" t="str">
        <x:v>待执行</x:v>
      </x:c>
      <x:c r="G683" s="11" t="str">
        <x:v>引擎源码测试；Windows 可构建性及服务依赖需核对</x:v>
      </x:c>
      <x:c r="H683" s="11" t="str">
        <x:v>pkg/object/object_storage_test.go:933</x:v>
      </x:c>
      <x:c r="I683" s="11" t="str">
        <x:v>https://github.com/juicedata/juicefs/blob/30190ca1094d26e85f19a979ca51b0ea19af1eaa/pkg/object/object_storage_test.go#L933</x:v>
      </x:c>
      <x:c r="J683" s="11" t="str">
        <x:v>未提升为 Windows 执行项</x:v>
      </x:c>
      <x:c r="K683" s="11" t="str">
        <x:v>见源文件及 CI 条件</x:v>
      </x:c>
      <x:c r="L683" s="11" t="str">
        <x:v>子用例参数与运行时生成序列不计作独立目录项；级别为源码目录初分，未执行项目不能计作通过</x:v>
      </x:c>
    </x:row>
    <x:row r="684" ht="42" customHeight="1">
      <x:c r="A684" s="10" t="str">
        <x:v>UP-b1e48cd20e22</x:v>
      </x:c>
      <x:c r="B684" s="10" t="str">
        <x:v>L2</x:v>
      </x:c>
      <x:c r="C684" s="10" t="str">
        <x:v>网关与后端重试</x:v>
      </x:c>
      <x:c r="D684" s="10" t="str">
        <x:v>TestMarsharl</x:v>
      </x:c>
      <x:c r="E684" s="10" t="str">
        <x:v>Go 测试入口</x:v>
      </x:c>
      <x:c r="F684" s="10" t="str">
        <x:v>待执行</x:v>
      </x:c>
      <x:c r="G684" s="10" t="str">
        <x:v>引擎源码测试；Windows 可构建性及服务依赖需核对</x:v>
      </x:c>
      <x:c r="H684" s="10" t="str">
        <x:v>pkg/object/object_storage_test.go:942</x:v>
      </x:c>
      <x:c r="I684" s="10" t="str">
        <x:v>https://github.com/juicedata/juicefs/blob/30190ca1094d26e85f19a979ca51b0ea19af1eaa/pkg/object/object_storage_test.go#L942</x:v>
      </x:c>
      <x:c r="J684" s="10" t="str">
        <x:v>未提升为 Windows 执行项</x:v>
      </x:c>
      <x:c r="K684" s="10" t="str">
        <x:v>见源文件及 CI 条件</x:v>
      </x:c>
      <x:c r="L684" s="10" t="str">
        <x:v>子用例参数与运行时生成序列不计作独立目录项；级别为源码目录初分，未执行项目不能计作通过</x:v>
      </x:c>
    </x:row>
    <x:row r="685" ht="42" customHeight="1">
      <x:c r="A685" s="11" t="str">
        <x:v>UP-7ef92096c65e</x:v>
      </x:c>
      <x:c r="B685" s="11" t="str">
        <x:v>L2</x:v>
      </x:c>
      <x:c r="C685" s="11" t="str">
        <x:v>网关与后端重试</x:v>
      </x:c>
      <x:c r="D685" s="11" t="str">
        <x:v>TestSharding</x:v>
      </x:c>
      <x:c r="E685" s="11" t="str">
        <x:v>Go 测试入口</x:v>
      </x:c>
      <x:c r="F685" s="11" t="str">
        <x:v>待执行</x:v>
      </x:c>
      <x:c r="G685" s="11" t="str">
        <x:v>引擎源码测试；Windows 可构建性及服务依赖需核对</x:v>
      </x:c>
      <x:c r="H685" s="11" t="str">
        <x:v>pkg/object/object_storage_test.go:974</x:v>
      </x:c>
      <x:c r="I685" s="11" t="str">
        <x:v>https://github.com/juicedata/juicefs/blob/30190ca1094d26e85f19a979ca51b0ea19af1eaa/pkg/object/object_storage_test.go#L974</x:v>
      </x:c>
      <x:c r="J685" s="11" t="str">
        <x:v>未提升为 Windows 执行项</x:v>
      </x:c>
      <x:c r="K685" s="11" t="str">
        <x:v>见源文件及 CI 条件</x:v>
      </x:c>
      <x:c r="L685" s="11" t="str">
        <x:v>子用例参数与运行时生成序列不计作独立目录项；级别为源码目录初分，未执行项目不能计作通过</x:v>
      </x:c>
    </x:row>
    <x:row r="686" ht="42" customHeight="1">
      <x:c r="A686" s="10" t="str">
        <x:v>UP-2e718b41c740</x:v>
      </x:c>
      <x:c r="B686" s="10" t="str">
        <x:v>L2</x:v>
      </x:c>
      <x:c r="C686" s="10" t="str">
        <x:v>网关与后端重试</x:v>
      </x:c>
      <x:c r="D686" s="10" t="str">
        <x:v>TestSQLite</x:v>
      </x:c>
      <x:c r="E686" s="10" t="str">
        <x:v>Go 测试入口</x:v>
      </x:c>
      <x:c r="F686" s="10" t="str">
        <x:v>待执行</x:v>
      </x:c>
      <x:c r="G686" s="10" t="str">
        <x:v>引擎源码测试；Windows 可构建性及服务依赖需核对</x:v>
      </x:c>
      <x:c r="H686" s="10" t="str">
        <x:v>pkg/object/object_storage_test.go:979</x:v>
      </x:c>
      <x:c r="I686" s="10" t="str">
        <x:v>https://github.com/juicedata/juicefs/blob/30190ca1094d26e85f19a979ca51b0ea19af1eaa/pkg/object/object_storage_test.go#L979</x:v>
      </x:c>
      <x:c r="J686" s="10" t="str">
        <x:v>未提升为 Windows 执行项</x:v>
      </x:c>
      <x:c r="K686" s="10" t="str">
        <x:v>见源文件及 CI 条件</x:v>
      </x:c>
      <x:c r="L686" s="10" t="str">
        <x:v>子用例参数与运行时生成序列不计作独立目录项；级别为源码目录初分，未执行项目不能计作通过</x:v>
      </x:c>
    </x:row>
    <x:row r="687" ht="42" customHeight="1">
      <x:c r="A687" s="11" t="str">
        <x:v>UP-e4dbcb0fb6d9</x:v>
      </x:c>
      <x:c r="B687" s="11" t="str">
        <x:v>L2</x:v>
      </x:c>
      <x:c r="C687" s="11" t="str">
        <x:v>网关与后端重试</x:v>
      </x:c>
      <x:c r="D687" s="11" t="str">
        <x:v>TestPG</x:v>
      </x:c>
      <x:c r="E687" s="11" t="str">
        <x:v>Go 测试入口</x:v>
      </x:c>
      <x:c r="F687" s="11" t="str">
        <x:v>待执行</x:v>
      </x:c>
      <x:c r="G687" s="11" t="str">
        <x:v>引擎源码测试；Windows 可构建性及服务依赖需核对</x:v>
      </x:c>
      <x:c r="H687" s="11" t="str">
        <x:v>pkg/object/object_storage_test.go:987</x:v>
      </x:c>
      <x:c r="I687" s="11" t="str">
        <x:v>https://github.com/juicedata/juicefs/blob/30190ca1094d26e85f19a979ca51b0ea19af1eaa/pkg/object/object_storage_test.go#L987</x:v>
      </x:c>
      <x:c r="J687" s="11" t="str">
        <x:v>未提升为 Windows 执行项</x:v>
      </x:c>
      <x:c r="K687" s="11" t="str">
        <x:v>见源文件及 CI 条件</x:v>
      </x:c>
      <x:c r="L687" s="11" t="str">
        <x:v>子用例参数与运行时生成序列不计作独立目录项；级别为源码目录初分，未执行项目不能计作通过</x:v>
      </x:c>
    </x:row>
    <x:row r="688" ht="42" customHeight="1">
      <x:c r="A688" s="10" t="str">
        <x:v>UP-454510e883d5</x:v>
      </x:c>
      <x:c r="B688" s="10" t="str">
        <x:v>L2</x:v>
      </x:c>
      <x:c r="C688" s="10" t="str">
        <x:v>命名与目录</x:v>
      </x:c>
      <x:c r="D688" s="10" t="str">
        <x:v>TestPGWithSearchPath</x:v>
      </x:c>
      <x:c r="E688" s="10" t="str">
        <x:v>Go 测试入口</x:v>
      </x:c>
      <x:c r="F688" s="10" t="str">
        <x:v>待执行</x:v>
      </x:c>
      <x:c r="G688" s="10" t="str">
        <x:v>引擎源码测试；Windows 可构建性及服务依赖需核对</x:v>
      </x:c>
      <x:c r="H688" s="10" t="str">
        <x:v>pkg/object/object_storage_test.go:998</x:v>
      </x:c>
      <x:c r="I688" s="10" t="str">
        <x:v>https://github.com/juicedata/juicefs/blob/30190ca1094d26e85f19a979ca51b0ea19af1eaa/pkg/object/object_storage_test.go#L998</x:v>
      </x:c>
      <x:c r="J688" s="10" t="str">
        <x:v>未提升为 Windows 执行项</x:v>
      </x:c>
      <x:c r="K688" s="10" t="str">
        <x:v>见源文件及 CI 条件</x:v>
      </x:c>
      <x:c r="L688" s="10" t="str">
        <x:v>子用例参数与运行时生成序列不计作独立目录项；级别为源码目录初分，未执行项目不能计作通过</x:v>
      </x:c>
    </x:row>
    <x:row r="689" ht="42" customHeight="1">
      <x:c r="A689" s="11" t="str">
        <x:v>UP-8808bd4779a8</x:v>
      </x:c>
      <x:c r="B689" s="11" t="str">
        <x:v>L2</x:v>
      </x:c>
      <x:c r="C689" s="11" t="str">
        <x:v>网关与后端重试</x:v>
      </x:c>
      <x:c r="D689" s="11" t="str">
        <x:v>TestMySQL</x:v>
      </x:c>
      <x:c r="E689" s="11" t="str">
        <x:v>Go 测试入口</x:v>
      </x:c>
      <x:c r="F689" s="11" t="str">
        <x:v>待执行</x:v>
      </x:c>
      <x:c r="G689" s="11" t="str">
        <x:v>引擎源码测试；Windows 可构建性及服务依赖需核对</x:v>
      </x:c>
      <x:c r="H689" s="11" t="str">
        <x:v>pkg/object/object_storage_test.go:1005</x:v>
      </x:c>
      <x:c r="I689" s="11" t="str">
        <x:v>https://github.com/juicedata/juicefs/blob/30190ca1094d26e85f19a979ca51b0ea19af1eaa/pkg/object/object_storage_test.go#L1005</x:v>
      </x:c>
      <x:c r="J689" s="11" t="str">
        <x:v>未提升为 Windows 执行项</x:v>
      </x:c>
      <x:c r="K689" s="11" t="str">
        <x:v>见源文件及 CI 条件</x:v>
      </x:c>
      <x:c r="L689" s="11" t="str">
        <x:v>子用例参数与运行时生成序列不计作独立目录项；级别为源码目录初分，未执行项目不能计作通过</x:v>
      </x:c>
    </x:row>
    <x:row r="690" ht="42" customHeight="1">
      <x:c r="A690" s="10" t="str">
        <x:v>UP-ce0cc9c3dd32</x:v>
      </x:c>
      <x:c r="B690" s="10" t="str">
        <x:v>L2</x:v>
      </x:c>
      <x:c r="C690" s="10" t="str">
        <x:v>网关与后端重试</x:v>
      </x:c>
      <x:c r="D690" s="10" t="str">
        <x:v>TestNameString</x:v>
      </x:c>
      <x:c r="E690" s="10" t="str">
        <x:v>Go 测试入口</x:v>
      </x:c>
      <x:c r="F690" s="10" t="str">
        <x:v>待执行</x:v>
      </x:c>
      <x:c r="G690" s="10" t="str">
        <x:v>引擎源码测试；Windows 可构建性及服务依赖需核对</x:v>
      </x:c>
      <x:c r="H690" s="10" t="str">
        <x:v>pkg/object/object_storage_test.go:1016</x:v>
      </x:c>
      <x:c r="I690" s="10" t="str">
        <x:v>https://github.com/juicedata/juicefs/blob/30190ca1094d26e85f19a979ca51b0ea19af1eaa/pkg/object/object_storage_test.go#L1016</x:v>
      </x:c>
      <x:c r="J690" s="10" t="str">
        <x:v>未提升为 Windows 执行项</x:v>
      </x:c>
      <x:c r="K690" s="10" t="str">
        <x:v>见源文件及 CI 条件</x:v>
      </x:c>
      <x:c r="L690" s="10" t="str">
        <x:v>子用例参数与运行时生成序列不计作独立目录项；级别为源码目录初分，未执行项目不能计作通过</x:v>
      </x:c>
    </x:row>
    <x:row r="691" ht="42" customHeight="1">
      <x:c r="A691" s="11" t="str">
        <x:v>UP-70eda9747a05</x:v>
      </x:c>
      <x:c r="B691" s="11" t="str">
        <x:v>L2</x:v>
      </x:c>
      <x:c r="C691" s="11" t="str">
        <x:v>网关与后端重试</x:v>
      </x:c>
      <x:c r="D691" s="11" t="str">
        <x:v>TestEtcd</x:v>
      </x:c>
      <x:c r="E691" s="11" t="str">
        <x:v>Go 测试入口</x:v>
      </x:c>
      <x:c r="F691" s="11" t="str">
        <x:v>待执行</x:v>
      </x:c>
      <x:c r="G691" s="11" t="str">
        <x:v>引擎源码测试；Windows 可构建性及服务依赖需核对</x:v>
      </x:c>
      <x:c r="H691" s="11" t="str">
        <x:v>pkg/object/object_storage_test.go:1025</x:v>
      </x:c>
      <x:c r="I691" s="11" t="str">
        <x:v>https://github.com/juicedata/juicefs/blob/30190ca1094d26e85f19a979ca51b0ea19af1eaa/pkg/object/object_storage_test.go#L1025</x:v>
      </x:c>
      <x:c r="J691" s="11" t="str">
        <x:v>未提升为 Windows 执行项</x:v>
      </x:c>
      <x:c r="K691" s="11" t="str">
        <x:v>见源文件及 CI 条件</x:v>
      </x:c>
      <x:c r="L691" s="11" t="str">
        <x:v>子用例参数与运行时生成序列不计作独立目录项；级别为源码目录初分，未执行项目不能计作通过</x:v>
      </x:c>
    </x:row>
    <x:row r="692" ht="42" customHeight="1">
      <x:c r="A692" s="10" t="str">
        <x:v>UP-32abeed3cdad</x:v>
      </x:c>
      <x:c r="B692" s="10" t="str">
        <x:v>L2</x:v>
      </x:c>
      <x:c r="C692" s="10" t="str">
        <x:v>网关与后端重试</x:v>
      </x:c>
      <x:c r="D692" s="10" t="str">
        <x:v>TestEOS</x:v>
      </x:c>
      <x:c r="E692" s="10" t="str">
        <x:v>Go 测试入口</x:v>
      </x:c>
      <x:c r="F692" s="10" t="str">
        <x:v>待执行</x:v>
      </x:c>
      <x:c r="G692" s="10" t="str">
        <x:v>引擎源码测试；Windows 可构建性及服务依赖需核对</x:v>
      </x:c>
      <x:c r="H692" s="10" t="str">
        <x:v>pkg/object/object_storage_test.go:1041</x:v>
      </x:c>
      <x:c r="I692" s="10" t="str">
        <x:v>https://github.com/juicedata/juicefs/blob/30190ca1094d26e85f19a979ca51b0ea19af1eaa/pkg/object/object_storage_test.go#L1041</x:v>
      </x:c>
      <x:c r="J692" s="10" t="str">
        <x:v>未提升为 Windows 执行项</x:v>
      </x:c>
      <x:c r="K692" s="10" t="str">
        <x:v>见源文件及 CI 条件</x:v>
      </x:c>
      <x:c r="L692" s="10" t="str">
        <x:v>子用例参数与运行时生成序列不计作独立目录项；级别为源码目录初分，未执行项目不能计作通过</x:v>
      </x:c>
    </x:row>
    <x:row r="693" ht="42" customHeight="1">
      <x:c r="A693" s="11" t="str">
        <x:v>UP-30828ac65418</x:v>
      </x:c>
      <x:c r="B693" s="11" t="str">
        <x:v>L2</x:v>
      </x:c>
      <x:c r="C693" s="11" t="str">
        <x:v>网关与后端重试</x:v>
      </x:c>
      <x:c r="D693" s="11" t="str">
        <x:v>TestWASABI</x:v>
      </x:c>
      <x:c r="E693" s="11" t="str">
        <x:v>Go 测试入口</x:v>
      </x:c>
      <x:c r="F693" s="11" t="str">
        <x:v>待执行</x:v>
      </x:c>
      <x:c r="G693" s="11" t="str">
        <x:v>引擎源码测试；Windows 可构建性及服务依赖需核对</x:v>
      </x:c>
      <x:c r="H693" s="11" t="str">
        <x:v>pkg/object/object_storage_test.go:1049</x:v>
      </x:c>
      <x:c r="I693" s="11" t="str">
        <x:v>https://github.com/juicedata/juicefs/blob/30190ca1094d26e85f19a979ca51b0ea19af1eaa/pkg/object/object_storage_test.go#L1049</x:v>
      </x:c>
      <x:c r="J693" s="11" t="str">
        <x:v>未提升为 Windows 执行项</x:v>
      </x:c>
      <x:c r="K693" s="11" t="str">
        <x:v>见源文件及 CI 条件</x:v>
      </x:c>
      <x:c r="L693" s="11" t="str">
        <x:v>子用例参数与运行时生成序列不计作独立目录项；级别为源码目录初分，未执行项目不能计作通过</x:v>
      </x:c>
    </x:row>
    <x:row r="694" ht="42" customHeight="1">
      <x:c r="A694" s="10" t="str">
        <x:v>UP-bb2c914d790b</x:v>
      </x:c>
      <x:c r="B694" s="10" t="str">
        <x:v>L2</x:v>
      </x:c>
      <x:c r="C694" s="10" t="str">
        <x:v>网关与后端重试</x:v>
      </x:c>
      <x:c r="D694" s="10" t="str">
        <x:v>TestIBMCOS</x:v>
      </x:c>
      <x:c r="E694" s="10" t="str">
        <x:v>Go 测试入口</x:v>
      </x:c>
      <x:c r="F694" s="10" t="str">
        <x:v>待执行</x:v>
      </x:c>
      <x:c r="G694" s="10" t="str">
        <x:v>引擎源码测试；Windows 可构建性及服务依赖需核对</x:v>
      </x:c>
      <x:c r="H694" s="10" t="str">
        <x:v>pkg/object/object_storage_test.go:1057</x:v>
      </x:c>
      <x:c r="I694" s="10" t="str">
        <x:v>https://github.com/juicedata/juicefs/blob/30190ca1094d26e85f19a979ca51b0ea19af1eaa/pkg/object/object_storage_test.go#L1057</x:v>
      </x:c>
      <x:c r="J694" s="10" t="str">
        <x:v>未提升为 Windows 执行项</x:v>
      </x:c>
      <x:c r="K694" s="10" t="str">
        <x:v>见源文件及 CI 条件</x:v>
      </x:c>
      <x:c r="L694" s="10" t="str">
        <x:v>子用例参数与运行时生成序列不计作独立目录项；级别为源码目录初分，未执行项目不能计作通过</x:v>
      </x:c>
    </x:row>
    <x:row r="695" ht="42" customHeight="1">
      <x:c r="A695" s="11" t="str">
        <x:v>UP-76870ae3144e</x:v>
      </x:c>
      <x:c r="B695" s="11" t="str">
        <x:v>L2</x:v>
      </x:c>
      <x:c r="C695" s="11" t="str">
        <x:v>网关与后端重试</x:v>
      </x:c>
      <x:c r="D695" s="11" t="str">
        <x:v>TestTOS</x:v>
      </x:c>
      <x:c r="E695" s="11" t="str">
        <x:v>Go 测试入口</x:v>
      </x:c>
      <x:c r="F695" s="11" t="str">
        <x:v>待执行</x:v>
      </x:c>
      <x:c r="G695" s="11" t="str">
        <x:v>引擎源码测试；Windows 可构建性及服务依赖需核对</x:v>
      </x:c>
      <x:c r="H695" s="11" t="str">
        <x:v>pkg/object/object_storage_test.go:1065</x:v>
      </x:c>
      <x:c r="I695" s="11" t="str">
        <x:v>https://github.com/juicedata/juicefs/blob/30190ca1094d26e85f19a979ca51b0ea19af1eaa/pkg/object/object_storage_test.go#L1065</x:v>
      </x:c>
      <x:c r="J695" s="11" t="str">
        <x:v>未提升为 Windows 执行项</x:v>
      </x:c>
      <x:c r="K695" s="11" t="str">
        <x:v>见源文件及 CI 条件</x:v>
      </x:c>
      <x:c r="L695" s="11" t="str">
        <x:v>子用例参数与运行时生成序列不计作独立目录项；级别为源码目录初分，未执行项目不能计作通过</x:v>
      </x:c>
    </x:row>
    <x:row r="696" ht="42" customHeight="1">
      <x:c r="A696" s="10" t="str">
        <x:v>UP-65609f77d7ee</x:v>
      </x:c>
      <x:c r="B696" s="10" t="str">
        <x:v>L2</x:v>
      </x:c>
      <x:c r="C696" s="10" t="str">
        <x:v>网关与后端重试</x:v>
      </x:c>
      <x:c r="D696" s="10" t="str">
        <x:v>TestDragonfly</x:v>
      </x:c>
      <x:c r="E696" s="10" t="str">
        <x:v>Go 测试入口</x:v>
      </x:c>
      <x:c r="F696" s="10" t="str">
        <x:v>待执行</x:v>
      </x:c>
      <x:c r="G696" s="10" t="str">
        <x:v>引擎源码测试；Windows 可构建性及服务依赖需核对</x:v>
      </x:c>
      <x:c r="H696" s="10" t="str">
        <x:v>pkg/object/object_storage_test.go:1076</x:v>
      </x:c>
      <x:c r="I696" s="10" t="str">
        <x:v>https://github.com/juicedata/juicefs/blob/30190ca1094d26e85f19a979ca51b0ea19af1eaa/pkg/object/object_storage_test.go#L1076</x:v>
      </x:c>
      <x:c r="J696" s="10" t="str">
        <x:v>未提升为 Windows 执行项</x:v>
      </x:c>
      <x:c r="K696" s="10" t="str">
        <x:v>见源文件及 CI 条件</x:v>
      </x:c>
      <x:c r="L696" s="10" t="str">
        <x:v>子用例参数与运行时生成序列不计作独立目录项；级别为源码目录初分，未执行项目不能计作通过</x:v>
      </x:c>
    </x:row>
    <x:row r="697" ht="42" customHeight="1">
      <x:c r="A697" s="11" t="str">
        <x:v>UP-a459c83e3c5c</x:v>
      </x:c>
      <x:c r="B697" s="11" t="str">
        <x:v>L2</x:v>
      </x:c>
      <x:c r="C697" s="11" t="str">
        <x:v>网关与后端重试</x:v>
      </x:c>
      <x:c r="D697" s="11" t="str">
        <x:v>Test_api_call</x:v>
      </x:c>
      <x:c r="E697" s="11" t="str">
        <x:v>Go 测试入口</x:v>
      </x:c>
      <x:c r="F697" s="11" t="str">
        <x:v>待执行</x:v>
      </x:c>
      <x:c r="G697" s="11" t="str">
        <x:v>引擎源码测试；Windows 可构建性及服务依赖需核对</x:v>
      </x:c>
      <x:c r="H697" s="11" t="str">
        <x:v>pkg/object/response_attrs_test.go:34</x:v>
      </x:c>
      <x:c r="I697" s="11" t="str">
        <x:v>https://github.com/juicedata/juicefs/blob/30190ca1094d26e85f19a979ca51b0ea19af1eaa/pkg/object/response_attrs_test.go#L34</x:v>
      </x:c>
      <x:c r="J697" s="11" t="str">
        <x:v>未提升为 Windows 执行项</x:v>
      </x:c>
      <x:c r="K697" s="11" t="str">
        <x:v>见源文件及 CI 条件</x:v>
      </x:c>
      <x:c r="L697" s="11" t="str">
        <x:v>子用例参数与运行时生成序列不计作独立目录项；级别为源码目录初分，未执行项目不能计作通过</x:v>
      </x:c>
    </x:row>
    <x:row r="698" ht="42" customHeight="1">
      <x:c r="A698" s="10" t="str">
        <x:v>UP-990fb77b8834</x:v>
      </x:c>
      <x:c r="B698" s="10" t="str">
        <x:v>L2</x:v>
      </x:c>
      <x:c r="C698" s="10" t="str">
        <x:v>网关与后端重试</x:v>
      </x:c>
      <x:c r="D698" s="10" t="str">
        <x:v>Test_s3client_full_string</x:v>
      </x:c>
      <x:c r="E698" s="10" t="str">
        <x:v>Go 测试入口</x:v>
      </x:c>
      <x:c r="F698" s="10" t="str">
        <x:v>待执行</x:v>
      </x:c>
      <x:c r="G698" s="10" t="str">
        <x:v>引擎源码测试；Windows 可构建性及服务依赖需核对</x:v>
      </x:c>
      <x:c r="H698" s="10" t="str">
        <x:v>pkg/object/s3_test.go:25</x:v>
      </x:c>
      <x:c r="I698" s="10" t="str">
        <x:v>https://github.com/juicedata/juicefs/blob/30190ca1094d26e85f19a979ca51b0ea19af1eaa/pkg/object/s3_test.go#L25</x:v>
      </x:c>
      <x:c r="J698" s="10" t="str">
        <x:v>未提升为 Windows 执行项</x:v>
      </x:c>
      <x:c r="K698" s="10" t="str">
        <x:v>见源文件及 CI 条件</x:v>
      </x:c>
      <x:c r="L698" s="10" t="str">
        <x:v>子用例参数与运行时生成序列不计作独立目录项；级别为源码目录初分，未执行项目不能计作通过</x:v>
      </x:c>
    </x:row>
    <x:row r="699" ht="42" customHeight="1">
      <x:c r="A699" s="11" t="str">
        <x:v>UP-4f6d42376665</x:v>
      </x:c>
      <x:c r="B699" s="11" t="str">
        <x:v>L2</x:v>
      </x:c>
      <x:c r="C699" s="11" t="str">
        <x:v>网关与后端重试</x:v>
      </x:c>
      <x:c r="D699" s="11" t="str">
        <x:v>TestCluster</x:v>
      </x:c>
      <x:c r="E699" s="11" t="str">
        <x:v>Go 测试入口</x:v>
      </x:c>
      <x:c r="F699" s="11" t="str">
        <x:v>待执行</x:v>
      </x:c>
      <x:c r="G699" s="11" t="str">
        <x:v>引擎源码测试；Windows 可构建性及服务依赖需核对</x:v>
      </x:c>
      <x:c r="H699" s="11" t="str">
        <x:v>pkg/sync/cluster_test.go:50</x:v>
      </x:c>
      <x:c r="I699" s="11" t="str">
        <x:v>https://github.com/juicedata/juicefs/blob/30190ca1094d26e85f19a979ca51b0ea19af1eaa/pkg/sync/cluster_test.go#L50</x:v>
      </x:c>
      <x:c r="J699" s="11" t="str">
        <x:v>未提升为 Windows 执行项</x:v>
      </x:c>
      <x:c r="K699" s="11" t="str">
        <x:v>见源文件及 CI 条件</x:v>
      </x:c>
      <x:c r="L699" s="11" t="str">
        <x:v>子用例参数与运行时生成序列不计作独立目录项；级别为源码目录初分，未执行项目不能计作通过</x:v>
      </x:c>
    </x:row>
    <x:row r="700" ht="42" customHeight="1">
      <x:c r="A700" s="10" t="str">
        <x:v>UP-df20a15d4a3f</x:v>
      </x:c>
      <x:c r="B700" s="10" t="str">
        <x:v>L2</x:v>
      </x:c>
      <x:c r="C700" s="10" t="str">
        <x:v>网关与后端重试</x:v>
      </x:c>
      <x:c r="D700" s="10" t="str">
        <x:v>TestMarshal</x:v>
      </x:c>
      <x:c r="E700" s="10" t="str">
        <x:v>Go 测试入口</x:v>
      </x:c>
      <x:c r="F700" s="10" t="str">
        <x:v>待执行</x:v>
      </x:c>
      <x:c r="G700" s="10" t="str">
        <x:v>引擎源码测试；Windows 可构建性及服务依赖需核对</x:v>
      </x:c>
      <x:c r="H700" s="10" t="str">
        <x:v>pkg/sync/cluster_test.go:83</x:v>
      </x:c>
      <x:c r="I700" s="10" t="str">
        <x:v>https://github.com/juicedata/juicefs/blob/30190ca1094d26e85f19a979ca51b0ea19af1eaa/pkg/sync/cluster_test.go#L83</x:v>
      </x:c>
      <x:c r="J700" s="10" t="str">
        <x:v>未提升为 Windows 执行项</x:v>
      </x:c>
      <x:c r="K700" s="10" t="str">
        <x:v>见源文件及 CI 条件</x:v>
      </x:c>
      <x:c r="L700" s="10" t="str">
        <x:v>子用例参数与运行时生成序列不计作独立目录项；级别为源码目录初分，未执行项目不能计作通过</x:v>
      </x:c>
    </x:row>
    <x:row r="701" ht="42" customHeight="1">
      <x:c r="A701" s="11" t="str">
        <x:v>UP-5ba32608cc73</x:v>
      </x:c>
      <x:c r="B701" s="11" t="str">
        <x:v>L2</x:v>
      </x:c>
      <x:c r="C701" s="11" t="str">
        <x:v>网关与后端重试</x:v>
      </x:c>
      <x:c r="D701" s="11" t="str">
        <x:v>TestDownload</x:v>
      </x:c>
      <x:c r="E701" s="11" t="str">
        <x:v>Go 测试入口</x:v>
      </x:c>
      <x:c r="F701" s="11" t="str">
        <x:v>待执行</x:v>
      </x:c>
      <x:c r="G701" s="11" t="str">
        <x:v>引擎源码测试；Windows 可构建性及服务依赖需核对</x:v>
      </x:c>
      <x:c r="H701" s="11" t="str">
        <x:v>pkg/sync/download_test.go:29</x:v>
      </x:c>
      <x:c r="I701" s="11" t="str">
        <x:v>https://github.com/juicedata/juicefs/blob/30190ca1094d26e85f19a979ca51b0ea19af1eaa/pkg/sync/download_test.go#L29</x:v>
      </x:c>
      <x:c r="J701" s="11" t="str">
        <x:v>未提升为 Windows 执行项</x:v>
      </x:c>
      <x:c r="K701" s="11" t="str">
        <x:v>见源文件及 CI 条件</x:v>
      </x:c>
      <x:c r="L701" s="11" t="str">
        <x:v>子用例参数与运行时生成序列不计作独立目录项；级别为源码目录初分，未执行项目不能计作通过</x:v>
      </x:c>
    </x:row>
    <x:row r="702" ht="42" customHeight="1">
      <x:c r="A702" s="10" t="str">
        <x:v>UP-84224dcc2fb6</x:v>
      </x:c>
      <x:c r="B702" s="10" t="str">
        <x:v>L2</x:v>
      </x:c>
      <x:c r="C702" s="10" t="str">
        <x:v>网关与后端重试</x:v>
      </x:c>
      <x:c r="D702" s="10" t="str">
        <x:v>TestIterator</x:v>
      </x:c>
      <x:c r="E702" s="10" t="str">
        <x:v>Go 测试入口</x:v>
      </x:c>
      <x:c r="F702" s="10" t="str">
        <x:v>待执行</x:v>
      </x:c>
      <x:c r="G702" s="10" t="str">
        <x:v>引擎源码测试；Windows 可构建性及服务依赖需核对</x:v>
      </x:c>
      <x:c r="H702" s="10" t="str">
        <x:v>pkg/sync/sync_test.go:41</x:v>
      </x:c>
      <x:c r="I702" s="10" t="str">
        <x:v>https://github.com/juicedata/juicefs/blob/30190ca1094d26e85f19a979ca51b0ea19af1eaa/pkg/sync/sync_test.go#L41</x:v>
      </x:c>
      <x:c r="J702" s="10" t="str">
        <x:v>未提升为 Windows 执行项</x:v>
      </x:c>
      <x:c r="K702" s="10" t="str">
        <x:v>见源文件及 CI 条件</x:v>
      </x:c>
      <x:c r="L702" s="10" t="str">
        <x:v>子用例参数与运行时生成序列不计作独立目录项；级别为源码目录初分，未执行项目不能计作通过</x:v>
      </x:c>
    </x:row>
    <x:row r="703" ht="42" customHeight="1">
      <x:c r="A703" s="11" t="str">
        <x:v>UP-4cae0355bcc1</x:v>
      </x:c>
      <x:c r="B703" s="11" t="str">
        <x:v>L2</x:v>
      </x:c>
      <x:c r="C703" s="11" t="str">
        <x:v>网关与后端重试</x:v>
      </x:c>
      <x:c r="D703" s="11" t="str">
        <x:v>TestIeratorSingleEmptyKey</x:v>
      </x:c>
      <x:c r="E703" s="11" t="str">
        <x:v>Go 测试入口</x:v>
      </x:c>
      <x:c r="F703" s="11" t="str">
        <x:v>待执行</x:v>
      </x:c>
      <x:c r="G703" s="11" t="str">
        <x:v>引擎源码测试；Windows 可构建性及服务依赖需核对</x:v>
      </x:c>
      <x:c r="H703" s="11" t="str">
        <x:v>pkg/sync/sync_test.go:67</x:v>
      </x:c>
      <x:c r="I703" s="11" t="str">
        <x:v>https://github.com/juicedata/juicefs/blob/30190ca1094d26e85f19a979ca51b0ea19af1eaa/pkg/sync/sync_test.go#L67</x:v>
      </x:c>
      <x:c r="J703" s="11" t="str">
        <x:v>未提升为 Windows 执行项</x:v>
      </x:c>
      <x:c r="K703" s="11" t="str">
        <x:v>见源文件及 CI 条件</x:v>
      </x:c>
      <x:c r="L703" s="11" t="str">
        <x:v>子用例参数与运行时生成序列不计作独立目录项；级别为源码目录初分，未执行项目不能计作通过</x:v>
      </x:c>
    </x:row>
    <x:row r="704" ht="42" customHeight="1">
      <x:c r="A704" s="10" t="str">
        <x:v>UP-17e1c633423c</x:v>
      </x:c>
      <x:c r="B704" s="10" t="str">
        <x:v>L2</x:v>
      </x:c>
      <x:c r="C704" s="10" t="str">
        <x:v>网关与后端重试</x:v>
      </x:c>
      <x:c r="D704" s="10" t="str">
        <x:v>TestSync</x:v>
      </x:c>
      <x:c r="E704" s="10" t="str">
        <x:v>Go 测试入口</x:v>
      </x:c>
      <x:c r="F704" s="10" t="str">
        <x:v>待执行</x:v>
      </x:c>
      <x:c r="G704" s="10" t="str">
        <x:v>引擎源码测试；Windows 可构建性及服务依赖需核对</x:v>
      </x:c>
      <x:c r="H704" s="10" t="str">
        <x:v>pkg/sync/sync_test.go:92</x:v>
      </x:c>
      <x:c r="I704" s="10" t="str">
        <x:v>https://github.com/juicedata/juicefs/blob/30190ca1094d26e85f19a979ca51b0ea19af1eaa/pkg/sync/sync_test.go#L92</x:v>
      </x:c>
      <x:c r="J704" s="10" t="str">
        <x:v>未提升为 Windows 执行项</x:v>
      </x:c>
      <x:c r="K704" s="10" t="str">
        <x:v>见源文件及 CI 条件</x:v>
      </x:c>
      <x:c r="L704" s="10" t="str">
        <x:v>子用例参数与运行时生成序列不计作独立目录项；级别为源码目录初分，未执行项目不能计作通过</x:v>
      </x:c>
    </x:row>
    <x:row r="705" ht="42" customHeight="1">
      <x:c r="A705" s="11" t="str">
        <x:v>UP-3bf124f56960</x:v>
      </x:c>
      <x:c r="B705" s="11" t="str">
        <x:v>L2</x:v>
      </x:c>
      <x:c r="C705" s="11" t="str">
        <x:v>网关与后端重试</x:v>
      </x:c>
      <x:c r="D705" s="11" t="str">
        <x:v>TestSyncIncludeAndExclude</x:v>
      </x:c>
      <x:c r="E705" s="11" t="str">
        <x:v>Go 测试入口</x:v>
      </x:c>
      <x:c r="F705" s="11" t="str">
        <x:v>待执行</x:v>
      </x:c>
      <x:c r="G705" s="11" t="str">
        <x:v>引擎源码测试；Windows 可构建性及服务依赖需核对</x:v>
      </x:c>
      <x:c r="H705" s="11" t="str">
        <x:v>pkg/sync/sync_test.go:181</x:v>
      </x:c>
      <x:c r="I705" s="11" t="str">
        <x:v>https://github.com/juicedata/juicefs/blob/30190ca1094d26e85f19a979ca51b0ea19af1eaa/pkg/sync/sync_test.go#L181</x:v>
      </x:c>
      <x:c r="J705" s="11" t="str">
        <x:v>未提升为 Windows 执行项</x:v>
      </x:c>
      <x:c r="K705" s="11" t="str">
        <x:v>见源文件及 CI 条件</x:v>
      </x:c>
      <x:c r="L705" s="11" t="str">
        <x:v>子用例参数与运行时生成序列不计作独立目录项；级别为源码目录初分，未执行项目不能计作通过</x:v>
      </x:c>
    </x:row>
    <x:row r="706" ht="42" customHeight="1">
      <x:c r="A706" s="10" t="str">
        <x:v>UP-db414d1277e2</x:v>
      </x:c>
      <x:c r="B706" s="10" t="str">
        <x:v>L2</x:v>
      </x:c>
      <x:c r="C706" s="10" t="str">
        <x:v>网关与后端重试</x:v>
      </x:c>
      <x:c r="D706" s="10" t="str">
        <x:v>TestParseRules</x:v>
      </x:c>
      <x:c r="E706" s="10" t="str">
        <x:v>Go 测试入口</x:v>
      </x:c>
      <x:c r="F706" s="10" t="str">
        <x:v>待执行</x:v>
      </x:c>
      <x:c r="G706" s="10" t="str">
        <x:v>引擎源码测试；Windows 可构建性及服务依赖需核对</x:v>
      </x:c>
      <x:c r="H706" s="10" t="str">
        <x:v>pkg/sync/sync_test.go:268</x:v>
      </x:c>
      <x:c r="I706" s="10" t="str">
        <x:v>https://github.com/juicedata/juicefs/blob/30190ca1094d26e85f19a979ca51b0ea19af1eaa/pkg/sync/sync_test.go#L268</x:v>
      </x:c>
      <x:c r="J706" s="10" t="str">
        <x:v>未提升为 Windows 执行项</x:v>
      </x:c>
      <x:c r="K706" s="10" t="str">
        <x:v>见源文件及 CI 条件</x:v>
      </x:c>
      <x:c r="L706" s="10" t="str">
        <x:v>子用例参数与运行时生成序列不计作独立目录项；级别为源码目录初分，未执行项目不能计作通过</x:v>
      </x:c>
    </x:row>
    <x:row r="707" ht="42" customHeight="1">
      <x:c r="A707" s="11" t="str">
        <x:v>UP-244ba6518916</x:v>
      </x:c>
      <x:c r="B707" s="11" t="str">
        <x:v>L2</x:v>
      </x:c>
      <x:c r="C707" s="11" t="str">
        <x:v>网关与后端重试</x:v>
      </x:c>
      <x:c r="D707" s="11" t="str">
        <x:v>TestSyncLink</x:v>
      </x:c>
      <x:c r="E707" s="11" t="str">
        <x:v>Go 测试入口</x:v>
      </x:c>
      <x:c r="F707" s="11" t="str">
        <x:v>待执行</x:v>
      </x:c>
      <x:c r="G707" s="11" t="str">
        <x:v>引擎源码测试；Windows 可构建性及服务依赖需核对</x:v>
      </x:c>
      <x:c r="H707" s="11" t="str">
        <x:v>pkg/sync/sync_test.go:313</x:v>
      </x:c>
      <x:c r="I707" s="11" t="str">
        <x:v>https://github.com/juicedata/juicefs/blob/30190ca1094d26e85f19a979ca51b0ea19af1eaa/pkg/sync/sync_test.go#L313</x:v>
      </x:c>
      <x:c r="J707" s="11" t="str">
        <x:v>未提升为 Windows 执行项</x:v>
      </x:c>
      <x:c r="K707" s="11" t="str">
        <x:v>见源文件及 CI 条件</x:v>
      </x:c>
      <x:c r="L707" s="11" t="str">
        <x:v>子用例参数与运行时生成序列不计作独立目录项；级别为源码目录初分，未执行项目不能计作通过</x:v>
      </x:c>
    </x:row>
    <x:row r="708" ht="42" customHeight="1">
      <x:c r="A708" s="10" t="str">
        <x:v>UP-870dda9a8c49</x:v>
      </x:c>
      <x:c r="B708" s="10" t="str">
        <x:v>L2</x:v>
      </x:c>
      <x:c r="C708" s="10" t="str">
        <x:v>网关与后端重试</x:v>
      </x:c>
      <x:c r="D708" s="10" t="str">
        <x:v>TestSyncLinkWithOutFollow</x:v>
      </x:c>
      <x:c r="E708" s="10" t="str">
        <x:v>Go 测试入口</x:v>
      </x:c>
      <x:c r="F708" s="10" t="str">
        <x:v>待执行</x:v>
      </x:c>
      <x:c r="G708" s="10" t="str">
        <x:v>引擎源码测试；Windows 可构建性及服务依赖需核对</x:v>
      </x:c>
      <x:c r="H708" s="10" t="str">
        <x:v>pkg/sync/sync_test.go:374</x:v>
      </x:c>
      <x:c r="I708" s="10" t="str">
        <x:v>https://github.com/juicedata/juicefs/blob/30190ca1094d26e85f19a979ca51b0ea19af1eaa/pkg/sync/sync_test.go#L374</x:v>
      </x:c>
      <x:c r="J708" s="10" t="str">
        <x:v>未提升为 Windows 执行项</x:v>
      </x:c>
      <x:c r="K708" s="10" t="str">
        <x:v>见源文件及 CI 条件</x:v>
      </x:c>
      <x:c r="L708" s="10" t="str">
        <x:v>子用例参数与运行时生成序列不计作独立目录项；级别为源码目录初分，未执行项目不能计作通过</x:v>
      </x:c>
    </x:row>
    <x:row r="709" ht="42" customHeight="1">
      <x:c r="A709" s="11" t="str">
        <x:v>UP-6a300a1e79f2</x:v>
      </x:c>
      <x:c r="B709" s="11" t="str">
        <x:v>L2</x:v>
      </x:c>
      <x:c r="C709" s="11" t="str">
        <x:v>网关与后端重试</x:v>
      </x:c>
      <x:c r="D709" s="11" t="str">
        <x:v>TestSingleLink</x:v>
      </x:c>
      <x:c r="E709" s="11" t="str">
        <x:v>Go 测试入口</x:v>
      </x:c>
      <x:c r="F709" s="11" t="str">
        <x:v>待执行</x:v>
      </x:c>
      <x:c r="G709" s="11" t="str">
        <x:v>引擎源码测试；Windows 可构建性及服务依赖需核对</x:v>
      </x:c>
      <x:c r="H709" s="11" t="str">
        <x:v>pkg/sync/sync_test.go:416</x:v>
      </x:c>
      <x:c r="I709" s="11" t="str">
        <x:v>https://github.com/juicedata/juicefs/blob/30190ca1094d26e85f19a979ca51b0ea19af1eaa/pkg/sync/sync_test.go#L416</x:v>
      </x:c>
      <x:c r="J709" s="11" t="str">
        <x:v>未提升为 Windows 执行项</x:v>
      </x:c>
      <x:c r="K709" s="11" t="str">
        <x:v>见源文件及 CI 条件</x:v>
      </x:c>
      <x:c r="L709" s="11" t="str">
        <x:v>子用例参数与运行时生成序列不计作独立目录项；级别为源码目录初分，未执行项目不能计作通过</x:v>
      </x:c>
    </x:row>
    <x:row r="710" ht="42" customHeight="1">
      <x:c r="A710" s="10" t="str">
        <x:v>UP-5b3a6308cabb</x:v>
      </x:c>
      <x:c r="B710" s="10" t="str">
        <x:v>L2</x:v>
      </x:c>
      <x:c r="C710" s="10" t="str">
        <x:v>网关与后端重试</x:v>
      </x:c>
      <x:c r="D710" s="10" t="str">
        <x:v>TestSyncCheckAllLink</x:v>
      </x:c>
      <x:c r="E710" s="10" t="str">
        <x:v>Go 测试入口</x:v>
      </x:c>
      <x:c r="F710" s="10" t="str">
        <x:v>待执行</x:v>
      </x:c>
      <x:c r="G710" s="10" t="str">
        <x:v>引擎源码测试；Windows 可构建性及服务依赖需核对</x:v>
      </x:c>
      <x:c r="H710" s="10" t="str">
        <x:v>pkg/sync/sync_test.go:448</x:v>
      </x:c>
      <x:c r="I710" s="10" t="str">
        <x:v>https://github.com/juicedata/juicefs/blob/30190ca1094d26e85f19a979ca51b0ea19af1eaa/pkg/sync/sync_test.go#L448</x:v>
      </x:c>
      <x:c r="J710" s="10" t="str">
        <x:v>未提升为 Windows 执行项</x:v>
      </x:c>
      <x:c r="K710" s="10" t="str">
        <x:v>见源文件及 CI 条件</x:v>
      </x:c>
      <x:c r="L710" s="10" t="str">
        <x:v>子用例参数与运行时生成序列不计作独立目录项；级别为源码目录初分，未执行项目不能计作通过</x:v>
      </x:c>
    </x:row>
    <x:row r="711" ht="42" customHeight="1">
      <x:c r="A711" s="11" t="str">
        <x:v>UP-0fa4b237cad9</x:v>
      </x:c>
      <x:c r="B711" s="11" t="str">
        <x:v>L2</x:v>
      </x:c>
      <x:c r="C711" s="11" t="str">
        <x:v>网关与后端重试</x:v>
      </x:c>
      <x:c r="D711" s="11" t="str">
        <x:v>TestSyncCheckNewLink</x:v>
      </x:c>
      <x:c r="E711" s="11" t="str">
        <x:v>Go 测试入口</x:v>
      </x:c>
      <x:c r="F711" s="11" t="str">
        <x:v>待执行</x:v>
      </x:c>
      <x:c r="G711" s="11" t="str">
        <x:v>引擎源码测试；Windows 可构建性及服务依赖需核对</x:v>
      </x:c>
      <x:c r="H711" s="11" t="str">
        <x:v>pkg/sync/sync_test.go:489</x:v>
      </x:c>
      <x:c r="I711" s="11" t="str">
        <x:v>https://github.com/juicedata/juicefs/blob/30190ca1094d26e85f19a979ca51b0ea19af1eaa/pkg/sync/sync_test.go#L489</x:v>
      </x:c>
      <x:c r="J711" s="11" t="str">
        <x:v>未提升为 Windows 执行项</x:v>
      </x:c>
      <x:c r="K711" s="11" t="str">
        <x:v>见源文件及 CI 条件</x:v>
      </x:c>
      <x:c r="L711" s="11" t="str">
        <x:v>子用例参数与运行时生成序列不计作独立目录项；级别为源码目录初分，未执行项目不能计作通过</x:v>
      </x:c>
    </x:row>
    <x:row r="712" ht="42" customHeight="1">
      <x:c r="A712" s="10" t="str">
        <x:v>UP-38512afd9a64</x:v>
      </x:c>
      <x:c r="B712" s="10" t="str">
        <x:v>L2</x:v>
      </x:c>
      <x:c r="C712" s="10" t="str">
        <x:v>网关与后端重试</x:v>
      </x:c>
      <x:c r="D712" s="10" t="str">
        <x:v>TestLimits</x:v>
      </x:c>
      <x:c r="E712" s="10" t="str">
        <x:v>Go 测试入口</x:v>
      </x:c>
      <x:c r="F712" s="10" t="str">
        <x:v>待执行</x:v>
      </x:c>
      <x:c r="G712" s="10" t="str">
        <x:v>引擎源码测试；Windows 可构建性及服务依赖需核对</x:v>
      </x:c>
      <x:c r="H712" s="10" t="str">
        <x:v>pkg/sync/sync_test.go:529</x:v>
      </x:c>
      <x:c r="I712" s="10" t="str">
        <x:v>https://github.com/juicedata/juicefs/blob/30190ca1094d26e85f19a979ca51b0ea19af1eaa/pkg/sync/sync_test.go#L529</x:v>
      </x:c>
      <x:c r="J712" s="10" t="str">
        <x:v>未提升为 Windows 执行项</x:v>
      </x:c>
      <x:c r="K712" s="10" t="str">
        <x:v>见源文件及 CI 条件</x:v>
      </x:c>
      <x:c r="L712" s="10" t="str">
        <x:v>子用例参数与运行时生成序列不计作独立目录项；级别为源码目录初分，未执行项目不能计作通过</x:v>
      </x:c>
    </x:row>
    <x:row r="713" ht="42" customHeight="1">
      <x:c r="A713" s="11" t="str">
        <x:v>UP-223da9b4f387</x:v>
      </x:c>
      <x:c r="B713" s="11" t="str">
        <x:v>L2</x:v>
      </x:c>
      <x:c r="C713" s="11" t="str">
        <x:v>网关与后端重试</x:v>
      </x:c>
      <x:c r="D713" s="11" t="str">
        <x:v>TestMatchObjects</x:v>
      </x:c>
      <x:c r="E713" s="11" t="str">
        <x:v>Go 测试入口</x:v>
      </x:c>
      <x:c r="F713" s="11" t="str">
        <x:v>待执行</x:v>
      </x:c>
      <x:c r="G713" s="11" t="str">
        <x:v>引擎源码测试；Windows 可构建性及服务依赖需核对</x:v>
      </x:c>
      <x:c r="H713" s="11" t="str">
        <x:v>pkg/sync/sync_test.go:609</x:v>
      </x:c>
      <x:c r="I713" s="11" t="str">
        <x:v>https://github.com/juicedata/juicefs/blob/30190ca1094d26e85f19a979ca51b0ea19af1eaa/pkg/sync/sync_test.go#L609</x:v>
      </x:c>
      <x:c r="J713" s="11" t="str">
        <x:v>未提升为 Windows 执行项</x:v>
      </x:c>
      <x:c r="K713" s="11" t="str">
        <x:v>见源文件及 CI 条件</x:v>
      </x:c>
      <x:c r="L713" s="11" t="str">
        <x:v>子用例参数与运行时生成序列不计作独立目录项；级别为源码目录初分，未执行项目不能计作通过</x:v>
      </x:c>
    </x:row>
    <x:row r="714" ht="42" customHeight="1">
      <x:c r="A714" s="10" t="str">
        <x:v>UP-05203fa23460</x:v>
      </x:c>
      <x:c r="B714" s="10" t="str">
        <x:v>L2</x:v>
      </x:c>
      <x:c r="C714" s="10" t="str">
        <x:v>网关与后端重试</x:v>
      </x:c>
      <x:c r="D714" s="10" t="str">
        <x:v>TestMatchFullPatch</x:v>
      </x:c>
      <x:c r="E714" s="10" t="str">
        <x:v>Go 测试入口</x:v>
      </x:c>
      <x:c r="F714" s="10" t="str">
        <x:v>待执行</x:v>
      </x:c>
      <x:c r="G714" s="10" t="str">
        <x:v>引擎源码测试；Windows 可构建性及服务依赖需核对</x:v>
      </x:c>
      <x:c r="H714" s="10" t="str">
        <x:v>pkg/sync/sync_test.go:682</x:v>
      </x:c>
      <x:c r="I714" s="10" t="str">
        <x:v>https://github.com/juicedata/juicefs/blob/30190ca1094d26e85f19a979ca51b0ea19af1eaa/pkg/sync/sync_test.go#L682</x:v>
      </x:c>
      <x:c r="J714" s="10" t="str">
        <x:v>未提升为 Windows 执行项</x:v>
      </x:c>
      <x:c r="K714" s="10" t="str">
        <x:v>见源文件及 CI 条件</x:v>
      </x:c>
      <x:c r="L714" s="10" t="str">
        <x:v>子用例参数与运行时生成序列不计作独立目录项；级别为源码目录初分，未执行项目不能计作通过</x:v>
      </x:c>
    </x:row>
    <x:row r="715" ht="42" customHeight="1">
      <x:c r="A715" s="11" t="str">
        <x:v>UP-24d771e80ab7</x:v>
      </x:c>
      <x:c r="B715" s="11" t="str">
        <x:v>L2</x:v>
      </x:c>
      <x:c r="C715" s="11" t="str">
        <x:v>网关与后端重试</x:v>
      </x:c>
      <x:c r="D715" s="11" t="str">
        <x:v>TestParseFilterRule</x:v>
      </x:c>
      <x:c r="E715" s="11" t="str">
        <x:v>Go 测试入口</x:v>
      </x:c>
      <x:c r="F715" s="11" t="str">
        <x:v>待执行</x:v>
      </x:c>
      <x:c r="G715" s="11" t="str">
        <x:v>引擎源码测试；Windows 可构建性及服务依赖需核对</x:v>
      </x:c>
      <x:c r="H715" s="11" t="str">
        <x:v>pkg/sync/sync_test.go:738</x:v>
      </x:c>
      <x:c r="I715" s="11" t="str">
        <x:v>https://github.com/juicedata/juicefs/blob/30190ca1094d26e85f19a979ca51b0ea19af1eaa/pkg/sync/sync_test.go#L738</x:v>
      </x:c>
      <x:c r="J715" s="11" t="str">
        <x:v>未提升为 Windows 执行项</x:v>
      </x:c>
      <x:c r="K715" s="11" t="str">
        <x:v>见源文件及 CI 条件</x:v>
      </x:c>
      <x:c r="L715" s="11" t="str">
        <x:v>子用例参数与运行时生成序列不计作独立目录项；级别为源码目录初分，未执行项目不能计作通过</x:v>
      </x:c>
    </x:row>
    <x:row r="716" ht="42" customHeight="1">
      <x:c r="A716" s="10" t="str">
        <x:v>UP-e73c5c75b009</x:v>
      </x:c>
      <x:c r="B716" s="10" t="str">
        <x:v>L2</x:v>
      </x:c>
      <x:c r="C716" s="10" t="str">
        <x:v>网关与后端重试</x:v>
      </x:c>
      <x:c r="D716" s="10" t="str">
        <x:v>TestFilterSizeAndAge</x:v>
      </x:c>
      <x:c r="E716" s="10" t="str">
        <x:v>Go 测试入口</x:v>
      </x:c>
      <x:c r="F716" s="10" t="str">
        <x:v>待执行</x:v>
      </x:c>
      <x:c r="G716" s="10" t="str">
        <x:v>引擎源码测试；Windows 可构建性及服务依赖需核对</x:v>
      </x:c>
      <x:c r="H716" s="10" t="str">
        <x:v>pkg/sync/sync_test.go:771</x:v>
      </x:c>
      <x:c r="I716" s="10" t="str">
        <x:v>https://github.com/juicedata/juicefs/blob/30190ca1094d26e85f19a979ca51b0ea19af1eaa/pkg/sync/sync_test.go#L771</x:v>
      </x:c>
      <x:c r="J716" s="10" t="str">
        <x:v>未提升为 Windows 执行项</x:v>
      </x:c>
      <x:c r="K716" s="10" t="str">
        <x:v>见源文件及 CI 条件</x:v>
      </x:c>
      <x:c r="L716" s="10" t="str">
        <x:v>子用例参数与运行时生成序列不计作独立目录项；级别为源码目录初分，未执行项目不能计作通过</x:v>
      </x:c>
    </x:row>
    <x:row r="717" ht="42" customHeight="1">
      <x:c r="A717" s="11" t="str">
        <x:v>UP-2e582d821791</x:v>
      </x:c>
      <x:c r="B717" s="11" t="str">
        <x:v>L3</x:v>
      </x:c>
      <x:c r="C717" s="11" t="str">
        <x:v>应用与界面兼容</x:v>
      </x:c>
      <x:c r="D717" s="11" t="str">
        <x:v>TestUsageReport</x:v>
      </x:c>
      <x:c r="E717" s="11" t="str">
        <x:v>Go 测试入口</x:v>
      </x:c>
      <x:c r="F717" s="11" t="str">
        <x:v>待执行</x:v>
      </x:c>
      <x:c r="G717" s="11" t="str">
        <x:v>引擎源码测试；Windows 可构建性及服务依赖需核对</x:v>
      </x:c>
      <x:c r="H717" s="11" t="str">
        <x:v>pkg/usage/usage_test.go:32</x:v>
      </x:c>
      <x:c r="I717" s="11" t="str">
        <x:v>https://github.com/juicedata/juicefs/blob/30190ca1094d26e85f19a979ca51b0ea19af1eaa/pkg/usage/usage_test.go#L32</x:v>
      </x:c>
      <x:c r="J717" s="11" t="str">
        <x:v>未提升为 Windows 执行项</x:v>
      </x:c>
      <x:c r="K717" s="11" t="str">
        <x:v>见源文件及 CI 条件</x:v>
      </x:c>
      <x:c r="L717" s="11" t="str">
        <x:v>子用例参数与运行时生成序列不计作独立目录项；级别为源码目录初分，未执行项目不能计作通过</x:v>
      </x:c>
    </x:row>
    <x:row r="718" ht="42" customHeight="1">
      <x:c r="A718" s="10" t="str">
        <x:v>UP-54e59731bfa3</x:v>
      </x:c>
      <x:c r="B718" s="10" t="str">
        <x:v>L3</x:v>
      </x:c>
      <x:c r="C718" s="10" t="str">
        <x:v>应用与界面兼容</x:v>
      </x:c>
      <x:c r="D718" s="10" t="str">
        <x:v>TestAlloc</x:v>
      </x:c>
      <x:c r="E718" s="10" t="str">
        <x:v>Go 测试入口</x:v>
      </x:c>
      <x:c r="F718" s="10" t="str">
        <x:v>待执行</x:v>
      </x:c>
      <x:c r="G718" s="10" t="str">
        <x:v>引擎源码测试；Windows 可构建性及服务依赖需核对</x:v>
      </x:c>
      <x:c r="H718" s="10" t="str">
        <x:v>pkg/utils/alloc_test.go:23</x:v>
      </x:c>
      <x:c r="I718" s="10" t="str">
        <x:v>https://github.com/juicedata/juicefs/blob/30190ca1094d26e85f19a979ca51b0ea19af1eaa/pkg/utils/alloc_test.go#L23</x:v>
      </x:c>
      <x:c r="J718" s="10" t="str">
        <x:v>未提升为 Windows 执行项</x:v>
      </x:c>
      <x:c r="K718" s="10" t="str">
        <x:v>见源文件及 CI 条件</x:v>
      </x:c>
      <x:c r="L718" s="10" t="str">
        <x:v>子用例参数与运行时生成序列不计作独立目录项；级别为源码目录初分，未执行项目不能计作通过</x:v>
      </x:c>
    </x:row>
    <x:row r="719" ht="42" customHeight="1">
      <x:c r="A719" s="11" t="str">
        <x:v>UP-1508c96ed075</x:v>
      </x:c>
      <x:c r="B719" s="11" t="str">
        <x:v>L4</x:v>
      </x:c>
      <x:c r="C719" s="11" t="str">
        <x:v>应用与界面兼容</x:v>
      </x:c>
      <x:c r="D719" s="11" t="str">
        <x:v>BenchmarkPowerOf2</x:v>
      </x:c>
      <x:c r="E719" s="11" t="str">
        <x:v>Go 性能基准</x:v>
      </x:c>
      <x:c r="F719" s="11" t="str">
        <x:v>待执行</x:v>
      </x:c>
      <x:c r="G719" s="11" t="str">
        <x:v>引擎源码测试；Windows 可构建性及服务依赖需核对</x:v>
      </x:c>
      <x:c r="H719" s="11" t="str">
        <x:v>pkg/utils/alloc_test.go:45</x:v>
      </x:c>
      <x:c r="I719" s="11" t="str">
        <x:v>https://github.com/juicedata/juicefs/blob/30190ca1094d26e85f19a979ca51b0ea19af1eaa/pkg/utils/alloc_test.go#L45</x:v>
      </x:c>
      <x:c r="J719" s="11" t="str">
        <x:v>未提升为 Windows 执行项</x:v>
      </x:c>
      <x:c r="K719" s="11" t="str">
        <x:v>见源文件及 CI 条件</x:v>
      </x:c>
      <x:c r="L719" s="11" t="str">
        <x:v>子用例参数与运行时生成序列不计作独立目录项；级别为源码目录初分，未执行项目不能计作通过</x:v>
      </x:c>
    </x:row>
    <x:row r="720" ht="42" customHeight="1">
      <x:c r="A720" s="10" t="str">
        <x:v>UP-7bc5a5de0aa3</x:v>
      </x:c>
      <x:c r="B720" s="10" t="str">
        <x:v>L3</x:v>
      </x:c>
      <x:c r="C720" s="10" t="str">
        <x:v>应用与界面兼容</x:v>
      </x:c>
      <x:c r="D720" s="10" t="str">
        <x:v>TestBuffer</x:v>
      </x:c>
      <x:c r="E720" s="10" t="str">
        <x:v>Go 测试入口</x:v>
      </x:c>
      <x:c r="F720" s="10" t="str">
        <x:v>待执行</x:v>
      </x:c>
      <x:c r="G720" s="10" t="str">
        <x:v>引擎源码测试；Windows 可构建性及服务依赖需核对</x:v>
      </x:c>
      <x:c r="H720" s="10" t="str">
        <x:v>pkg/utils/buffer_test.go:33</x:v>
      </x:c>
      <x:c r="I720" s="10" t="str">
        <x:v>https://github.com/juicedata/juicefs/blob/30190ca1094d26e85f19a979ca51b0ea19af1eaa/pkg/utils/buffer_test.go#L33</x:v>
      </x:c>
      <x:c r="J720" s="10" t="str">
        <x:v>未提升为 Windows 执行项</x:v>
      </x:c>
      <x:c r="K720" s="10" t="str">
        <x:v>见源文件及 CI 条件</x:v>
      </x:c>
      <x:c r="L720" s="10" t="str">
        <x:v>子用例参数与运行时生成序列不计作独立目录项；级别为源码目录初分，未执行项目不能计作通过</x:v>
      </x:c>
    </x:row>
    <x:row r="721" ht="42" customHeight="1">
      <x:c r="A721" s="11" t="str">
        <x:v>UP-9de5413e9ac3</x:v>
      </x:c>
      <x:c r="B721" s="11" t="str">
        <x:v>L3</x:v>
      </x:c>
      <x:c r="C721" s="11" t="str">
        <x:v>应用与界面兼容</x:v>
      </x:c>
      <x:c r="D721" s="11" t="str">
        <x:v>TestSetBytes</x:v>
      </x:c>
      <x:c r="E721" s="11" t="str">
        <x:v>Go 测试入口</x:v>
      </x:c>
      <x:c r="F721" s="11" t="str">
        <x:v>待执行</x:v>
      </x:c>
      <x:c r="G721" s="11" t="str">
        <x:v>引擎源码测试；Windows 可构建性及服务依赖需核对</x:v>
      </x:c>
      <x:c r="H721" s="11" t="str">
        <x:v>pkg/utils/buffer_test.go:57</x:v>
      </x:c>
      <x:c r="I721" s="11" t="str">
        <x:v>https://github.com/juicedata/juicefs/blob/30190ca1094d26e85f19a979ca51b0ea19af1eaa/pkg/utils/buffer_test.go#L57</x:v>
      </x:c>
      <x:c r="J721" s="11" t="str">
        <x:v>未提升为 Windows 执行项</x:v>
      </x:c>
      <x:c r="K721" s="11" t="str">
        <x:v>见源文件及 CI 条件</x:v>
      </x:c>
      <x:c r="L721" s="11" t="str">
        <x:v>子用例参数与运行时生成序列不计作独立目录项；级别为源码目录初分，未执行项目不能计作通过</x:v>
      </x:c>
    </x:row>
    <x:row r="722" ht="42" customHeight="1">
      <x:c r="A722" s="10" t="str">
        <x:v>UP-446be4b11cf7</x:v>
      </x:c>
      <x:c r="B722" s="10" t="str">
        <x:v>L3</x:v>
      </x:c>
      <x:c r="C722" s="10" t="str">
        <x:v>应用与界面兼容</x:v>
      </x:c>
      <x:c r="D722" s="10" t="str">
        <x:v>TestNativeBuffer</x:v>
      </x:c>
      <x:c r="E722" s="10" t="str">
        <x:v>Go 测试入口</x:v>
      </x:c>
      <x:c r="F722" s="10" t="str">
        <x:v>待执行</x:v>
      </x:c>
      <x:c r="G722" s="10" t="str">
        <x:v>引擎源码测试；Windows 可构建性及服务依赖需核对</x:v>
      </x:c>
      <x:c r="H722" s="10" t="str">
        <x:v>pkg/utils/buffer_test.go:67</x:v>
      </x:c>
      <x:c r="I722" s="10" t="str">
        <x:v>https://github.com/juicedata/juicefs/blob/30190ca1094d26e85f19a979ca51b0ea19af1eaa/pkg/utils/buffer_test.go#L67</x:v>
      </x:c>
      <x:c r="J722" s="10" t="str">
        <x:v>未提升为 Windows 执行项</x:v>
      </x:c>
      <x:c r="K722" s="10" t="str">
        <x:v>见源文件及 CI 条件</x:v>
      </x:c>
      <x:c r="L722" s="10" t="str">
        <x:v>子用例参数与运行时生成序列不计作独立目录项；级别为源码目录初分，未执行项目不能计作通过</x:v>
      </x:c>
    </x:row>
    <x:row r="723" ht="42" customHeight="1">
      <x:c r="A723" s="11" t="str">
        <x:v>UP-3c1794db6cc7</x:v>
      </x:c>
      <x:c r="B723" s="11" t="str">
        <x:v>L2</x:v>
      </x:c>
      <x:c r="C723" s="11" t="str">
        <x:v>并发与文件锁</x:v>
      </x:c>
      <x:c r="D723" s="11" t="str">
        <x:v>TestClock</x:v>
      </x:c>
      <x:c r="E723" s="11" t="str">
        <x:v>Go 测试入口</x:v>
      </x:c>
      <x:c r="F723" s="11" t="str">
        <x:v>待执行</x:v>
      </x:c>
      <x:c r="G723" s="11" t="str">
        <x:v>引擎源码测试；Windows 可构建性及服务依赖需核对</x:v>
      </x:c>
      <x:c r="H723" s="11" t="str">
        <x:v>pkg/utils/clock_test.go:25</x:v>
      </x:c>
      <x:c r="I723" s="11" t="str">
        <x:v>https://github.com/juicedata/juicefs/blob/30190ca1094d26e85f19a979ca51b0ea19af1eaa/pkg/utils/clock_test.go#L25</x:v>
      </x:c>
      <x:c r="J723" s="11" t="str">
        <x:v>未提升为 Windows 执行项</x:v>
      </x:c>
      <x:c r="K723" s="11" t="str">
        <x:v>见源文件及 CI 条件</x:v>
      </x:c>
      <x:c r="L723" s="11" t="str">
        <x:v>子用例参数与运行时生成序列不计作独立目录项；级别为源码目录初分，未执行项目不能计作通过</x:v>
      </x:c>
    </x:row>
    <x:row r="724" ht="42" customHeight="1">
      <x:c r="A724" s="10" t="str">
        <x:v>UP-0bb0d5917c89</x:v>
      </x:c>
      <x:c r="B724" s="10" t="str">
        <x:v>L4</x:v>
      </x:c>
      <x:c r="C724" s="10" t="str">
        <x:v>并发与文件锁</x:v>
      </x:c>
      <x:c r="D724" s="10" t="str">
        <x:v>BenchmarkNow</x:v>
      </x:c>
      <x:c r="E724" s="10" t="str">
        <x:v>Go 性能基准</x:v>
      </x:c>
      <x:c r="F724" s="10" t="str">
        <x:v>待执行</x:v>
      </x:c>
      <x:c r="G724" s="10" t="str">
        <x:v>引擎源码测试；Windows 可构建性及服务依赖需核对</x:v>
      </x:c>
      <x:c r="H724" s="10" t="str">
        <x:v>pkg/utils/clock_test.go:37</x:v>
      </x:c>
      <x:c r="I724" s="10" t="str">
        <x:v>https://github.com/juicedata/juicefs/blob/30190ca1094d26e85f19a979ca51b0ea19af1eaa/pkg/utils/clock_test.go#L37</x:v>
      </x:c>
      <x:c r="J724" s="10" t="str">
        <x:v>未提升为 Windows 执行项</x:v>
      </x:c>
      <x:c r="K724" s="10" t="str">
        <x:v>见源文件及 CI 条件</x:v>
      </x:c>
      <x:c r="L724" s="10" t="str">
        <x:v>子用例参数与运行时生成序列不计作独立目录项；级别为源码目录初分，未执行项目不能计作通过</x:v>
      </x:c>
    </x:row>
    <x:row r="725" ht="42" customHeight="1">
      <x:c r="A725" s="11" t="str">
        <x:v>UP-b30b1c44fddc</x:v>
      </x:c>
      <x:c r="B725" s="11" t="str">
        <x:v>L4</x:v>
      </x:c>
      <x:c r="C725" s="11" t="str">
        <x:v>并发与文件锁</x:v>
      </x:c>
      <x:c r="D725" s="11" t="str">
        <x:v>BenchmarkClock</x:v>
      </x:c>
      <x:c r="E725" s="11" t="str">
        <x:v>Go 性能基准</x:v>
      </x:c>
      <x:c r="F725" s="11" t="str">
        <x:v>待执行</x:v>
      </x:c>
      <x:c r="G725" s="11" t="str">
        <x:v>引擎源码测试；Windows 可构建性及服务依赖需核对</x:v>
      </x:c>
      <x:c r="H725" s="11" t="str">
        <x:v>pkg/utils/clock_test.go:45</x:v>
      </x:c>
      <x:c r="I725" s="11" t="str">
        <x:v>https://github.com/juicedata/juicefs/blob/30190ca1094d26e85f19a979ca51b0ea19af1eaa/pkg/utils/clock_test.go#L45</x:v>
      </x:c>
      <x:c r="J725" s="11" t="str">
        <x:v>未提升为 Windows 执行项</x:v>
      </x:c>
      <x:c r="K725" s="11" t="str">
        <x:v>见源文件及 CI 条件</x:v>
      </x:c>
      <x:c r="L725" s="11" t="str">
        <x:v>子用例参数与运行时生成序列不计作独立目录项；级别为源码目录初分，未执行项目不能计作通过</x:v>
      </x:c>
    </x:row>
    <x:row r="726" ht="42" customHeight="1">
      <x:c r="A726" s="10" t="str">
        <x:v>UP-365f6ebb8287</x:v>
      </x:c>
      <x:c r="B726" s="10" t="str">
        <x:v>L3</x:v>
      </x:c>
      <x:c r="C726" s="10" t="str">
        <x:v>应用与界面兼容</x:v>
      </x:c>
      <x:c r="D726" s="10" t="str">
        <x:v>TestCond</x:v>
      </x:c>
      <x:c r="E726" s="10" t="str">
        <x:v>Go 测试入口</x:v>
      </x:c>
      <x:c r="F726" s="10" t="str">
        <x:v>待执行</x:v>
      </x:c>
      <x:c r="G726" s="10" t="str">
        <x:v>引擎源码测试；Windows 可构建性及服务依赖需核对</x:v>
      </x:c>
      <x:c r="H726" s="10" t="str">
        <x:v>pkg/utils/cond_test.go:25</x:v>
      </x:c>
      <x:c r="I726" s="10" t="str">
        <x:v>https://github.com/juicedata/juicefs/blob/30190ca1094d26e85f19a979ca51b0ea19af1eaa/pkg/utils/cond_test.go#L25</x:v>
      </x:c>
      <x:c r="J726" s="10" t="str">
        <x:v>未提升为 Windows 执行项</x:v>
      </x:c>
      <x:c r="K726" s="10" t="str">
        <x:v>见源文件及 CI 条件</x:v>
      </x:c>
      <x:c r="L726" s="10" t="str">
        <x:v>子用例参数与运行时生成序列不计作独立目录项；级别为源码目录初分，未执行项目不能计作通过</x:v>
      </x:c>
    </x:row>
    <x:row r="727" ht="42" customHeight="1">
      <x:c r="A727" s="11" t="str">
        <x:v>UP-437fc8339619</x:v>
      </x:c>
      <x:c r="B727" s="11" t="str">
        <x:v>L3</x:v>
      </x:c>
      <x:c r="C727" s="11" t="str">
        <x:v>应用与界面兼容</x:v>
      </x:c>
      <x:c r="D727" s="11" t="str">
        <x:v>TestLogger</x:v>
      </x:c>
      <x:c r="E727" s="11" t="str">
        <x:v>Go 测试入口</x:v>
      </x:c>
      <x:c r="F727" s="11" t="str">
        <x:v>待执行</x:v>
      </x:c>
      <x:c r="G727" s="11" t="str">
        <x:v>引擎源码测试；Windows 可构建性及服务依赖需核对</x:v>
      </x:c>
      <x:c r="H727" s="11" t="str">
        <x:v>pkg/utils/logger_test.go:27</x:v>
      </x:c>
      <x:c r="I727" s="11" t="str">
        <x:v>https://github.com/juicedata/juicefs/blob/30190ca1094d26e85f19a979ca51b0ea19af1eaa/pkg/utils/logger_test.go#L27</x:v>
      </x:c>
      <x:c r="J727" s="11" t="str">
        <x:v>未提升为 Windows 执行项</x:v>
      </x:c>
      <x:c r="K727" s="11" t="str">
        <x:v>见源文件及 CI 条件</x:v>
      </x:c>
      <x:c r="L727" s="11" t="str">
        <x:v>子用例参数与运行时生成序列不计作独立目录项；级别为源码目录初分，未执行项目不能计作通过</x:v>
      </x:c>
    </x:row>
    <x:row r="728" ht="42" customHeight="1">
      <x:c r="A728" s="10" t="str">
        <x:v>UP-b3835d736675</x:v>
      </x:c>
      <x:c r="B728" s="10" t="str">
        <x:v>L3</x:v>
      </x:c>
      <x:c r="C728" s="10" t="str">
        <x:v>应用与界面兼容</x:v>
      </x:c>
      <x:c r="D728" s="10" t="str">
        <x:v>TestMethodName</x:v>
      </x:c>
      <x:c r="E728" s="10" t="str">
        <x:v>Go 测试入口</x:v>
      </x:c>
      <x:c r="F728" s="10" t="str">
        <x:v>待执行</x:v>
      </x:c>
      <x:c r="G728" s="10" t="str">
        <x:v>引擎源码测试；Windows 可构建性及服务依赖需核对</x:v>
      </x:c>
      <x:c r="H728" s="10" t="str">
        <x:v>pkg/utils/logger_test.go:62</x:v>
      </x:c>
      <x:c r="I728" s="10" t="str">
        <x:v>https://github.com/juicedata/juicefs/blob/30190ca1094d26e85f19a979ca51b0ea19af1eaa/pkg/utils/logger_test.go#L62</x:v>
      </x:c>
      <x:c r="J728" s="10" t="str">
        <x:v>未提升为 Windows 执行项</x:v>
      </x:c>
      <x:c r="K728" s="10" t="str">
        <x:v>见源文件及 CI 条件</x:v>
      </x:c>
      <x:c r="L728" s="10" t="str">
        <x:v>子用例参数与运行时生成序列不计作独立目录项；级别为源码目录初分，未执行项目不能计作通过</x:v>
      </x:c>
    </x:row>
    <x:row r="729" ht="42" customHeight="1">
      <x:c r="A729" s="11" t="str">
        <x:v>UP-7494baa11c25</x:v>
      </x:c>
      <x:c r="B729" s="11" t="str">
        <x:v>L3</x:v>
      </x:c>
      <x:c r="C729" s="11" t="str">
        <x:v>应用与界面兼容</x:v>
      </x:c>
      <x:c r="D729" s="11" t="str">
        <x:v>TestMemUsage</x:v>
      </x:c>
      <x:c r="E729" s="11" t="str">
        <x:v>Go 测试入口</x:v>
      </x:c>
      <x:c r="F729" s="11" t="str">
        <x:v>待执行</x:v>
      </x:c>
      <x:c r="G729" s="11" t="str">
        <x:v>引擎源码测试；Windows 可构建性及服务依赖需核对</x:v>
      </x:c>
      <x:c r="H729" s="11" t="str">
        <x:v>pkg/utils/memusage_test.go:21</x:v>
      </x:c>
      <x:c r="I729" s="11" t="str">
        <x:v>https://github.com/juicedata/juicefs/blob/30190ca1094d26e85f19a979ca51b0ea19af1eaa/pkg/utils/memusage_test.go#L21</x:v>
      </x:c>
      <x:c r="J729" s="11" t="str">
        <x:v>未提升为 Windows 执行项</x:v>
      </x:c>
      <x:c r="K729" s="11" t="str">
        <x:v>见源文件及 CI 条件</x:v>
      </x:c>
      <x:c r="L729" s="11" t="str">
        <x:v>子用例参数与运行时生成序列不计作独立目录项；级别为源码目录初分，未执行项目不能计作通过</x:v>
      </x:c>
    </x:row>
    <x:row r="730" ht="42" customHeight="1">
      <x:c r="A730" s="10" t="str">
        <x:v>UP-bfe75bc00657</x:v>
      </x:c>
      <x:c r="B730" s="10" t="str">
        <x:v>L3</x:v>
      </x:c>
      <x:c r="C730" s="10" t="str">
        <x:v>应用与界面兼容</x:v>
      </x:c>
      <x:c r="D730" s="10" t="str">
        <x:v>TestProgresBar</x:v>
      </x:c>
      <x:c r="E730" s="10" t="str">
        <x:v>Go 测试入口</x:v>
      </x:c>
      <x:c r="F730" s="10" t="str">
        <x:v>待执行</x:v>
      </x:c>
      <x:c r="G730" s="10" t="str">
        <x:v>引擎源码测试；Windows 可构建性及服务依赖需核对</x:v>
      </x:c>
      <x:c r="H730" s="10" t="str">
        <x:v>pkg/utils/progress_test.go:24</x:v>
      </x:c>
      <x:c r="I730" s="10" t="str">
        <x:v>https://github.com/juicedata/juicefs/blob/30190ca1094d26e85f19a979ca51b0ea19af1eaa/pkg/utils/progress_test.go#L24</x:v>
      </x:c>
      <x:c r="J730" s="10" t="str">
        <x:v>未提升为 Windows 执行项</x:v>
      </x:c>
      <x:c r="K730" s="10" t="str">
        <x:v>见源文件及 CI 条件</x:v>
      </x:c>
      <x:c r="L730" s="10" t="str">
        <x:v>子用例参数与运行时生成序列不计作独立目录项；级别为源码目录初分，未执行项目不能计作通过</x:v>
      </x:c>
    </x:row>
    <x:row r="731" ht="42" customHeight="1">
      <x:c r="A731" s="11" t="str">
        <x:v>UP-5eb1a12f6dd1</x:v>
      </x:c>
      <x:c r="B731" s="11" t="str">
        <x:v>L3</x:v>
      </x:c>
      <x:c r="C731" s="11" t="str">
        <x:v>应用与界面兼容</x:v>
      </x:c>
      <x:c r="D731" s="11" t="str">
        <x:v>TestRUsage</x:v>
      </x:c>
      <x:c r="E731" s="11" t="str">
        <x:v>Go 测试入口</x:v>
      </x:c>
      <x:c r="F731" s="11" t="str">
        <x:v>待执行</x:v>
      </x:c>
      <x:c r="G731" s="11" t="str">
        <x:v>引擎源码测试；Windows 可构建性及服务依赖需核对</x:v>
      </x:c>
      <x:c r="H731" s="11" t="str">
        <x:v>pkg/utils/rusage_test.go:24</x:v>
      </x:c>
      <x:c r="I731" s="11" t="str">
        <x:v>https://github.com/juicedata/juicefs/blob/30190ca1094d26e85f19a979ca51b0ea19af1eaa/pkg/utils/rusage_test.go#L24</x:v>
      </x:c>
      <x:c r="J731" s="11" t="str">
        <x:v>未提升为 Windows 执行项</x:v>
      </x:c>
      <x:c r="K731" s="11" t="str">
        <x:v>见源文件及 CI 条件</x:v>
      </x:c>
      <x:c r="L731" s="11" t="str">
        <x:v>子用例参数与运行时生成序列不计作独立目录项；级别为源码目录初分，未执行项目不能计作通过</x:v>
      </x:c>
    </x:row>
    <x:row r="732" ht="42" customHeight="1">
      <x:c r="A732" s="10" t="str">
        <x:v>UP-0b0d9fe64427</x:v>
      </x:c>
      <x:c r="B732" s="10" t="str">
        <x:v>L3</x:v>
      </x:c>
      <x:c r="C732" s="10" t="str">
        <x:v>应用与界面兼容</x:v>
      </x:c>
      <x:c r="D732" s="10" t="str">
        <x:v>TestMin</x:v>
      </x:c>
      <x:c r="E732" s="10" t="str">
        <x:v>Go 测试入口</x:v>
      </x:c>
      <x:c r="F732" s="10" t="str">
        <x:v>待执行</x:v>
      </x:c>
      <x:c r="G732" s="10" t="str">
        <x:v>引擎源码测试；Windows 可构建性及服务依赖需核对</x:v>
      </x:c>
      <x:c r="H732" s="10" t="str">
        <x:v>pkg/utils/utils_test.go:28</x:v>
      </x:c>
      <x:c r="I732" s="10" t="str">
        <x:v>https://github.com/juicedata/juicefs/blob/30190ca1094d26e85f19a979ca51b0ea19af1eaa/pkg/utils/utils_test.go#L28</x:v>
      </x:c>
      <x:c r="J732" s="10" t="str">
        <x:v>未提升为 Windows 执行项</x:v>
      </x:c>
      <x:c r="K732" s="10" t="str">
        <x:v>见源文件及 CI 条件</x:v>
      </x:c>
      <x:c r="L732" s="10" t="str">
        <x:v>子用例参数与运行时生成序列不计作独立目录项；级别为源码目录初分，未执行项目不能计作通过</x:v>
      </x:c>
    </x:row>
    <x:row r="733" ht="42" customHeight="1">
      <x:c r="A733" s="11" t="str">
        <x:v>UP-711f7bbb59b8</x:v>
      </x:c>
      <x:c r="B733" s="11" t="str">
        <x:v>L3</x:v>
      </x:c>
      <x:c r="C733" s="11" t="str">
        <x:v>应用与界面兼容</x:v>
      </x:c>
      <x:c r="D733" s="11" t="str">
        <x:v>TestExists</x:v>
      </x:c>
      <x:c r="E733" s="11" t="str">
        <x:v>Go 测试入口</x:v>
      </x:c>
      <x:c r="F733" s="11" t="str">
        <x:v>待执行</x:v>
      </x:c>
      <x:c r="G733" s="11" t="str">
        <x:v>引擎源码测试；Windows 可构建性及服务依赖需核对</x:v>
      </x:c>
      <x:c r="H733" s="11" t="str">
        <x:v>pkg/utils/utils_test.go:34</x:v>
      </x:c>
      <x:c r="I733" s="11" t="str">
        <x:v>https://github.com/juicedata/juicefs/blob/30190ca1094d26e85f19a979ca51b0ea19af1eaa/pkg/utils/utils_test.go#L34</x:v>
      </x:c>
      <x:c r="J733" s="11" t="str">
        <x:v>未提升为 Windows 执行项</x:v>
      </x:c>
      <x:c r="K733" s="11" t="str">
        <x:v>见源文件及 CI 条件</x:v>
      </x:c>
      <x:c r="L733" s="11" t="str">
        <x:v>子用例参数与运行时生成序列不计作独立目录项；级别为源码目录初分，未执行项目不能计作通过</x:v>
      </x:c>
    </x:row>
    <x:row r="734" ht="42" customHeight="1">
      <x:c r="A734" s="10" t="str">
        <x:v>UP-a9af88b8a218</x:v>
      </x:c>
      <x:c r="B734" s="10" t="str">
        <x:v>L3</x:v>
      </x:c>
      <x:c r="C734" s="10" t="str">
        <x:v>应用与界面兼容</x:v>
      </x:c>
      <x:c r="D734" s="10" t="str">
        <x:v>TestSplitDir</x:v>
      </x:c>
      <x:c r="E734" s="10" t="str">
        <x:v>Go 测试入口</x:v>
      </x:c>
      <x:c r="F734" s="10" t="str">
        <x:v>待执行</x:v>
      </x:c>
      <x:c r="G734" s="10" t="str">
        <x:v>引擎源码测试；Windows 可构建性及服务依赖需核对</x:v>
      </x:c>
      <x:c r="H734" s="10" t="str">
        <x:v>pkg/utils/utils_test.go:39</x:v>
      </x:c>
      <x:c r="I734" s="10" t="str">
        <x:v>https://github.com/juicedata/juicefs/blob/30190ca1094d26e85f19a979ca51b0ea19af1eaa/pkg/utils/utils_test.go#L39</x:v>
      </x:c>
      <x:c r="J734" s="10" t="str">
        <x:v>未提升为 Windows 执行项</x:v>
      </x:c>
      <x:c r="K734" s="10" t="str">
        <x:v>见源文件及 CI 条件</x:v>
      </x:c>
      <x:c r="L734" s="10" t="str">
        <x:v>子用例参数与运行时生成序列不计作独立目录项；级别为源码目录初分，未执行项目不能计作通过</x:v>
      </x:c>
    </x:row>
    <x:row r="735" ht="42" customHeight="1">
      <x:c r="A735" s="11" t="str">
        <x:v>UP-ea47831a7759</x:v>
      </x:c>
      <x:c r="B735" s="11" t="str">
        <x:v>L3</x:v>
      </x:c>
      <x:c r="C735" s="11" t="str">
        <x:v>应用与界面兼容</x:v>
      </x:c>
      <x:c r="D735" s="11" t="str">
        <x:v>TestGetInode</x:v>
      </x:c>
      <x:c r="E735" s="11" t="str">
        <x:v>Go 测试入口</x:v>
      </x:c>
      <x:c r="F735" s="11" t="str">
        <x:v>待执行</x:v>
      </x:c>
      <x:c r="G735" s="11" t="str">
        <x:v>引擎源码测试；Windows 可构建性及服务依赖需核对</x:v>
      </x:c>
      <x:c r="H735" s="11" t="str">
        <x:v>pkg/utils/utils_test.go:46</x:v>
      </x:c>
      <x:c r="I735" s="11" t="str">
        <x:v>https://github.com/juicedata/juicefs/blob/30190ca1094d26e85f19a979ca51b0ea19af1eaa/pkg/utils/utils_test.go#L46</x:v>
      </x:c>
      <x:c r="J735" s="11" t="str">
        <x:v>未提升为 Windows 执行项</x:v>
      </x:c>
      <x:c r="K735" s="11" t="str">
        <x:v>见源文件及 CI 条件</x:v>
      </x:c>
      <x:c r="L735" s="11" t="str">
        <x:v>子用例参数与运行时生成序列不计作独立目录项；级别为源码目录初分，未执行项目不能计作通过</x:v>
      </x:c>
    </x:row>
    <x:row r="736" ht="42" customHeight="1">
      <x:c r="A736" s="10" t="str">
        <x:v>UP-2bc7dc33ba96</x:v>
      </x:c>
      <x:c r="B736" s="10" t="str">
        <x:v>L3</x:v>
      </x:c>
      <x:c r="C736" s="10" t="str">
        <x:v>应用与界面兼容</x:v>
      </x:c>
      <x:c r="D736" s="10" t="str">
        <x:v>TestLocalIp</x:v>
      </x:c>
      <x:c r="E736" s="10" t="str">
        <x:v>Go 测试入口</x:v>
      </x:c>
      <x:c r="F736" s="10" t="str">
        <x:v>待执行</x:v>
      </x:c>
      <x:c r="G736" s="10" t="str">
        <x:v>引擎源码测试；Windows 可构建性及服务依赖需核对</x:v>
      </x:c>
      <x:c r="H736" s="10" t="str">
        <x:v>pkg/utils/utils_test.go:59</x:v>
      </x:c>
      <x:c r="I736" s="10" t="str">
        <x:v>https://github.com/juicedata/juicefs/blob/30190ca1094d26e85f19a979ca51b0ea19af1eaa/pkg/utils/utils_test.go#L59</x:v>
      </x:c>
      <x:c r="J736" s="10" t="str">
        <x:v>未提升为 Windows 执行项</x:v>
      </x:c>
      <x:c r="K736" s="10" t="str">
        <x:v>见源文件及 CI 条件</x:v>
      </x:c>
      <x:c r="L736" s="10" t="str">
        <x:v>子用例参数与运行时生成序列不计作独立目录项；级别为源码目录初分，未执行项目不能计作通过</x:v>
      </x:c>
    </x:row>
    <x:row r="737" ht="42" customHeight="1">
      <x:c r="A737" s="11" t="str">
        <x:v>UP-2c5e5f4cae46</x:v>
      </x:c>
      <x:c r="B737" s="11" t="str">
        <x:v>L3</x:v>
      </x:c>
      <x:c r="C737" s="11" t="str">
        <x:v>应用与界面兼容</x:v>
      </x:c>
      <x:c r="D737" s="11" t="str">
        <x:v>TestTimeout</x:v>
      </x:c>
      <x:c r="E737" s="11" t="str">
        <x:v>Go 测试入口</x:v>
      </x:c>
      <x:c r="F737" s="11" t="str">
        <x:v>待执行</x:v>
      </x:c>
      <x:c r="G737" s="11" t="str">
        <x:v>引擎源码测试；Windows 可构建性及服务依赖需核对</x:v>
      </x:c>
      <x:c r="H737" s="11" t="str">
        <x:v>pkg/utils/utils_test.go:73</x:v>
      </x:c>
      <x:c r="I737" s="11" t="str">
        <x:v>https://github.com/juicedata/juicefs/blob/30190ca1094d26e85f19a979ca51b0ea19af1eaa/pkg/utils/utils_test.go#L73</x:v>
      </x:c>
      <x:c r="J737" s="11" t="str">
        <x:v>未提升为 Windows 执行项</x:v>
      </x:c>
      <x:c r="K737" s="11" t="str">
        <x:v>见源文件及 CI 条件</x:v>
      </x:c>
      <x:c r="L737" s="11" t="str">
        <x:v>子用例参数与运行时生成序列不计作独立目录项；级别为源码目录初分，未执行项目不能计作通过</x:v>
      </x:c>
    </x:row>
    <x:row r="738" ht="42" customHeight="1">
      <x:c r="A738" s="10" t="str">
        <x:v>UP-d38106924c7a</x:v>
      </x:c>
      <x:c r="B738" s="10" t="str">
        <x:v>L2</x:v>
      </x:c>
      <x:c r="C738" s="10" t="str">
        <x:v>命名与目录</x:v>
      </x:c>
      <x:c r="D738" s="10" t="str">
        <x:v>TestRemovePassword</x:v>
      </x:c>
      <x:c r="E738" s="10" t="str">
        <x:v>Go 测试入口</x:v>
      </x:c>
      <x:c r="F738" s="10" t="str">
        <x:v>待执行</x:v>
      </x:c>
      <x:c r="G738" s="10" t="str">
        <x:v>引擎源码测试；Windows 可构建性及服务依赖需核对</x:v>
      </x:c>
      <x:c r="H738" s="10" t="str">
        <x:v>pkg/utils/utils_test.go:89</x:v>
      </x:c>
      <x:c r="I738" s="10" t="str">
        <x:v>https://github.com/juicedata/juicefs/blob/30190ca1094d26e85f19a979ca51b0ea19af1eaa/pkg/utils/utils_test.go#L89</x:v>
      </x:c>
      <x:c r="J738" s="10" t="str">
        <x:v>未提升为 Windows 执行项</x:v>
      </x:c>
      <x:c r="K738" s="10" t="str">
        <x:v>见源文件及 CI 条件</x:v>
      </x:c>
      <x:c r="L738" s="10" t="str">
        <x:v>子用例参数与运行时生成序列不计作独立目录项；级别为源码目录初分，未执行项目不能计作通过</x:v>
      </x:c>
    </x:row>
    <x:row r="739" ht="42" customHeight="1">
      <x:c r="A739" s="11" t="str">
        <x:v>UP-675553ad06ac</x:v>
      </x:c>
      <x:c r="B739" s="11" t="str">
        <x:v>L3</x:v>
      </x:c>
      <x:c r="C739" s="11" t="str">
        <x:v>应用与界面兼容</x:v>
      </x:c>
      <x:c r="D739" s="11" t="str">
        <x:v>TestVersion</x:v>
      </x:c>
      <x:c r="E739" s="11" t="str">
        <x:v>Go 测试入口</x:v>
      </x:c>
      <x:c r="F739" s="11" t="str">
        <x:v>待执行</x:v>
      </x:c>
      <x:c r="G739" s="11" t="str">
        <x:v>引擎源码测试；Windows 可构建性及服务依赖需核对</x:v>
      </x:c>
      <x:c r="H739" s="11" t="str">
        <x:v>pkg/version/version_test.go:21</x:v>
      </x:c>
      <x:c r="I739" s="11" t="str">
        <x:v>https://github.com/juicedata/juicefs/blob/30190ca1094d26e85f19a979ca51b0ea19af1eaa/pkg/version/version_test.go#L21</x:v>
      </x:c>
      <x:c r="J739" s="11" t="str">
        <x:v>未提升为 Windows 执行项</x:v>
      </x:c>
      <x:c r="K739" s="11" t="str">
        <x:v>见源文件及 CI 条件</x:v>
      </x:c>
      <x:c r="L739" s="11" t="str">
        <x:v>子用例参数与运行时生成序列不计作独立目录项；级别为源码目录初分，未执行项目不能计作通过</x:v>
      </x:c>
    </x:row>
    <x:row r="740" ht="42" customHeight="1">
      <x:c r="A740" s="10" t="str">
        <x:v>UP-c490eb9402e7</x:v>
      </x:c>
      <x:c r="B740" s="10" t="str">
        <x:v>L1</x:v>
      </x:c>
      <x:c r="C740" s="10" t="str">
        <x:v>文件读写与完整性</x:v>
      </x:c>
      <x:c r="D740" s="10" t="str">
        <x:v>TestAccessLog</x:v>
      </x:c>
      <x:c r="E740" s="10" t="str">
        <x:v>Go 测试入口</x:v>
      </x:c>
      <x:c r="F740" s="10" t="str">
        <x:v>待执行</x:v>
      </x:c>
      <x:c r="G740" s="10" t="str">
        <x:v>引擎源码测试；Windows 可构建性及服务依赖需核对</x:v>
      </x:c>
      <x:c r="H740" s="10" t="str">
        <x:v>pkg/vfs/accesslog_test.go:26</x:v>
      </x:c>
      <x:c r="I740" s="10" t="str">
        <x:v>https://github.com/juicedata/juicefs/blob/30190ca1094d26e85f19a979ca51b0ea19af1eaa/pkg/vfs/accesslog_test.go#L26</x:v>
      </x:c>
      <x:c r="J740" s="10" t="str">
        <x:v>未提升为 Windows 执行项</x:v>
      </x:c>
      <x:c r="K740" s="10" t="str">
        <x:v>见源文件及 CI 条件</x:v>
      </x:c>
      <x:c r="L740" s="10" t="str">
        <x:v>子用例参数与运行时生成序列不计作独立目录项；级别为源码目录初分，未执行项目不能计作通过</x:v>
      </x:c>
    </x:row>
    <x:row r="741" ht="42" customHeight="1">
      <x:c r="A741" s="11" t="str">
        <x:v>UP-dfc996c83866</x:v>
      </x:c>
      <x:c r="B741" s="11" t="str">
        <x:v>L1</x:v>
      </x:c>
      <x:c r="C741" s="11" t="str">
        <x:v>文件读写与完整性</x:v>
      </x:c>
      <x:c r="D741" s="11" t="str">
        <x:v>TestRotate</x:v>
      </x:c>
      <x:c r="E741" s="11" t="str">
        <x:v>Go 测试入口</x:v>
      </x:c>
      <x:c r="F741" s="11" t="str">
        <x:v>待执行</x:v>
      </x:c>
      <x:c r="G741" s="11" t="str">
        <x:v>引擎源码测试；Windows 可构建性及服务依赖需核对</x:v>
      </x:c>
      <x:c r="H741" s="11" t="str">
        <x:v>pkg/vfs/backup_test.go:27</x:v>
      </x:c>
      <x:c r="I741" s="11" t="str">
        <x:v>https://github.com/juicedata/juicefs/blob/30190ca1094d26e85f19a979ca51b0ea19af1eaa/pkg/vfs/backup_test.go#L27</x:v>
      </x:c>
      <x:c r="J741" s="11" t="str">
        <x:v>未提升为 Windows 执行项</x:v>
      </x:c>
      <x:c r="K741" s="11" t="str">
        <x:v>见源文件及 CI 条件</x:v>
      </x:c>
      <x:c r="L741" s="11" t="str">
        <x:v>子用例参数与运行时生成序列不计作独立目录项；级别为源码目录初分，未执行项目不能计作通过</x:v>
      </x:c>
    </x:row>
    <x:row r="742" ht="42" customHeight="1">
      <x:c r="A742" s="10" t="str">
        <x:v>UP-4d7f03bd5a4d</x:v>
      </x:c>
      <x:c r="B742" s="10" t="str">
        <x:v>L1</x:v>
      </x:c>
      <x:c r="C742" s="10" t="str">
        <x:v>文件读写与完整性</x:v>
      </x:c>
      <x:c r="D742" s="10" t="str">
        <x:v>TestBackup</x:v>
      </x:c>
      <x:c r="E742" s="10" t="str">
        <x:v>Go 测试入口</x:v>
      </x:c>
      <x:c r="F742" s="10" t="str">
        <x:v>待执行</x:v>
      </x:c>
      <x:c r="G742" s="10" t="str">
        <x:v>引擎源码测试；Windows 可构建性及服务依赖需核对</x:v>
      </x:c>
      <x:c r="H742" s="10" t="str">
        <x:v>pkg/vfs/backup_test.go:70</x:v>
      </x:c>
      <x:c r="I742" s="10" t="str">
        <x:v>https://github.com/juicedata/juicefs/blob/30190ca1094d26e85f19a979ca51b0ea19af1eaa/pkg/vfs/backup_test.go#L70</x:v>
      </x:c>
      <x:c r="J742" s="10" t="str">
        <x:v>未提升为 Windows 执行项</x:v>
      </x:c>
      <x:c r="K742" s="10" t="str">
        <x:v>见源文件及 CI 条件</x:v>
      </x:c>
      <x:c r="L742" s="10" t="str">
        <x:v>子用例参数与运行时生成序列不计作独立目录项；级别为源码目录初分，未执行项目不能计作通过</x:v>
      </x:c>
    </x:row>
    <x:row r="743" ht="42" customHeight="1">
      <x:c r="A743" s="11" t="str">
        <x:v>UP-ef411950d85a</x:v>
      </x:c>
      <x:c r="B743" s="11" t="str">
        <x:v>L1</x:v>
      </x:c>
      <x:c r="C743" s="11" t="str">
        <x:v>文件读写与完整性</x:v>
      </x:c>
      <x:c r="D743" s="11" t="str">
        <x:v>TestCompact</x:v>
      </x:c>
      <x:c r="E743" s="11" t="str">
        <x:v>Go 测试入口</x:v>
      </x:c>
      <x:c r="F743" s="11" t="str">
        <x:v>待执行</x:v>
      </x:c>
      <x:c r="G743" s="11" t="str">
        <x:v>引擎源码测试；Windows 可构建性及服务依赖需核对</x:v>
      </x:c>
      <x:c r="H743" s="11" t="str">
        <x:v>pkg/vfs/compact_test.go:28</x:v>
      </x:c>
      <x:c r="I743" s="11" t="str">
        <x:v>https://github.com/juicedata/juicefs/blob/30190ca1094d26e85f19a979ca51b0ea19af1eaa/pkg/vfs/compact_test.go#L28</x:v>
      </x:c>
      <x:c r="J743" s="11" t="str">
        <x:v>未提升为 Windows 执行项</x:v>
      </x:c>
      <x:c r="K743" s="11" t="str">
        <x:v>见源文件及 CI 条件</x:v>
      </x:c>
      <x:c r="L743" s="11" t="str">
        <x:v>子用例参数与运行时生成序列不计作独立目录项；级别为源码目录初分，未执行项目不能计作通过</x:v>
      </x:c>
    </x:row>
    <x:row r="744" ht="42" customHeight="1">
      <x:c r="A744" s="10" t="str">
        <x:v>UP-23a36edf61da</x:v>
      </x:c>
      <x:c r="B744" s="10" t="str">
        <x:v>L1</x:v>
      </x:c>
      <x:c r="C744" s="10" t="str">
        <x:v>文件读写与完整性</x:v>
      </x:c>
      <x:c r="D744" s="10" t="str">
        <x:v>TestFill</x:v>
      </x:c>
      <x:c r="E744" s="10" t="str">
        <x:v>Go 测试入口</x:v>
      </x:c>
      <x:c r="F744" s="10" t="str">
        <x:v>待执行</x:v>
      </x:c>
      <x:c r="G744" s="10" t="str">
        <x:v>引擎源码测试；Windows 可构建性及服务依赖需核对</x:v>
      </x:c>
      <x:c r="H744" s="10" t="str">
        <x:v>pkg/vfs/fill_test.go:26</x:v>
      </x:c>
      <x:c r="I744" s="10" t="str">
        <x:v>https://github.com/juicedata/juicefs/blob/30190ca1094d26e85f19a979ca51b0ea19af1eaa/pkg/vfs/fill_test.go#L26</x:v>
      </x:c>
      <x:c r="J744" s="10" t="str">
        <x:v>未提升为 Windows 执行项</x:v>
      </x:c>
      <x:c r="K744" s="10" t="str">
        <x:v>见源文件及 CI 条件</x:v>
      </x:c>
      <x:c r="L744" s="10" t="str">
        <x:v>子用例参数与运行时生成序列不计作独立目录项；级别为源码目录初分，未执行项目不能计作通过</x:v>
      </x:c>
    </x:row>
    <x:row r="745" ht="42" customHeight="1">
      <x:c r="A745" s="11" t="str">
        <x:v>UP-af5c3929c39a</x:v>
      </x:c>
      <x:c r="B745" s="11" t="str">
        <x:v>L1</x:v>
      </x:c>
      <x:c r="C745" s="11" t="str">
        <x:v>文件读写与完整性</x:v>
      </x:c>
      <x:c r="D745" s="11" t="str">
        <x:v>TestSmode</x:v>
      </x:c>
      <x:c r="E745" s="11" t="str">
        <x:v>Go 测试入口</x:v>
      </x:c>
      <x:c r="F745" s="11" t="str">
        <x:v>待执行</x:v>
      </x:c>
      <x:c r="G745" s="11" t="str">
        <x:v>引擎源码测试；Windows 可构建性及服务依赖需核对</x:v>
      </x:c>
      <x:c r="H745" s="11" t="str">
        <x:v>pkg/vfs/helpers_test.go:38</x:v>
      </x:c>
      <x:c r="I745" s="11" t="str">
        <x:v>https://github.com/juicedata/juicefs/blob/30190ca1094d26e85f19a979ca51b0ea19af1eaa/pkg/vfs/helpers_test.go#L38</x:v>
      </x:c>
      <x:c r="J745" s="11" t="str">
        <x:v>未提升为 Windows 执行项</x:v>
      </x:c>
      <x:c r="K745" s="11" t="str">
        <x:v>见源文件及 CI 条件</x:v>
      </x:c>
      <x:c r="L745" s="11" t="str">
        <x:v>子用例参数与运行时生成序列不计作独立目录项；级别为源码目录初分，未执行项目不能计作通过</x:v>
      </x:c>
    </x:row>
    <x:row r="746" ht="42" customHeight="1">
      <x:c r="A746" s="10" t="str">
        <x:v>UP-038de5f4b869</x:v>
      </x:c>
      <x:c r="B746" s="10" t="str">
        <x:v>L1</x:v>
      </x:c>
      <x:c r="C746" s="10" t="str">
        <x:v>文件读写与完整性</x:v>
      </x:c>
      <x:c r="D746" s="10" t="str">
        <x:v>TestEntryString</x:v>
      </x:c>
      <x:c r="E746" s="10" t="str">
        <x:v>Go 测试入口</x:v>
      </x:c>
      <x:c r="F746" s="10" t="str">
        <x:v>待执行</x:v>
      </x:c>
      <x:c r="G746" s="10" t="str">
        <x:v>引擎源码测试；Windows 可构建性及服务依赖需核对</x:v>
      </x:c>
      <x:c r="H746" s="10" t="str">
        <x:v>pkg/vfs/helpers_test.go:47</x:v>
      </x:c>
      <x:c r="I746" s="10" t="str">
        <x:v>https://github.com/juicedata/juicefs/blob/30190ca1094d26e85f19a979ca51b0ea19af1eaa/pkg/vfs/helpers_test.go#L47</x:v>
      </x:c>
      <x:c r="J746" s="10" t="str">
        <x:v>未提升为 Windows 执行项</x:v>
      </x:c>
      <x:c r="K746" s="10" t="str">
        <x:v>见源文件及 CI 条件</x:v>
      </x:c>
      <x:c r="L746" s="10" t="str">
        <x:v>子用例参数与运行时生成序列不计作独立目录项；级别为源码目录初分，未执行项目不能计作通过</x:v>
      </x:c>
    </x:row>
    <x:row r="747" ht="42" customHeight="1">
      <x:c r="A747" s="11" t="str">
        <x:v>UP-570827884116</x:v>
      </x:c>
      <x:c r="B747" s="11" t="str">
        <x:v>L1</x:v>
      </x:c>
      <x:c r="C747" s="11" t="str">
        <x:v>文件读写与完整性</x:v>
      </x:c>
      <x:c r="D747" s="11" t="str">
        <x:v>TestError</x:v>
      </x:c>
      <x:c r="E747" s="11" t="str">
        <x:v>Go 测试入口</x:v>
      </x:c>
      <x:c r="F747" s="11" t="str">
        <x:v>待执行</x:v>
      </x:c>
      <x:c r="G747" s="11" t="str">
        <x:v>引擎源码测试；Windows 可构建性及服务依赖需核对</x:v>
      </x:c>
      <x:c r="H747" s="11" t="str">
        <x:v>pkg/vfs/helpers_test.go:73</x:v>
      </x:c>
      <x:c r="I747" s="11" t="str">
        <x:v>https://github.com/juicedata/juicefs/blob/30190ca1094d26e85f19a979ca51b0ea19af1eaa/pkg/vfs/helpers_test.go#L73</x:v>
      </x:c>
      <x:c r="J747" s="11" t="str">
        <x:v>未提升为 Windows 执行项</x:v>
      </x:c>
      <x:c r="K747" s="11" t="str">
        <x:v>见源文件及 CI 条件</x:v>
      </x:c>
      <x:c r="L747" s="11" t="str">
        <x:v>子用例参数与运行时生成序列不计作独立目录项；级别为源码目录初分，未执行项目不能计作通过</x:v>
      </x:c>
    </x:row>
    <x:row r="748" ht="42" customHeight="1">
      <x:c r="A748" s="10" t="str">
        <x:v>UP-b616853ad672</x:v>
      </x:c>
      <x:c r="B748" s="10" t="str">
        <x:v>L1</x:v>
      </x:c>
      <x:c r="C748" s="10" t="str">
        <x:v>文件读写与完整性</x:v>
      </x:c>
      <x:c r="D748" s="10" t="str">
        <x:v>TestVFSBasic</x:v>
      </x:c>
      <x:c r="E748" s="10" t="str">
        <x:v>Go 测试入口</x:v>
      </x:c>
      <x:c r="F748" s="10" t="str">
        <x:v>待执行</x:v>
      </x:c>
      <x:c r="G748" s="10" t="str">
        <x:v>引擎源码测试；Windows 可构建性及服务依赖需核对</x:v>
      </x:c>
      <x:c r="H748" s="10" t="str">
        <x:v>pkg/vfs/vfs_test.go:89</x:v>
      </x:c>
      <x:c r="I748" s="10" t="str">
        <x:v>https://github.com/juicedata/juicefs/blob/30190ca1094d26e85f19a979ca51b0ea19af1eaa/pkg/vfs/vfs_test.go#L89</x:v>
      </x:c>
      <x:c r="J748" s="10" t="str">
        <x:v>未提升为 Windows 执行项</x:v>
      </x:c>
      <x:c r="K748" s="10" t="str">
        <x:v>见源文件及 CI 条件</x:v>
      </x:c>
      <x:c r="L748" s="10" t="str">
        <x:v>子用例参数与运行时生成序列不计作独立目录项；级别为源码目录初分，未执行项目不能计作通过</x:v>
      </x:c>
    </x:row>
    <x:row r="749" ht="42" customHeight="1">
      <x:c r="A749" s="11" t="str">
        <x:v>UP-6ea3fc6947af</x:v>
      </x:c>
      <x:c r="B749" s="11" t="str">
        <x:v>L1</x:v>
      </x:c>
      <x:c r="C749" s="11" t="str">
        <x:v>文件读写与完整性</x:v>
      </x:c>
      <x:c r="D749" s="11" t="str">
        <x:v>TestVFSIO</x:v>
      </x:c>
      <x:c r="E749" s="11" t="str">
        <x:v>Go 测试入口</x:v>
      </x:c>
      <x:c r="F749" s="11" t="str">
        <x:v>待执行</x:v>
      </x:c>
      <x:c r="G749" s="11" t="str">
        <x:v>引擎源码测试；Windows 可构建性及服务依赖需核对</x:v>
      </x:c>
      <x:c r="H749" s="11" t="str">
        <x:v>pkg/vfs/vfs_test.go:198</x:v>
      </x:c>
      <x:c r="I749" s="11" t="str">
        <x:v>https://github.com/juicedata/juicefs/blob/30190ca1094d26e85f19a979ca51b0ea19af1eaa/pkg/vfs/vfs_test.go#L198</x:v>
      </x:c>
      <x:c r="J749" s="11" t="str">
        <x:v>未提升为 Windows 执行项</x:v>
      </x:c>
      <x:c r="K749" s="11" t="str">
        <x:v>见源文件及 CI 条件</x:v>
      </x:c>
      <x:c r="L749" s="11" t="str">
        <x:v>子用例参数与运行时生成序列不计作独立目录项；级别为源码目录初分，未执行项目不能计作通过</x:v>
      </x:c>
    </x:row>
    <x:row r="750" ht="42" customHeight="1">
      <x:c r="A750" s="10" t="str">
        <x:v>UP-9dc17e5eaef1</x:v>
      </x:c>
      <x:c r="B750" s="10" t="str">
        <x:v>L1</x:v>
      </x:c>
      <x:c r="C750" s="10" t="str">
        <x:v>文件读写与完整性</x:v>
      </x:c>
      <x:c r="D750" s="10" t="str">
        <x:v>TestVFSXattrs</x:v>
      </x:c>
      <x:c r="E750" s="10" t="str">
        <x:v>Go 测试入口</x:v>
      </x:c>
      <x:c r="F750" s="10" t="str">
        <x:v>待执行</x:v>
      </x:c>
      <x:c r="G750" s="10" t="str">
        <x:v>引擎源码测试；Windows 可构建性及服务依赖需核对</x:v>
      </x:c>
      <x:c r="H750" s="10" t="str">
        <x:v>pkg/vfs/vfs_test.go:363</x:v>
      </x:c>
      <x:c r="I750" s="10" t="str">
        <x:v>https://github.com/juicedata/juicefs/blob/30190ca1094d26e85f19a979ca51b0ea19af1eaa/pkg/vfs/vfs_test.go#L363</x:v>
      </x:c>
      <x:c r="J750" s="10" t="str">
        <x:v>未提升为 Windows 执行项</x:v>
      </x:c>
      <x:c r="K750" s="10" t="str">
        <x:v>见源文件及 CI 条件</x:v>
      </x:c>
      <x:c r="L750" s="10" t="str">
        <x:v>子用例参数与运行时生成序列不计作独立目录项；级别为源码目录初分，未执行项目不能计作通过</x:v>
      </x:c>
    </x:row>
    <x:row r="751" ht="42" customHeight="1">
      <x:c r="A751" s="11" t="str">
        <x:v>UP-07c0a6bb3847</x:v>
      </x:c>
      <x:c r="B751" s="11" t="str">
        <x:v>L1</x:v>
      </x:c>
      <x:c r="C751" s="11" t="str">
        <x:v>文件读写与完整性</x:v>
      </x:c>
      <x:c r="D751" s="11" t="str">
        <x:v>TestAccessMode</x:v>
      </x:c>
      <x:c r="E751" s="11" t="str">
        <x:v>Go 测试入口</x:v>
      </x:c>
      <x:c r="F751" s="11" t="str">
        <x:v>待执行</x:v>
      </x:c>
      <x:c r="G751" s="11" t="str">
        <x:v>引擎源码测试；Windows 可构建性及服务依赖需核对</x:v>
      </x:c>
      <x:c r="H751" s="11" t="str">
        <x:v>pkg/vfs/vfs_test.go:459</x:v>
      </x:c>
      <x:c r="I751" s="11" t="str">
        <x:v>https://github.com/juicedata/juicefs/blob/30190ca1094d26e85f19a979ca51b0ea19af1eaa/pkg/vfs/vfs_test.go#L459</x:v>
      </x:c>
      <x:c r="J751" s="11" t="str">
        <x:v>未提升为 Windows 执行项</x:v>
      </x:c>
      <x:c r="K751" s="11" t="str">
        <x:v>见源文件及 CI 条件</x:v>
      </x:c>
      <x:c r="L751" s="11" t="str">
        <x:v>子用例参数与运行时生成序列不计作独立目录项；级别为源码目录初分，未执行项目不能计作通过</x:v>
      </x:c>
    </x:row>
    <x:row r="752" ht="42" customHeight="1">
      <x:c r="A752" s="10" t="str">
        <x:v>UP-407d14a112ec</x:v>
      </x:c>
      <x:c r="B752" s="10" t="str">
        <x:v>L1</x:v>
      </x:c>
      <x:c r="C752" s="10" t="str">
        <x:v>文件读写与完整性</x:v>
      </x:c>
      <x:c r="D752" s="10" t="str">
        <x:v>TestSetattrStr</x:v>
      </x:c>
      <x:c r="E752" s="10" t="str">
        <x:v>Go 测试入口</x:v>
      </x:c>
      <x:c r="F752" s="10" t="str">
        <x:v>待执行</x:v>
      </x:c>
      <x:c r="G752" s="10" t="str">
        <x:v>引擎源码测试；Windows 可构建性及服务依赖需核对</x:v>
      </x:c>
      <x:c r="H752" s="10" t="str">
        <x:v>pkg/vfs/vfs_test.go:490</x:v>
      </x:c>
      <x:c r="I752" s="10" t="str">
        <x:v>https://github.com/juicedata/juicefs/blob/30190ca1094d26e85f19a979ca51b0ea19af1eaa/pkg/vfs/vfs_test.go#L490</x:v>
      </x:c>
      <x:c r="J752" s="10" t="str">
        <x:v>未提升为 Windows 执行项</x:v>
      </x:c>
      <x:c r="K752" s="10" t="str">
        <x:v>见源文件及 CI 条件</x:v>
      </x:c>
      <x:c r="L752" s="10" t="str">
        <x:v>子用例参数与运行时生成序列不计作独立目录项；级别为源码目录初分，未执行项目不能计作通过</x:v>
      </x:c>
    </x:row>
    <x:row r="753" ht="42" customHeight="1">
      <x:c r="A753" s="11" t="str">
        <x:v>UP-2edae31776d4</x:v>
      </x:c>
      <x:c r="B753" s="11" t="str">
        <x:v>L2</x:v>
      </x:c>
      <x:c r="C753" s="11" t="str">
        <x:v>并发与文件锁</x:v>
      </x:c>
      <x:c r="D753" s="11" t="str">
        <x:v>TestVFSLocks</x:v>
      </x:c>
      <x:c r="E753" s="11" t="str">
        <x:v>Go 测试入口</x:v>
      </x:c>
      <x:c r="F753" s="11" t="str">
        <x:v>待执行</x:v>
      </x:c>
      <x:c r="G753" s="11" t="str">
        <x:v>引擎源码测试；Windows 可构建性及服务依赖需核对</x:v>
      </x:c>
      <x:c r="H753" s="11" t="str">
        <x:v>pkg/vfs/vfs_test.go:505</x:v>
      </x:c>
      <x:c r="I753" s="11" t="str">
        <x:v>https://github.com/juicedata/juicefs/blob/30190ca1094d26e85f19a979ca51b0ea19af1eaa/pkg/vfs/vfs_test.go#L505</x:v>
      </x:c>
      <x:c r="J753" s="11" t="str">
        <x:v>未提升为 Windows 执行项</x:v>
      </x:c>
      <x:c r="K753" s="11" t="str">
        <x:v>见源文件及 CI 条件</x:v>
      </x:c>
      <x:c r="L753" s="11" t="str">
        <x:v>子用例参数与运行时生成序列不计作独立目录项；级别为源码目录初分，未执行项目不能计作通过</x:v>
      </x:c>
    </x:row>
    <x:row r="754" ht="42" customHeight="1">
      <x:c r="A754" s="10" t="str">
        <x:v>UP-508e31746e51</x:v>
      </x:c>
      <x:c r="B754" s="10" t="str">
        <x:v>L1</x:v>
      </x:c>
      <x:c r="C754" s="10" t="str">
        <x:v>文件读写与完整性</x:v>
      </x:c>
      <x:c r="D754" s="10" t="str">
        <x:v>TestInternalFile</x:v>
      </x:c>
      <x:c r="E754" s="10" t="str">
        <x:v>Go 测试入口</x:v>
      </x:c>
      <x:c r="F754" s="10" t="str">
        <x:v>待执行</x:v>
      </x:c>
      <x:c r="G754" s="10" t="str">
        <x:v>引擎源码测试；Windows 可构建性及服务依赖需核对</x:v>
      </x:c>
      <x:c r="H754" s="10" t="str">
        <x:v>pkg/vfs/vfs_test.go:606</x:v>
      </x:c>
      <x:c r="I754" s="10" t="str">
        <x:v>https://github.com/juicedata/juicefs/blob/30190ca1094d26e85f19a979ca51b0ea19af1eaa/pkg/vfs/vfs_test.go#L606</x:v>
      </x:c>
      <x:c r="J754" s="10" t="str">
        <x:v>未提升为 Windows 执行项</x:v>
      </x:c>
      <x:c r="K754" s="10" t="str">
        <x:v>见源文件及 CI 条件</x:v>
      </x:c>
      <x:c r="L754" s="10" t="str">
        <x:v>子用例参数与运行时生成序列不计作独立目录项；级别为源码目录初分，未执行项目不能计作通过</x:v>
      </x:c>
    </x:row>
    <x:row r="755" ht="42" customHeight="1">
      <x:c r="A755" s="11" t="str">
        <x:v>UP-25885d7141e6</x:v>
      </x:c>
      <x:c r="B755" s="11" t="str">
        <x:v>L2</x:v>
      </x:c>
      <x:c r="C755" s="11" t="str">
        <x:v>缓存与后台上传</x:v>
      </x:c>
      <x:c r="D755" s="11" t="str">
        <x:v>TestReaddirCache</x:v>
      </x:c>
      <x:c r="E755" s="11" t="str">
        <x:v>Go 测试入口</x:v>
      </x:c>
      <x:c r="F755" s="11" t="str">
        <x:v>待执行</x:v>
      </x:c>
      <x:c r="G755" s="11" t="str">
        <x:v>引擎源码测试；Windows 可构建性及服务依赖需核对</x:v>
      </x:c>
      <x:c r="H755" s="11" t="str">
        <x:v>pkg/vfs/vfs_test.go:876</x:v>
      </x:c>
      <x:c r="I755" s="11" t="str">
        <x:v>https://github.com/juicedata/juicefs/blob/30190ca1094d26e85f19a979ca51b0ea19af1eaa/pkg/vfs/vfs_test.go#L876</x:v>
      </x:c>
      <x:c r="J755" s="11" t="str">
        <x:v>未提升为 Windows 执行项</x:v>
      </x:c>
      <x:c r="K755" s="11" t="str">
        <x:v>见源文件及 CI 条件</x:v>
      </x:c>
      <x:c r="L755" s="11" t="str">
        <x:v>子用例参数与运行时生成序列不计作独立目录项；级别为源码目录初分，未执行项目不能计作通过</x:v>
      </x:c>
    </x:row>
    <x:row r="756" ht="42" customHeight="1">
      <x:c r="A756" s="10" t="str">
        <x:v>UP-9be88915034b</x:v>
      </x:c>
      <x:c r="B756" s="10" t="str">
        <x:v>L2</x:v>
      </x:c>
      <x:c r="C756" s="10" t="str">
        <x:v>缓存与后台上传</x:v>
      </x:c>
      <x:c r="D756" s="10" t="str">
        <x:v>testReaddirCache</x:v>
      </x:c>
      <x:c r="E756" s="10" t="str">
        <x:v>Go 子场景</x:v>
      </x:c>
      <x:c r="F756" s="10" t="str">
        <x:v>待执行</x:v>
      </x:c>
      <x:c r="G756" s="10" t="str">
        <x:v>引擎源码测试；Windows 可构建性及服务依赖需核对</x:v>
      </x:c>
      <x:c r="H756" s="10" t="str">
        <x:v>pkg/vfs/vfs_test.go:888</x:v>
      </x:c>
      <x:c r="I756" s="10" t="str">
        <x:v>https://github.com/juicedata/juicefs/blob/30190ca1094d26e85f19a979ca51b0ea19af1eaa/pkg/vfs/vfs_test.go#L888</x:v>
      </x:c>
      <x:c r="J756" s="10" t="str">
        <x:v>未提升为 Windows 执行项</x:v>
      </x:c>
      <x:c r="K756" s="10" t="str">
        <x:v>见源文件及 CI 条件</x:v>
      </x:c>
      <x:c r="L756" s="10" t="str">
        <x:v>子用例参数与运行时生成序列不计作独立目录项；级别为源码目录初分，未执行项目不能计作通过</x:v>
      </x:c>
    </x:row>
    <x:row r="757" ht="42" customHeight="1">
      <x:c r="A757" s="11" t="str">
        <x:v>UP-205ca6b2271b</x:v>
      </x:c>
      <x:c r="B757" s="11" t="str">
        <x:v>L2</x:v>
      </x:c>
      <x:c r="C757" s="11" t="str">
        <x:v>命名与目录</x:v>
      </x:c>
      <x:c r="D757" s="11" t="str">
        <x:v>TestVFSReadDirSort</x:v>
      </x:c>
      <x:c r="E757" s="11" t="str">
        <x:v>Go 测试入口</x:v>
      </x:c>
      <x:c r="F757" s="11" t="str">
        <x:v>待执行</x:v>
      </x:c>
      <x:c r="G757" s="11" t="str">
        <x:v>引擎源码测试；Windows 可构建性及服务依赖需核对</x:v>
      </x:c>
      <x:c r="H757" s="11" t="str">
        <x:v>pkg/vfs/vfs_test.go:986</x:v>
      </x:c>
      <x:c r="I757" s="11" t="str">
        <x:v>https://github.com/juicedata/juicefs/blob/30190ca1094d26e85f19a979ca51b0ea19af1eaa/pkg/vfs/vfs_test.go#L986</x:v>
      </x:c>
      <x:c r="J757" s="11" t="str">
        <x:v>未提升为 Windows 执行项</x:v>
      </x:c>
      <x:c r="K757" s="11" t="str">
        <x:v>见源文件及 CI 条件</x:v>
      </x:c>
      <x:c r="L757" s="11" t="str">
        <x:v>子用例参数与运行时生成序列不计作独立目录项；级别为源码目录初分，未执行项目不能计作通过</x:v>
      </x:c>
    </x:row>
    <x:row r="758" ht="42" customHeight="1">
      <x:c r="A758" s="10" t="str">
        <x:v>UP-df9db8bdeb19</x:v>
      </x:c>
      <x:c r="B758" s="10" t="str">
        <x:v>L2</x:v>
      </x:c>
      <x:c r="C758" s="10" t="str">
        <x:v>命名与目录</x:v>
      </x:c>
      <x:c r="D758" s="10" t="str">
        <x:v>testVFSReadDirSort</x:v>
      </x:c>
      <x:c r="E758" s="10" t="str">
        <x:v>Go 子场景</x:v>
      </x:c>
      <x:c r="F758" s="10" t="str">
        <x:v>待执行</x:v>
      </x:c>
      <x:c r="G758" s="10" t="str">
        <x:v>引擎源码测试；Windows 可构建性及服务依赖需核对</x:v>
      </x:c>
      <x:c r="H758" s="10" t="str">
        <x:v>pkg/vfs/vfs_test.go:992</x:v>
      </x:c>
      <x:c r="I758" s="10" t="str">
        <x:v>https://github.com/juicedata/juicefs/blob/30190ca1094d26e85f19a979ca51b0ea19af1eaa/pkg/vfs/vfs_test.go#L992</x:v>
      </x:c>
      <x:c r="J758" s="10" t="str">
        <x:v>未提升为 Windows 执行项</x:v>
      </x:c>
      <x:c r="K758" s="10" t="str">
        <x:v>见源文件及 CI 条件</x:v>
      </x:c>
      <x:c r="L758" s="10" t="str">
        <x:v>子用例参数与运行时生成序列不计作独立目录项；级别为源码目录初分，未执行项目不能计作通过</x:v>
      </x:c>
    </x:row>
    <x:row r="759" ht="42" customHeight="1">
      <x:c r="A759" s="11" t="str">
        <x:v>UP-dd0eeea94d65</x:v>
      </x:c>
      <x:c r="B759" s="11" t="str">
        <x:v>L2</x:v>
      </x:c>
      <x:c r="C759" s="11" t="str">
        <x:v>命名与目录</x:v>
      </x:c>
      <x:c r="D759" s="11" t="str">
        <x:v>testReaddirBatch</x:v>
      </x:c>
      <x:c r="E759" s="11" t="str">
        <x:v>Go 子场景</x:v>
      </x:c>
      <x:c r="F759" s="11" t="str">
        <x:v>待执行</x:v>
      </x:c>
      <x:c r="G759" s="11" t="str">
        <x:v>引擎源码测试；Windows 可构建性及服务依赖需核对</x:v>
      </x:c>
      <x:c r="H759" s="11" t="str">
        <x:v>pkg/vfs/vfs_test.go:1031</x:v>
      </x:c>
      <x:c r="I759" s="11" t="str">
        <x:v>https://github.com/juicedata/juicefs/blob/30190ca1094d26e85f19a979ca51b0ea19af1eaa/pkg/vfs/vfs_test.go#L1031</x:v>
      </x:c>
      <x:c r="J759" s="11" t="str">
        <x:v>未提升为 Windows 执行项</x:v>
      </x:c>
      <x:c r="K759" s="11" t="str">
        <x:v>见源文件及 CI 条件</x:v>
      </x:c>
      <x:c r="L759" s="11" t="str">
        <x:v>子用例参数与运行时生成序列不计作独立目录项；级别为源码目录初分，未执行项目不能计作通过</x:v>
      </x:c>
    </x:row>
    <x:row r="760" ht="42" customHeight="1">
      <x:c r="A760" s="10" t="str">
        <x:v>UP-875cc30b0cdc</x:v>
      </x:c>
      <x:c r="B760" s="10" t="str">
        <x:v>L2</x:v>
      </x:c>
      <x:c r="C760" s="10" t="str">
        <x:v>命名与目录</x:v>
      </x:c>
      <x:c r="D760" s="10" t="str">
        <x:v>TestReadDirBatch</x:v>
      </x:c>
      <x:c r="E760" s="10" t="str">
        <x:v>Go 测试入口</x:v>
      </x:c>
      <x:c r="F760" s="10" t="str">
        <x:v>待执行</x:v>
      </x:c>
      <x:c r="G760" s="10" t="str">
        <x:v>引擎源码测试；Windows 可构建性及服务依赖需核对</x:v>
      </x:c>
      <x:c r="H760" s="10" t="str">
        <x:v>pkg/vfs/vfs_test.go:1094</x:v>
      </x:c>
      <x:c r="I760" s="10" t="str">
        <x:v>https://github.com/juicedata/juicefs/blob/30190ca1094d26e85f19a979ca51b0ea19af1eaa/pkg/vfs/vfs_test.go#L1094</x:v>
      </x:c>
      <x:c r="J760" s="10" t="str">
        <x:v>未提升为 Windows 执行项</x:v>
      </x:c>
      <x:c r="K760" s="10" t="str">
        <x:v>见源文件及 CI 条件</x:v>
      </x:c>
      <x:c r="L760" s="10" t="str">
        <x:v>子用例参数与运行时生成序列不计作独立目录项；级别为源码目录初分，未执行项目不能计作通过</x:v>
      </x:c>
    </x:row>
    <x:row r="761" ht="42" customHeight="1">
      <x:c r="A761" s="11" t="str">
        <x:v>UP-bf7297695770</x:v>
      </x:c>
      <x:c r="B761" s="11" t="str">
        <x:v>L2</x:v>
      </x:c>
      <x:c r="C761" s="11" t="str">
        <x:v>命名与目录</x:v>
      </x:c>
      <x:c r="D761" s="11" t="str">
        <x:v>TestReaddir</x:v>
      </x:c>
      <x:c r="E761" s="11" t="str">
        <x:v>Go 测试入口</x:v>
      </x:c>
      <x:c r="F761" s="11" t="str">
        <x:v>待执行</x:v>
      </x:c>
      <x:c r="G761" s="11" t="str">
        <x:v>引擎源码测试；Windows 可构建性及服务依赖需核对</x:v>
      </x:c>
      <x:c r="H761" s="11" t="str">
        <x:v>pkg/vfs/vfs_test.go:1106</x:v>
      </x:c>
      <x:c r="I761" s="11" t="str">
        <x:v>https://github.com/juicedata/juicefs/blob/30190ca1094d26e85f19a979ca51b0ea19af1eaa/pkg/vfs/vfs_test.go#L1106</x:v>
      </x:c>
      <x:c r="J761" s="11" t="str">
        <x:v>未提升为 Windows 执行项</x:v>
      </x:c>
      <x:c r="K761" s="11" t="str">
        <x:v>见源文件及 CI 条件</x:v>
      </x:c>
      <x:c r="L761" s="11" t="str">
        <x:v>子用例参数与运行时生成序列不计作独立目录项；级别为源码目录初分，未执行项目不能计作通过</x:v>
      </x:c>
    </x:row>
    <x:row r="762" ht="42" customHeight="1">
      <x:c r="A762" s="10" t="str">
        <x:v>UP-c3255f3e9710</x:v>
      </x:c>
      <x:c r="B762" s="10" t="str">
        <x:v>L2</x:v>
      </x:c>
      <x:c r="C762" s="10" t="str">
        <x:v>命名与目录</x:v>
      </x:c>
      <x:c r="D762" s="10" t="str">
        <x:v>testReaddir</x:v>
      </x:c>
      <x:c r="E762" s="10" t="str">
        <x:v>Go 子场景</x:v>
      </x:c>
      <x:c r="F762" s="10" t="str">
        <x:v>待执行</x:v>
      </x:c>
      <x:c r="G762" s="10" t="str">
        <x:v>引擎源码测试；Windows 可构建性及服务依赖需核对</x:v>
      </x:c>
      <x:c r="H762" s="10" t="str">
        <x:v>pkg/vfs/vfs_test.go:1122</x:v>
      </x:c>
      <x:c r="I762" s="10" t="str">
        <x:v>https://github.com/juicedata/juicefs/blob/30190ca1094d26e85f19a979ca51b0ea19af1eaa/pkg/vfs/vfs_test.go#L1122</x:v>
      </x:c>
      <x:c r="J762" s="10" t="str">
        <x:v>未提升为 Windows 执行项</x:v>
      </x:c>
      <x:c r="K762" s="10" t="str">
        <x:v>见源文件及 CI 条件</x:v>
      </x:c>
      <x:c r="L762" s="10" t="str">
        <x:v>子用例参数与运行时生成序列不计作独立目录项；级别为源码目录初分，未执行项目不能计作通过</x:v>
      </x:c>
    </x:row>
    <x:row r="763" ht="42" customHeight="1">
      <x:c r="A763" s="11" t="str">
        <x:v>UP-4eee7deb3397</x:v>
      </x:c>
      <x:c r="B763" s="11" t="str">
        <x:v>L5</x:v>
      </x:c>
      <x:c r="C763" s="11" t="str">
        <x:v>平台与扩展边界</x:v>
      </x:c>
      <x:c r="D763" s="11" t="str">
        <x:v>TestSanitize</x:v>
      </x:c>
      <x:c r="E763" s="11" t="str">
        <x:v>Go 测试入口</x:v>
      </x:c>
      <x:c r="F763" s="11" t="str">
        <x:v>待执行</x:v>
      </x:c>
      <x:c r="G763" s="11" t="str">
        <x:v>SDK 范围；产品未直接使用此入口</x:v>
      </x:c>
      <x:c r="H763" s="11" t="str">
        <x:v>sdk/java/libjfs/bridge_test.go:36</x:v>
      </x:c>
      <x:c r="I763" s="11" t="str">
        <x:v>https://github.com/juicedata/juicefs/blob/30190ca1094d26e85f19a979ca51b0ea19af1eaa/sdk/java/libjfs/bridge_test.go#L36</x:v>
      </x:c>
      <x:c r="J763" s="11" t="str">
        <x:v>未提升为 Windows 执行项</x:v>
      </x:c>
      <x:c r="K763" s="11" t="str">
        <x:v>见源文件及 CI 条件</x:v>
      </x:c>
      <x:c r="L763" s="11" t="str">
        <x:v>子用例参数与运行时生成序列不计作独立目录项；级别为源码目录初分，未执行项目不能计作通过</x:v>
      </x:c>
    </x:row>
    <x:row r="764" ht="42" customHeight="1">
      <x:c r="A764" s="10" t="str">
        <x:v>UP-87555401cc75</x:v>
      </x:c>
      <x:c r="B764" s="10" t="str">
        <x:v>L5</x:v>
      </x:c>
      <x:c r="C764" s="10" t="str">
        <x:v>平台与扩展边界</x:v>
      </x:c>
      <x:c r="D764" s="10" t="str">
        <x:v>TestWriteSummary</x:v>
      </x:c>
      <x:c r="E764" s="10" t="str">
        <x:v>Go 测试入口</x:v>
      </x:c>
      <x:c r="F764" s="10" t="str">
        <x:v>待执行</x:v>
      </x:c>
      <x:c r="G764" s="10" t="str">
        <x:v>SDK 范围；产品未直接使用此入口</x:v>
      </x:c>
      <x:c r="H764" s="10" t="str">
        <x:v>sdk/java/libjfs/bridge_test.go:66</x:v>
      </x:c>
      <x:c r="I764" s="10" t="str">
        <x:v>https://github.com/juicedata/juicefs/blob/30190ca1094d26e85f19a979ca51b0ea19af1eaa/sdk/java/libjfs/bridge_test.go#L66</x:v>
      </x:c>
      <x:c r="J764" s="10" t="str">
        <x:v>未提升为 Windows 执行项</x:v>
      </x:c>
      <x:c r="K764" s="10" t="str">
        <x:v>见源文件及 CI 条件</x:v>
      </x:c>
      <x:c r="L764" s="10" t="str">
        <x:v>子用例参数与运行时生成序列不计作独立目录项；级别为源码目录初分，未执行项目不能计作通过</x:v>
      </x:c>
    </x:row>
    <x:row r="765" ht="42" customHeight="1">
      <x:c r="A765" s="11" t="str">
        <x:v>UP-d07293b73545</x:v>
      </x:c>
      <x:c r="B765" s="11" t="str">
        <x:v>L5</x:v>
      </x:c>
      <x:c r="C765" s="11" t="str">
        <x:v>平台与扩展边界</x:v>
      </x:c>
      <x:c r="D765" s="11" t="str">
        <x:v>testWriteSummary</x:v>
      </x:c>
      <x:c r="E765" s="11" t="str">
        <x:v>Go 子场景</x:v>
      </x:c>
      <x:c r="F765" s="11" t="str">
        <x:v>待执行</x:v>
      </x:c>
      <x:c r="G765" s="11" t="str">
        <x:v>SDK 范围；产品未直接使用此入口</x:v>
      </x:c>
      <x:c r="H765" s="11" t="str">
        <x:v>sdk/java/libjfs/bridge_test.go:71</x:v>
      </x:c>
      <x:c r="I765" s="11" t="str">
        <x:v>https://github.com/juicedata/juicefs/blob/30190ca1094d26e85f19a979ca51b0ea19af1eaa/sdk/java/libjfs/bridge_test.go#L71</x:v>
      </x:c>
      <x:c r="J765" s="11" t="str">
        <x:v>未提升为 Windows 执行项</x:v>
      </x:c>
      <x:c r="K765" s="11" t="str">
        <x:v>见源文件及 CI 条件</x:v>
      </x:c>
      <x:c r="L765" s="11" t="str">
        <x:v>子用例参数与运行时生成序列不计作独立目录项；级别为源码目录初分，未执行项目不能计作通过</x:v>
      </x:c>
    </x:row>
    <x:row r="766" ht="42" customHeight="1">
      <x:c r="A766" s="10" t="str">
        <x:v>UP-977a06ae55fd</x:v>
      </x:c>
      <x:c r="B766" s="10" t="str">
        <x:v>L5</x:v>
      </x:c>
      <x:c r="C766" s="10" t="str">
        <x:v>平台与扩展边界</x:v>
      </x:c>
      <x:c r="D766" s="10" t="str">
        <x:v>TestWriteHistogram</x:v>
      </x:c>
      <x:c r="E766" s="10" t="str">
        <x:v>Go 测试入口</x:v>
      </x:c>
      <x:c r="F766" s="10" t="str">
        <x:v>待执行</x:v>
      </x:c>
      <x:c r="G766" s="10" t="str">
        <x:v>SDK 范围；产品未直接使用此入口</x:v>
      </x:c>
      <x:c r="H766" s="10" t="str">
        <x:v>sdk/java/libjfs/bridge_test.go:162</x:v>
      </x:c>
      <x:c r="I766" s="10" t="str">
        <x:v>https://github.com/juicedata/juicefs/blob/30190ca1094d26e85f19a979ca51b0ea19af1eaa/sdk/java/libjfs/bridge_test.go#L162</x:v>
      </x:c>
      <x:c r="J766" s="10" t="str">
        <x:v>未提升为 Windows 执行项</x:v>
      </x:c>
      <x:c r="K766" s="10" t="str">
        <x:v>见源文件及 CI 条件</x:v>
      </x:c>
      <x:c r="L766" s="10" t="str">
        <x:v>子用例参数与运行时生成序列不计作独立目录项；级别为源码目录初分，未执行项目不能计作通过</x:v>
      </x:c>
    </x:row>
    <x:row r="767" ht="42" customHeight="1">
      <x:c r="A767" s="11" t="str">
        <x:v>UP-8283a55b7206</x:v>
      </x:c>
      <x:c r="B767" s="11" t="str">
        <x:v>L5</x:v>
      </x:c>
      <x:c r="C767" s="11" t="str">
        <x:v>平台与扩展边界</x:v>
      </x:c>
      <x:c r="D767" s="11" t="str">
        <x:v>testWriteHistogram</x:v>
      </x:c>
      <x:c r="E767" s="11" t="str">
        <x:v>Go 子场景</x:v>
      </x:c>
      <x:c r="F767" s="11" t="str">
        <x:v>待执行</x:v>
      </x:c>
      <x:c r="G767" s="11" t="str">
        <x:v>SDK 范围；产品未直接使用此入口</x:v>
      </x:c>
      <x:c r="H767" s="11" t="str">
        <x:v>sdk/java/libjfs/bridge_test.go:167</x:v>
      </x:c>
      <x:c r="I767" s="11" t="str">
        <x:v>https://github.com/juicedata/juicefs/blob/30190ca1094d26e85f19a979ca51b0ea19af1eaa/sdk/java/libjfs/bridge_test.go#L167</x:v>
      </x:c>
      <x:c r="J767" s="11" t="str">
        <x:v>未提升为 Windows 执行项</x:v>
      </x:c>
      <x:c r="K767" s="11" t="str">
        <x:v>见源文件及 CI 条件</x:v>
      </x:c>
      <x:c r="L767" s="11" t="str">
        <x:v>子用例参数与运行时生成序列不计作独立目录项；级别为源码目录初分，未执行项目不能计作通过</x:v>
      </x:c>
    </x:row>
    <x:row r="768" ht="42" customHeight="1">
      <x:c r="A768" s="10" t="str">
        <x:v>UP-d8ff4e6b9b11</x:v>
      </x:c>
      <x:c r="B768" s="10" t="str">
        <x:v>L5</x:v>
      </x:c>
      <x:c r="C768" s="10" t="str">
        <x:v>平台与扩展边界</x:v>
      </x:c>
      <x:c r="D768" s="10" t="str">
        <x:v>TestToReader</x:v>
      </x:c>
      <x:c r="E768" s="10" t="str">
        <x:v>Go 测试入口</x:v>
      </x:c>
      <x:c r="F768" s="10" t="str">
        <x:v>待执行</x:v>
      </x:c>
      <x:c r="G768" s="10" t="str">
        <x:v>SDK 范围；产品未直接使用此入口</x:v>
      </x:c>
      <x:c r="H768" s="10" t="str">
        <x:v>sdk/java/libjfs/bridge_test.go:244</x:v>
      </x:c>
      <x:c r="I768" s="10" t="str">
        <x:v>https://github.com/juicedata/juicefs/blob/30190ca1094d26e85f19a979ca51b0ea19af1eaa/sdk/java/libjfs/bridge_test.go#L244</x:v>
      </x:c>
      <x:c r="J768" s="10" t="str">
        <x:v>未提升为 Windows 执行项</x:v>
      </x:c>
      <x:c r="K768" s="10" t="str">
        <x:v>见源文件及 CI 条件</x:v>
      </x:c>
      <x:c r="L768" s="10" t="str">
        <x:v>子用例参数与运行时生成序列不计作独立目录项；级别为源码目录初分，未执行项目不能计作通过</x:v>
      </x:c>
    </x:row>
    <x:row r="769" ht="42" customHeight="1">
      <x:c r="A769" s="11" t="str">
        <x:v>UP-3692819367bd</x:v>
      </x:c>
      <x:c r="B769" s="11" t="str">
        <x:v>L5</x:v>
      </x:c>
      <x:c r="C769" s="11" t="str">
        <x:v>平台与扩展边界</x:v>
      </x:c>
      <x:c r="D769" s="11" t="str">
        <x:v>testToReader</x:v>
      </x:c>
      <x:c r="E769" s="11" t="str">
        <x:v>Go 子场景</x:v>
      </x:c>
      <x:c r="F769" s="11" t="str">
        <x:v>待执行</x:v>
      </x:c>
      <x:c r="G769" s="11" t="str">
        <x:v>SDK 范围；产品未直接使用此入口</x:v>
      </x:c>
      <x:c r="H769" s="11" t="str">
        <x:v>sdk/java/libjfs/bridge_test.go:249</x:v>
      </x:c>
      <x:c r="I769" s="11" t="str">
        <x:v>https://github.com/juicedata/juicefs/blob/30190ca1094d26e85f19a979ca51b0ea19af1eaa/sdk/java/libjfs/bridge_test.go#L249</x:v>
      </x:c>
      <x:c r="J769" s="11" t="str">
        <x:v>未提升为 Windows 执行项</x:v>
      </x:c>
      <x:c r="K769" s="11" t="str">
        <x:v>见源文件及 CI 条件</x:v>
      </x:c>
      <x:c r="L769" s="11" t="str">
        <x:v>子用例参数与运行时生成序列不计作独立目录项；级别为源码目录初分，未执行项目不能计作通过</x:v>
      </x:c>
    </x:row>
    <x:row r="770" ht="42" customHeight="1">
      <x:c r="A770" s="10" t="str">
        <x:v>UP-c800af88a5df</x:v>
      </x:c>
      <x:c r="B770" s="10" t="str">
        <x:v>L5</x:v>
      </x:c>
      <x:c r="C770" s="10" t="str">
        <x:v>平台与扩展边界</x:v>
      </x:c>
      <x:c r="D770" s="10" t="str">
        <x:v>TestPush</x:v>
      </x:c>
      <x:c r="E770" s="10" t="str">
        <x:v>Go 测试入口</x:v>
      </x:c>
      <x:c r="F770" s="10" t="str">
        <x:v>待执行</x:v>
      </x:c>
      <x:c r="G770" s="10" t="str">
        <x:v>SDK 范围；产品未直接使用此入口</x:v>
      </x:c>
      <x:c r="H770" s="10" t="str">
        <x:v>sdk/java/libjfs/bridge_test.go:346</x:v>
      </x:c>
      <x:c r="I770" s="10" t="str">
        <x:v>https://github.com/juicedata/juicefs/blob/30190ca1094d26e85f19a979ca51b0ea19af1eaa/sdk/java/libjfs/bridge_test.go#L346</x:v>
      </x:c>
      <x:c r="J770" s="10" t="str">
        <x:v>未提升为 Windows 执行项</x:v>
      </x:c>
      <x:c r="K770" s="10" t="str">
        <x:v>见源文件及 CI 条件</x:v>
      </x:c>
      <x:c r="L770" s="10" t="str">
        <x:v>子用例参数与运行时生成序列不计作独立目录项；级别为源码目录初分，未执行项目不能计作通过</x:v>
      </x:c>
    </x:row>
    <x:row r="771" ht="42" customHeight="1">
      <x:c r="A771" s="11" t="str">
        <x:v>UP-ce49f1aff95f</x:v>
      </x:c>
      <x:c r="B771" s="11" t="str">
        <x:v>L5</x:v>
      </x:c>
      <x:c r="C771" s="11" t="str">
        <x:v>平台与扩展边界</x:v>
      </x:c>
      <x:c r="D771" s="11" t="str">
        <x:v>ExampleBridge</x:v>
      </x:c>
      <x:c r="E771" s="11" t="str">
        <x:v>Go 示例</x:v>
      </x:c>
      <x:c r="F771" s="11" t="str">
        <x:v>待执行</x:v>
      </x:c>
      <x:c r="G771" s="11" t="str">
        <x:v>SDK 范围；产品未直接使用此入口</x:v>
      </x:c>
      <x:c r="H771" s="11" t="str">
        <x:v>sdk/java/libjfs/bridge_test.go:440</x:v>
      </x:c>
      <x:c r="I771" s="11" t="str">
        <x:v>https://github.com/juicedata/juicefs/blob/30190ca1094d26e85f19a979ca51b0ea19af1eaa/sdk/java/libjfs/bridge_test.go#L440</x:v>
      </x:c>
      <x:c r="J771" s="11" t="str">
        <x:v>未提升为 Windows 执行项</x:v>
      </x:c>
      <x:c r="K771" s="11" t="str">
        <x:v>见源文件及 CI 条件</x:v>
      </x:c>
      <x:c r="L771" s="11" t="str">
        <x:v>子用例参数与运行时生成序列不计作独立目录项；级别为源码目录初分，未执行项目不能计作通过</x:v>
      </x:c>
    </x:row>
    <x:row r="772" ht="42" customHeight="1">
      <x:c r="A772" s="10" t="str">
        <x:v>UP-2a042e9a7156</x:v>
      </x:c>
      <x:c r="B772" s="10" t="str">
        <x:v>L5</x:v>
      </x:c>
      <x:c r="C772" s="10" t="str">
        <x:v>平台与扩展边界</x:v>
      </x:c>
      <x:c r="D772" s="10" t="str">
        <x:v>testAll</x:v>
      </x:c>
      <x:c r="E772" s="10" t="str">
        <x:v>Java 测试</x:v>
      </x:c>
      <x:c r="F772" s="10" t="str">
        <x:v>待执行</x:v>
      </x:c>
      <x:c r="G772" s="10" t="str">
        <x:v>SDK 范围；产品未直接使用此入口</x:v>
      </x:c>
      <x:c r="H772" s="10" t="str">
        <x:v>sdk/java/src/test/java/io/juicefs/acl/TestAclCLI.java:76</x:v>
      </x:c>
      <x:c r="I772" s="10" t="str">
        <x:v>https://github.com/juicedata/juicefs/blob/30190ca1094d26e85f19a979ca51b0ea19af1eaa/sdk/java/src/test/java/io/juicefs/acl/TestAclCLI.java#L76</x:v>
      </x:c>
      <x:c r="J772" s="10" t="str">
        <x:v>未提升为 Windows 执行项</x:v>
      </x:c>
      <x:c r="K772" s="10" t="str">
        <x:v>见源文件及 CI 条件</x:v>
      </x:c>
      <x:c r="L772" s="10" t="str">
        <x:v>级别为源码目录初分，未执行项目不能计作通过</x:v>
      </x:c>
    </x:row>
    <x:row r="773" ht="42" customHeight="1">
      <x:c r="A773" s="11" t="str">
        <x:v>UP-c818ae400cc4</x:v>
      </x:c>
      <x:c r="B773" s="11" t="str">
        <x:v>L5</x:v>
      </x:c>
      <x:c r="C773" s="11" t="str">
        <x:v>平台与扩展边界</x:v>
      </x:c>
      <x:c r="D773" s="11" t="str">
        <x:v>文件入口</x:v>
      </x:c>
      <x:c r="E773" s="11" t="str">
        <x:v>脚本／文件入口</x:v>
      </x:c>
      <x:c r="F773" s="11" t="str">
        <x:v>待执行</x:v>
      </x:c>
      <x:c r="G773" s="11" t="str">
        <x:v>SDK 范围；产品未直接使用此入口</x:v>
      </x:c>
      <x:c r="H773" s="11" t="str">
        <x:v>sdk/java/src/test/java/io/juicefs/contract/JuiceFSContract.java:1</x:v>
      </x:c>
      <x:c r="I773" s="11" t="str">
        <x:v>https://github.com/juicedata/juicefs/blob/30190ca1094d26e85f19a979ca51b0ea19af1eaa/sdk/java/src/test/java/io/juicefs/contract/JuiceFSContract.java#L1</x:v>
      </x:c>
      <x:c r="J773" s="11" t="str">
        <x:v>未提升为 Windows 执行项</x:v>
      </x:c>
      <x:c r="K773" s="11" t="str">
        <x:v>见源文件及 CI 条件</x:v>
      </x:c>
      <x:c r="L773" s="11" t="str">
        <x:v>无可静态枚举的命名测试函数；保留文件范围，不推定已执行；级别为源码目录初分，未执行项目不能计作通过</x:v>
      </x:c>
    </x:row>
    <x:row r="774" ht="42" customHeight="1">
      <x:c r="A774" s="10" t="str">
        <x:v>UP-25685b25c9f9</x:v>
      </x:c>
      <x:c r="B774" s="10" t="str">
        <x:v>L5</x:v>
      </x:c>
      <x:c r="C774" s="10" t="str">
        <x:v>平台与扩展边界</x:v>
      </x:c>
      <x:c r="D774" s="10" t="str">
        <x:v>文件入口</x:v>
      </x:c>
      <x:c r="E774" s="10" t="str">
        <x:v>脚本／文件入口</x:v>
      </x:c>
      <x:c r="F774" s="10" t="str">
        <x:v>待执行</x:v>
      </x:c>
      <x:c r="G774" s="10" t="str">
        <x:v>SDK 范围；产品未直接使用此入口</x:v>
      </x:c>
      <x:c r="H774" s="10" t="str">
        <x:v>sdk/java/src/test/java/io/juicefs/contract/TestAppend.java:1</x:v>
      </x:c>
      <x:c r="I774" s="10" t="str">
        <x:v>https://github.com/juicedata/juicefs/blob/30190ca1094d26e85f19a979ca51b0ea19af1eaa/sdk/java/src/test/java/io/juicefs/contract/TestAppend.java#L1</x:v>
      </x:c>
      <x:c r="J774" s="10" t="str">
        <x:v>未提升为 Windows 执行项</x:v>
      </x:c>
      <x:c r="K774" s="10" t="str">
        <x:v>见源文件及 CI 条件</x:v>
      </x:c>
      <x:c r="L774" s="10" t="str">
        <x:v>无可静态枚举的命名测试函数；保留文件范围，不推定已执行；级别为源码目录初分，未执行项目不能计作通过</x:v>
      </x:c>
    </x:row>
    <x:row r="775" ht="42" customHeight="1">
      <x:c r="A775" s="11" t="str">
        <x:v>UP-9a749967e8da</x:v>
      </x:c>
      <x:c r="B775" s="11" t="str">
        <x:v>L5</x:v>
      </x:c>
      <x:c r="C775" s="11" t="str">
        <x:v>平台与扩展边界</x:v>
      </x:c>
      <x:c r="D775" s="11" t="str">
        <x:v>文件入口</x:v>
      </x:c>
      <x:c r="E775" s="11" t="str">
        <x:v>脚本／文件入口</x:v>
      </x:c>
      <x:c r="F775" s="11" t="str">
        <x:v>待执行</x:v>
      </x:c>
      <x:c r="G775" s="11" t="str">
        <x:v>SDK 范围；产品未直接使用此入口</x:v>
      </x:c>
      <x:c r="H775" s="11" t="str">
        <x:v>sdk/java/src/test/java/io/juicefs/contract/TestConcat.java:1</x:v>
      </x:c>
      <x:c r="I775" s="11" t="str">
        <x:v>https://github.com/juicedata/juicefs/blob/30190ca1094d26e85f19a979ca51b0ea19af1eaa/sdk/java/src/test/java/io/juicefs/contract/TestConcat.java#L1</x:v>
      </x:c>
      <x:c r="J775" s="11" t="str">
        <x:v>未提升为 Windows 执行项</x:v>
      </x:c>
      <x:c r="K775" s="11" t="str">
        <x:v>见源文件及 CI 条件</x:v>
      </x:c>
      <x:c r="L775" s="11" t="str">
        <x:v>无可静态枚举的命名测试函数；保留文件范围，不推定已执行；级别为源码目录初分，未执行项目不能计作通过</x:v>
      </x:c>
    </x:row>
    <x:row r="776" ht="42" customHeight="1">
      <x:c r="A776" s="10" t="str">
        <x:v>UP-83f9352640a2</x:v>
      </x:c>
      <x:c r="B776" s="10" t="str">
        <x:v>L5</x:v>
      </x:c>
      <x:c r="C776" s="10" t="str">
        <x:v>平台与扩展边界</x:v>
      </x:c>
      <x:c r="D776" s="10" t="str">
        <x:v>文件入口</x:v>
      </x:c>
      <x:c r="E776" s="10" t="str">
        <x:v>脚本／文件入口</x:v>
      </x:c>
      <x:c r="F776" s="10" t="str">
        <x:v>待执行</x:v>
      </x:c>
      <x:c r="G776" s="10" t="str">
        <x:v>SDK 范围；产品未直接使用此入口</x:v>
      </x:c>
      <x:c r="H776" s="10" t="str">
        <x:v>sdk/java/src/test/java/io/juicefs/contract/TestCreate.java:1</x:v>
      </x:c>
      <x:c r="I776" s="10" t="str">
        <x:v>https://github.com/juicedata/juicefs/blob/30190ca1094d26e85f19a979ca51b0ea19af1eaa/sdk/java/src/test/java/io/juicefs/contract/TestCreate.java#L1</x:v>
      </x:c>
      <x:c r="J776" s="10" t="str">
        <x:v>未提升为 Windows 执行项</x:v>
      </x:c>
      <x:c r="K776" s="10" t="str">
        <x:v>见源文件及 CI 条件</x:v>
      </x:c>
      <x:c r="L776" s="10" t="str">
        <x:v>无可静态枚举的命名测试函数；保留文件范围，不推定已执行；级别为源码目录初分，未执行项目不能计作通过</x:v>
      </x:c>
    </x:row>
    <x:row r="777" ht="42" customHeight="1">
      <x:c r="A777" s="11" t="str">
        <x:v>UP-a67503c8a038</x:v>
      </x:c>
      <x:c r="B777" s="11" t="str">
        <x:v>L5</x:v>
      </x:c>
      <x:c r="C777" s="11" t="str">
        <x:v>平台与扩展边界</x:v>
      </x:c>
      <x:c r="D777" s="11" t="str">
        <x:v>文件入口</x:v>
      </x:c>
      <x:c r="E777" s="11" t="str">
        <x:v>脚本／文件入口</x:v>
      </x:c>
      <x:c r="F777" s="11" t="str">
        <x:v>待执行</x:v>
      </x:c>
      <x:c r="G777" s="11" t="str">
        <x:v>SDK 范围；产品未直接使用此入口</x:v>
      </x:c>
      <x:c r="H777" s="11" t="str">
        <x:v>sdk/java/src/test/java/io/juicefs/contract/TestDelete.java:1</x:v>
      </x:c>
      <x:c r="I777" s="11" t="str">
        <x:v>https://github.com/juicedata/juicefs/blob/30190ca1094d26e85f19a979ca51b0ea19af1eaa/sdk/java/src/test/java/io/juicefs/contract/TestDelete.java#L1</x:v>
      </x:c>
      <x:c r="J777" s="11" t="str">
        <x:v>未提升为 Windows 执行项</x:v>
      </x:c>
      <x:c r="K777" s="11" t="str">
        <x:v>见源文件及 CI 条件</x:v>
      </x:c>
      <x:c r="L777" s="11" t="str">
        <x:v>无可静态枚举的命名测试函数；保留文件范围，不推定已执行；级别为源码目录初分，未执行项目不能计作通过</x:v>
      </x:c>
    </x:row>
    <x:row r="778" ht="42" customHeight="1">
      <x:c r="A778" s="10" t="str">
        <x:v>UP-da488031c4ff</x:v>
      </x:c>
      <x:c r="B778" s="10" t="str">
        <x:v>L5</x:v>
      </x:c>
      <x:c r="C778" s="10" t="str">
        <x:v>平台与扩展边界</x:v>
      </x:c>
      <x:c r="D778" s="10" t="str">
        <x:v>文件入口</x:v>
      </x:c>
      <x:c r="E778" s="10" t="str">
        <x:v>脚本／文件入口</x:v>
      </x:c>
      <x:c r="F778" s="10" t="str">
        <x:v>待执行</x:v>
      </x:c>
      <x:c r="G778" s="10" t="str">
        <x:v>SDK 范围；产品未直接使用此入口</x:v>
      </x:c>
      <x:c r="H778" s="10" t="str">
        <x:v>sdk/java/src/test/java/io/juicefs/contract/TestGetFileStatus.java:1</x:v>
      </x:c>
      <x:c r="I778" s="10" t="str">
        <x:v>https://github.com/juicedata/juicefs/blob/30190ca1094d26e85f19a979ca51b0ea19af1eaa/sdk/java/src/test/java/io/juicefs/contract/TestGetFileStatus.java#L1</x:v>
      </x:c>
      <x:c r="J778" s="10" t="str">
        <x:v>未提升为 Windows 执行项</x:v>
      </x:c>
      <x:c r="K778" s="10" t="str">
        <x:v>见源文件及 CI 条件</x:v>
      </x:c>
      <x:c r="L778" s="10" t="str">
        <x:v>无可静态枚举的命名测试函数；保留文件范围，不推定已执行；级别为源码目录初分，未执行项目不能计作通过</x:v>
      </x:c>
    </x:row>
    <x:row r="779" ht="42" customHeight="1">
      <x:c r="A779" s="11" t="str">
        <x:v>UP-5f3fe7885d2b</x:v>
      </x:c>
      <x:c r="B779" s="11" t="str">
        <x:v>L5</x:v>
      </x:c>
      <x:c r="C779" s="11" t="str">
        <x:v>平台与扩展边界</x:v>
      </x:c>
      <x:c r="D779" s="11" t="str">
        <x:v>testMkdirsWithUmask</x:v>
      </x:c>
      <x:c r="E779" s="11" t="str">
        <x:v>Java 测试</x:v>
      </x:c>
      <x:c r="F779" s="11" t="str">
        <x:v>待执行</x:v>
      </x:c>
      <x:c r="G779" s="11" t="str">
        <x:v>SDK 范围；产品未直接使用此入口</x:v>
      </x:c>
      <x:c r="H779" s="11" t="str">
        <x:v>sdk/java/src/test/java/io/juicefs/contract/TestJuiceFileSystemContract.java:45</x:v>
      </x:c>
      <x:c r="I779" s="11" t="str">
        <x:v>https://github.com/juicedata/juicefs/blob/30190ca1094d26e85f19a979ca51b0ea19af1eaa/sdk/java/src/test/java/io/juicefs/contract/TestJuiceFileSystemContract.java#L45</x:v>
      </x:c>
      <x:c r="J779" s="11" t="str">
        <x:v>未提升为 Windows 执行项</x:v>
      </x:c>
      <x:c r="K779" s="11" t="str">
        <x:v>见源文件及 CI 条件</x:v>
      </x:c>
      <x:c r="L779" s="11" t="str">
        <x:v>级别为源码目录初分，未执行项目不能计作通过</x:v>
      </x:c>
    </x:row>
    <x:row r="780" ht="42" customHeight="1">
      <x:c r="A780" s="10" t="str">
        <x:v>UP-abc0c8ce0433</x:v>
      </x:c>
      <x:c r="B780" s="10" t="str">
        <x:v>L5</x:v>
      </x:c>
      <x:c r="C780" s="10" t="str">
        <x:v>平台与扩展边界</x:v>
      </x:c>
      <x:c r="D780" s="10" t="str">
        <x:v>文件入口</x:v>
      </x:c>
      <x:c r="E780" s="10" t="str">
        <x:v>脚本／文件入口</x:v>
      </x:c>
      <x:c r="F780" s="10" t="str">
        <x:v>待执行</x:v>
      </x:c>
      <x:c r="G780" s="10" t="str">
        <x:v>SDK 范围；产品未直接使用此入口</x:v>
      </x:c>
      <x:c r="H780" s="10" t="str">
        <x:v>sdk/java/src/test/java/io/juicefs/contract/TestMkdir.java:1</x:v>
      </x:c>
      <x:c r="I780" s="10" t="str">
        <x:v>https://github.com/juicedata/juicefs/blob/30190ca1094d26e85f19a979ca51b0ea19af1eaa/sdk/java/src/test/java/io/juicefs/contract/TestMkdir.java#L1</x:v>
      </x:c>
      <x:c r="J780" s="10" t="str">
        <x:v>未提升为 Windows 执行项</x:v>
      </x:c>
      <x:c r="K780" s="10" t="str">
        <x:v>见源文件及 CI 条件</x:v>
      </x:c>
      <x:c r="L780" s="10" t="str">
        <x:v>无可静态枚举的命名测试函数；保留文件范围，不推定已执行；级别为源码目录初分，未执行项目不能计作通过</x:v>
      </x:c>
    </x:row>
    <x:row r="781" ht="42" customHeight="1">
      <x:c r="A781" s="11" t="str">
        <x:v>UP-f3b87fdf2cd1</x:v>
      </x:c>
      <x:c r="B781" s="11" t="str">
        <x:v>L5</x:v>
      </x:c>
      <x:c r="C781" s="11" t="str">
        <x:v>平台与扩展边界</x:v>
      </x:c>
      <x:c r="D781" s="11" t="str">
        <x:v>文件入口</x:v>
      </x:c>
      <x:c r="E781" s="11" t="str">
        <x:v>脚本／文件入口</x:v>
      </x:c>
      <x:c r="F781" s="11" t="str">
        <x:v>待执行</x:v>
      </x:c>
      <x:c r="G781" s="11" t="str">
        <x:v>SDK 范围；产品未直接使用此入口</x:v>
      </x:c>
      <x:c r="H781" s="11" t="str">
        <x:v>sdk/java/src/test/java/io/juicefs/contract/TestOpen.java:1</x:v>
      </x:c>
      <x:c r="I781" s="11" t="str">
        <x:v>https://github.com/juicedata/juicefs/blob/30190ca1094d26e85f19a979ca51b0ea19af1eaa/sdk/java/src/test/java/io/juicefs/contract/TestOpen.java#L1</x:v>
      </x:c>
      <x:c r="J781" s="11" t="str">
        <x:v>未提升为 Windows 执行项</x:v>
      </x:c>
      <x:c r="K781" s="11" t="str">
        <x:v>见源文件及 CI 条件</x:v>
      </x:c>
      <x:c r="L781" s="11" t="str">
        <x:v>无可静态枚举的命名测试函数；保留文件范围，不推定已执行；级别为源码目录初分，未执行项目不能计作通过</x:v>
      </x:c>
    </x:row>
    <x:row r="782" ht="42" customHeight="1">
      <x:c r="A782" s="10" t="str">
        <x:v>UP-6136328db3d3</x:v>
      </x:c>
      <x:c r="B782" s="10" t="str">
        <x:v>L5</x:v>
      </x:c>
      <x:c r="C782" s="10" t="str">
        <x:v>平台与扩展边界</x:v>
      </x:c>
      <x:c r="D782" s="10" t="str">
        <x:v>文件入口</x:v>
      </x:c>
      <x:c r="E782" s="10" t="str">
        <x:v>脚本／文件入口</x:v>
      </x:c>
      <x:c r="F782" s="10" t="str">
        <x:v>待执行</x:v>
      </x:c>
      <x:c r="G782" s="10" t="str">
        <x:v>SDK 范围；产品未直接使用此入口</x:v>
      </x:c>
      <x:c r="H782" s="10" t="str">
        <x:v>sdk/java/src/test/java/io/juicefs/contract/TestRename.java:1</x:v>
      </x:c>
      <x:c r="I782" s="10" t="str">
        <x:v>https://github.com/juicedata/juicefs/blob/30190ca1094d26e85f19a979ca51b0ea19af1eaa/sdk/java/src/test/java/io/juicefs/contract/TestRename.java#L1</x:v>
      </x:c>
      <x:c r="J782" s="10" t="str">
        <x:v>未提升为 Windows 执行项</x:v>
      </x:c>
      <x:c r="K782" s="10" t="str">
        <x:v>见源文件及 CI 条件</x:v>
      </x:c>
      <x:c r="L782" s="10" t="str">
        <x:v>无可静态枚举的命名测试函数；保留文件范围，不推定已执行；级别为源码目录初分，未执行项目不能计作通过</x:v>
      </x:c>
    </x:row>
    <x:row r="783" ht="42" customHeight="1">
      <x:c r="A783" s="11" t="str">
        <x:v>UP-73a55a9ba140</x:v>
      </x:c>
      <x:c r="B783" s="11" t="str">
        <x:v>L5</x:v>
      </x:c>
      <x:c r="C783" s="11" t="str">
        <x:v>平台与扩展边界</x:v>
      </x:c>
      <x:c r="D783" s="11" t="str">
        <x:v>文件入口</x:v>
      </x:c>
      <x:c r="E783" s="11" t="str">
        <x:v>脚本／文件入口</x:v>
      </x:c>
      <x:c r="F783" s="11" t="str">
        <x:v>待执行</x:v>
      </x:c>
      <x:c r="G783" s="11" t="str">
        <x:v>SDK 范围；产品未直接使用此入口</x:v>
      </x:c>
      <x:c r="H783" s="11" t="str">
        <x:v>sdk/java/src/test/java/io/juicefs/contract/TestSeek.java:1</x:v>
      </x:c>
      <x:c r="I783" s="11" t="str">
        <x:v>https://github.com/juicedata/juicefs/blob/30190ca1094d26e85f19a979ca51b0ea19af1eaa/sdk/java/src/test/java/io/juicefs/contract/TestSeek.java#L1</x:v>
      </x:c>
      <x:c r="J783" s="11" t="str">
        <x:v>未提升为 Windows 执行项</x:v>
      </x:c>
      <x:c r="K783" s="11" t="str">
        <x:v>见源文件及 CI 条件</x:v>
      </x:c>
      <x:c r="L783" s="11" t="str">
        <x:v>无可静态枚举的命名测试函数；保留文件范围，不推定已执行；级别为源码目录初分，未执行项目不能计作通过</x:v>
      </x:c>
    </x:row>
    <x:row r="784" ht="42" customHeight="1">
      <x:c r="A784" s="10" t="str">
        <x:v>UP-d8e0d10f5973</x:v>
      </x:c>
      <x:c r="B784" s="10" t="str">
        <x:v>L5</x:v>
      </x:c>
      <x:c r="C784" s="10" t="str">
        <x:v>平台与扩展边界</x:v>
      </x:c>
      <x:c r="D784" s="10" t="str">
        <x:v>文件入口</x:v>
      </x:c>
      <x:c r="E784" s="10" t="str">
        <x:v>脚本／文件入口</x:v>
      </x:c>
      <x:c r="F784" s="10" t="str">
        <x:v>待执行</x:v>
      </x:c>
      <x:c r="G784" s="10" t="str">
        <x:v>SDK 范围；产品未直接使用此入口</x:v>
      </x:c>
      <x:c r="H784" s="10" t="str">
        <x:v>sdk/java/src/test/java/io/juicefs/contract/TestSetTimes.java:1</x:v>
      </x:c>
      <x:c r="I784" s="10" t="str">
        <x:v>https://github.com/juicedata/juicefs/blob/30190ca1094d26e85f19a979ca51b0ea19af1eaa/sdk/java/src/test/java/io/juicefs/contract/TestSetTimes.java#L1</x:v>
      </x:c>
      <x:c r="J784" s="10" t="str">
        <x:v>未提升为 Windows 执行项</x:v>
      </x:c>
      <x:c r="K784" s="10" t="str">
        <x:v>见源文件及 CI 条件</x:v>
      </x:c>
      <x:c r="L784" s="10" t="str">
        <x:v>无可静态枚举的命名测试函数；保留文件范围，不推定已执行；级别为源码目录初分，未执行项目不能计作通过</x:v>
      </x:c>
    </x:row>
    <x:row r="785" ht="42" customHeight="1">
      <x:c r="A785" s="11" t="str">
        <x:v>UP-88341975adcc</x:v>
      </x:c>
      <x:c r="B785" s="11" t="str">
        <x:v>L5</x:v>
      </x:c>
      <x:c r="C785" s="11" t="str">
        <x:v>平台与扩展边界</x:v>
      </x:c>
      <x:c r="D785" s="11" t="str">
        <x:v>testJuiceFileSystemBgTask</x:v>
      </x:c>
      <x:c r="E785" s="11" t="str">
        <x:v>Java 测试</x:v>
      </x:c>
      <x:c r="F785" s="11" t="str">
        <x:v>待执行</x:v>
      </x:c>
      <x:c r="G785" s="11" t="str">
        <x:v>SDK 范围；产品未直接使用此入口</x:v>
      </x:c>
      <x:c r="H785" s="11" t="str">
        <x:v>sdk/java/src/test/java/io/juicefs/JuiceFileSystemBgTaskTest.java:36</x:v>
      </x:c>
      <x:c r="I785" s="11" t="str">
        <x:v>https://github.com/juicedata/juicefs/blob/30190ca1094d26e85f19a979ca51b0ea19af1eaa/sdk/java/src/test/java/io/juicefs/JuiceFileSystemBgTaskTest.java#L36</x:v>
      </x:c>
      <x:c r="J785" s="11" t="str">
        <x:v>未提升为 Windows 执行项</x:v>
      </x:c>
      <x:c r="K785" s="11" t="str">
        <x:v>见源文件及 CI 条件</x:v>
      </x:c>
      <x:c r="L785" s="11" t="str">
        <x:v>级别为源码目录初分，未执行项目不能计作通过</x:v>
      </x:c>
    </x:row>
    <x:row r="786" ht="42" customHeight="1">
      <x:c r="A786" s="10" t="str">
        <x:v>UP-2c46c9571328</x:v>
      </x:c>
      <x:c r="B786" s="10" t="str">
        <x:v>L5</x:v>
      </x:c>
      <x:c r="C786" s="10" t="str">
        <x:v>平台与扩展边界</x:v>
      </x:c>
      <x:c r="D786" s="10" t="str">
        <x:v>testFsStatus</x:v>
      </x:c>
      <x:c r="E786" s="10" t="str">
        <x:v>Java 测试</x:v>
      </x:c>
      <x:c r="F786" s="10" t="str">
        <x:v>待执行</x:v>
      </x:c>
      <x:c r="G786" s="10" t="str">
        <x:v>SDK 范围；产品未直接使用此入口</x:v>
      </x:c>
      <x:c r="H786" s="10" t="str">
        <x:v>sdk/java/src/test/java/io/juicefs/JuiceFileSystemTest.java:81</x:v>
      </x:c>
      <x:c r="I786" s="10" t="str">
        <x:v>https://github.com/juicedata/juicefs/blob/30190ca1094d26e85f19a979ca51b0ea19af1eaa/sdk/java/src/test/java/io/juicefs/JuiceFileSystemTest.java#L81</x:v>
      </x:c>
      <x:c r="J786" s="10" t="str">
        <x:v>未提升为 Windows 执行项</x:v>
      </x:c>
      <x:c r="K786" s="10" t="str">
        <x:v>见源文件及 CI 条件</x:v>
      </x:c>
      <x:c r="L786" s="10" t="str">
        <x:v>级别为源码目录初分，未执行项目不能计作通过</x:v>
      </x:c>
    </x:row>
    <x:row r="787" ht="42" customHeight="1">
      <x:c r="A787" s="11" t="str">
        <x:v>UP-9fc80b0fd1cf</x:v>
      </x:c>
      <x:c r="B787" s="11" t="str">
        <x:v>L5</x:v>
      </x:c>
      <x:c r="C787" s="11" t="str">
        <x:v>平台与扩展边界</x:v>
      </x:c>
      <x:c r="D787" s="11" t="str">
        <x:v>testSummary</x:v>
      </x:c>
      <x:c r="E787" s="11" t="str">
        <x:v>Java 测试</x:v>
      </x:c>
      <x:c r="F787" s="11" t="str">
        <x:v>待执行</x:v>
      </x:c>
      <x:c r="G787" s="11" t="str">
        <x:v>SDK 范围；产品未直接使用此入口</x:v>
      </x:c>
      <x:c r="H787" s="11" t="str">
        <x:v>sdk/java/src/test/java/io/juicefs/JuiceFileSystemTest.java:87</x:v>
      </x:c>
      <x:c r="I787" s="11" t="str">
        <x:v>https://github.com/juicedata/juicefs/blob/30190ca1094d26e85f19a979ca51b0ea19af1eaa/sdk/java/src/test/java/io/juicefs/JuiceFileSystemTest.java#L87</x:v>
      </x:c>
      <x:c r="J787" s="11" t="str">
        <x:v>未提升为 Windows 执行项</x:v>
      </x:c>
      <x:c r="K787" s="11" t="str">
        <x:v>见源文件及 CI 条件</x:v>
      </x:c>
      <x:c r="L787" s="11" t="str">
        <x:v>级别为源码目录初分，未执行项目不能计作通过</x:v>
      </x:c>
    </x:row>
    <x:row r="788" ht="42" customHeight="1">
      <x:c r="A788" s="10" t="str">
        <x:v>UP-7d4eb99386d3</x:v>
      </x:c>
      <x:c r="B788" s="10" t="str">
        <x:v>L5</x:v>
      </x:c>
      <x:c r="C788" s="10" t="str">
        <x:v>平台与扩展边界</x:v>
      </x:c>
      <x:c r="D788" s="10" t="str">
        <x:v>testLongName</x:v>
      </x:c>
      <x:c r="E788" s="10" t="str">
        <x:v>Java 测试</x:v>
      </x:c>
      <x:c r="F788" s="10" t="str">
        <x:v>待执行</x:v>
      </x:c>
      <x:c r="G788" s="10" t="str">
        <x:v>SDK 范围；产品未直接使用此入口</x:v>
      </x:c>
      <x:c r="H788" s="10" t="str">
        <x:v>sdk/java/src/test/java/io/juicefs/JuiceFileSystemTest.java:99</x:v>
      </x:c>
      <x:c r="I788" s="10" t="str">
        <x:v>https://github.com/juicedata/juicefs/blob/30190ca1094d26e85f19a979ca51b0ea19af1eaa/sdk/java/src/test/java/io/juicefs/JuiceFileSystemTest.java#L99</x:v>
      </x:c>
      <x:c r="J788" s="10" t="str">
        <x:v>未提升为 Windows 执行项</x:v>
      </x:c>
      <x:c r="K788" s="10" t="str">
        <x:v>见源文件及 CI 条件</x:v>
      </x:c>
      <x:c r="L788" s="10" t="str">
        <x:v>级别为源码目录初分，未执行项目不能计作通过</x:v>
      </x:c>
    </x:row>
    <x:row r="789" ht="42" customHeight="1">
      <x:c r="A789" s="11" t="str">
        <x:v>UP-431d25631c05</x:v>
      </x:c>
      <x:c r="B789" s="11" t="str">
        <x:v>L5</x:v>
      </x:c>
      <x:c r="C789" s="11" t="str">
        <x:v>平台与扩展边界</x:v>
      </x:c>
      <x:c r="D789" s="11" t="str">
        <x:v>testLocation</x:v>
      </x:c>
      <x:c r="E789" s="11" t="str">
        <x:v>Java 测试</x:v>
      </x:c>
      <x:c r="F789" s="11" t="str">
        <x:v>待执行</x:v>
      </x:c>
      <x:c r="G789" s="11" t="str">
        <x:v>SDK 范围；产品未直接使用此入口</x:v>
      </x:c>
      <x:c r="H789" s="11" t="str">
        <x:v>sdk/java/src/test/java/io/juicefs/JuiceFileSystemTest.java:112</x:v>
      </x:c>
      <x:c r="I789" s="11" t="str">
        <x:v>https://github.com/juicedata/juicefs/blob/30190ca1094d26e85f19a979ca51b0ea19af1eaa/sdk/java/src/test/java/io/juicefs/JuiceFileSystemTest.java#L112</x:v>
      </x:c>
      <x:c r="J789" s="11" t="str">
        <x:v>未提升为 Windows 执行项</x:v>
      </x:c>
      <x:c r="K789" s="11" t="str">
        <x:v>见源文件及 CI 条件</x:v>
      </x:c>
      <x:c r="L789" s="11" t="str">
        <x:v>级别为源码目录初分，未执行项目不能计作通过</x:v>
      </x:c>
    </x:row>
    <x:row r="790" ht="42" customHeight="1">
      <x:c r="A790" s="10" t="str">
        <x:v>UP-6e73db6c1378</x:v>
      </x:c>
      <x:c r="B790" s="10" t="str">
        <x:v>L5</x:v>
      </x:c>
      <x:c r="C790" s="10" t="str">
        <x:v>平台与扩展边界</x:v>
      </x:c>
      <x:c r="D790" s="10" t="str">
        <x:v>testReadWrite</x:v>
      </x:c>
      <x:c r="E790" s="10" t="str">
        <x:v>Java 测试</x:v>
      </x:c>
      <x:c r="F790" s="10" t="str">
        <x:v>待执行</x:v>
      </x:c>
      <x:c r="G790" s="10" t="str">
        <x:v>SDK 范围；产品未直接使用此入口</x:v>
      </x:c>
      <x:c r="H790" s="10" t="str">
        <x:v>sdk/java/src/test/java/io/juicefs/JuiceFileSystemTest.java:128</x:v>
      </x:c>
      <x:c r="I790" s="10" t="str">
        <x:v>https://github.com/juicedata/juicefs/blob/30190ca1094d26e85f19a979ca51b0ea19af1eaa/sdk/java/src/test/java/io/juicefs/JuiceFileSystemTest.java#L128</x:v>
      </x:c>
      <x:c r="J790" s="10" t="str">
        <x:v>未提升为 Windows 执行项</x:v>
      </x:c>
      <x:c r="K790" s="10" t="str">
        <x:v>见源文件及 CI 条件</x:v>
      </x:c>
      <x:c r="L790" s="10" t="str">
        <x:v>级别为源码目录初分，未执行项目不能计作通过</x:v>
      </x:c>
    </x:row>
    <x:row r="791" ht="42" customHeight="1">
      <x:c r="A791" s="11" t="str">
        <x:v>UP-0b9b222d2f5e</x:v>
      </x:c>
      <x:c r="B791" s="11" t="str">
        <x:v>L5</x:v>
      </x:c>
      <x:c r="C791" s="11" t="str">
        <x:v>平台与扩展边界</x:v>
      </x:c>
      <x:c r="D791" s="11" t="str">
        <x:v>testWrite</x:v>
      </x:c>
      <x:c r="E791" s="11" t="str">
        <x:v>Java 测试</x:v>
      </x:c>
      <x:c r="F791" s="11" t="str">
        <x:v>待执行</x:v>
      </x:c>
      <x:c r="G791" s="11" t="str">
        <x:v>SDK 范围；产品未直接使用此入口</x:v>
      </x:c>
      <x:c r="H791" s="11" t="str">
        <x:v>sdk/java/src/test/java/io/juicefs/JuiceFileSystemTest.java:155</x:v>
      </x:c>
      <x:c r="I791" s="11" t="str">
        <x:v>https://github.com/juicedata/juicefs/blob/30190ca1094d26e85f19a979ca51b0ea19af1eaa/sdk/java/src/test/java/io/juicefs/JuiceFileSystemTest.java#L155</x:v>
      </x:c>
      <x:c r="J791" s="11" t="str">
        <x:v>未提升为 Windows 执行项</x:v>
      </x:c>
      <x:c r="K791" s="11" t="str">
        <x:v>见源文件及 CI 条件</x:v>
      </x:c>
      <x:c r="L791" s="11" t="str">
        <x:v>级别为源码目录初分，未执行项目不能计作通过</x:v>
      </x:c>
    </x:row>
    <x:row r="792" ht="42" customHeight="1">
      <x:c r="A792" s="10" t="str">
        <x:v>UP-bf8524691833</x:v>
      </x:c>
      <x:c r="B792" s="10" t="str">
        <x:v>L5</x:v>
      </x:c>
      <x:c r="C792" s="10" t="str">
        <x:v>平台与扩展边界</x:v>
      </x:c>
      <x:c r="D792" s="10" t="str">
        <x:v>testReadSkip</x:v>
      </x:c>
      <x:c r="E792" s="10" t="str">
        <x:v>Java 测试</x:v>
      </x:c>
      <x:c r="F792" s="10" t="str">
        <x:v>待执行</x:v>
      </x:c>
      <x:c r="G792" s="10" t="str">
        <x:v>SDK 范围；产品未直接使用此入口</x:v>
      </x:c>
      <x:c r="H792" s="10" t="str">
        <x:v>sdk/java/src/test/java/io/juicefs/JuiceFileSystemTest.java:199</x:v>
      </x:c>
      <x:c r="I792" s="10" t="str">
        <x:v>https://github.com/juicedata/juicefs/blob/30190ca1094d26e85f19a979ca51b0ea19af1eaa/sdk/java/src/test/java/io/juicefs/JuiceFileSystemTest.java#L199</x:v>
      </x:c>
      <x:c r="J792" s="10" t="str">
        <x:v>未提升为 Windows 执行项</x:v>
      </x:c>
      <x:c r="K792" s="10" t="str">
        <x:v>见源文件及 CI 条件</x:v>
      </x:c>
      <x:c r="L792" s="10" t="str">
        <x:v>级别为源码目录初分，未执行项目不能计作通过</x:v>
      </x:c>
    </x:row>
    <x:row r="793" ht="42" customHeight="1">
      <x:c r="A793" s="11" t="str">
        <x:v>UP-70c41f519ea7</x:v>
      </x:c>
      <x:c r="B793" s="11" t="str">
        <x:v>L5</x:v>
      </x:c>
      <x:c r="C793" s="11" t="str">
        <x:v>平台与扩展边界</x:v>
      </x:c>
      <x:c r="D793" s="11" t="str">
        <x:v>testReadAfterClose</x:v>
      </x:c>
      <x:c r="E793" s="11" t="str">
        <x:v>Java 测试</x:v>
      </x:c>
      <x:c r="F793" s="11" t="str">
        <x:v>待执行</x:v>
      </x:c>
      <x:c r="G793" s="11" t="str">
        <x:v>SDK 范围；产品未直接使用此入口</x:v>
      </x:c>
      <x:c r="H793" s="11" t="str">
        <x:v>sdk/java/src/test/java/io/juicefs/JuiceFileSystemTest.java:213</x:v>
      </x:c>
      <x:c r="I793" s="11" t="str">
        <x:v>https://github.com/juicedata/juicefs/blob/30190ca1094d26e85f19a979ca51b0ea19af1eaa/sdk/java/src/test/java/io/juicefs/JuiceFileSystemTest.java#L213</x:v>
      </x:c>
      <x:c r="J793" s="11" t="str">
        <x:v>未提升为 Windows 执行项</x:v>
      </x:c>
      <x:c r="K793" s="11" t="str">
        <x:v>见源文件及 CI 条件</x:v>
      </x:c>
      <x:c r="L793" s="11" t="str">
        <x:v>级别为源码目录初分，未执行项目不能计作通过</x:v>
      </x:c>
    </x:row>
    <x:row r="794" ht="42" customHeight="1">
      <x:c r="A794" s="10" t="str">
        <x:v>UP-2f47ddebe688</x:v>
      </x:c>
      <x:c r="B794" s="10" t="str">
        <x:v>L5</x:v>
      </x:c>
      <x:c r="C794" s="10" t="str">
        <x:v>平台与扩展边界</x:v>
      </x:c>
      <x:c r="D794" s="10" t="str">
        <x:v>testMkdirs</x:v>
      </x:c>
      <x:c r="E794" s="10" t="str">
        <x:v>Java 测试</x:v>
      </x:c>
      <x:c r="F794" s="10" t="str">
        <x:v>待执行</x:v>
      </x:c>
      <x:c r="G794" s="10" t="str">
        <x:v>SDK 范围；产品未直接使用此入口</x:v>
      </x:c>
      <x:c r="H794" s="10" t="str">
        <x:v>sdk/java/src/test/java/io/juicefs/JuiceFileSystemTest.java:230</x:v>
      </x:c>
      <x:c r="I794" s="10" t="str">
        <x:v>https://github.com/juicedata/juicefs/blob/30190ca1094d26e85f19a979ca51b0ea19af1eaa/sdk/java/src/test/java/io/juicefs/JuiceFileSystemTest.java#L230</x:v>
      </x:c>
      <x:c r="J794" s="10" t="str">
        <x:v>未提升为 Windows 执行项</x:v>
      </x:c>
      <x:c r="K794" s="10" t="str">
        <x:v>见源文件及 CI 条件</x:v>
      </x:c>
      <x:c r="L794" s="10" t="str">
        <x:v>级别为源码目录初分，未执行项目不能计作通过</x:v>
      </x:c>
    </x:row>
    <x:row r="795" ht="42" customHeight="1">
      <x:c r="A795" s="11" t="str">
        <x:v>UP-f658b62280e0</x:v>
      </x:c>
      <x:c r="B795" s="11" t="str">
        <x:v>L5</x:v>
      </x:c>
      <x:c r="C795" s="11" t="str">
        <x:v>平台与扩展边界</x:v>
      </x:c>
      <x:c r="D795" s="11" t="str">
        <x:v>testCreateWithoutPermission</x:v>
      </x:c>
      <x:c r="E795" s="11" t="str">
        <x:v>Java 测试</x:v>
      </x:c>
      <x:c r="F795" s="11" t="str">
        <x:v>待执行</x:v>
      </x:c>
      <x:c r="G795" s="11" t="str">
        <x:v>SDK 范围；产品未直接使用此入口</x:v>
      </x:c>
      <x:c r="H795" s="11" t="str">
        <x:v>sdk/java/src/test/java/io/juicefs/JuiceFileSystemTest.java:244</x:v>
      </x:c>
      <x:c r="I795" s="11" t="str">
        <x:v>https://github.com/juicedata/juicefs/blob/30190ca1094d26e85f19a979ca51b0ea19af1eaa/sdk/java/src/test/java/io/juicefs/JuiceFileSystemTest.java#L244</x:v>
      </x:c>
      <x:c r="J795" s="11" t="str">
        <x:v>未提升为 Windows 执行项</x:v>
      </x:c>
      <x:c r="K795" s="11" t="str">
        <x:v>见源文件及 CI 条件</x:v>
      </x:c>
      <x:c r="L795" s="11" t="str">
        <x:v>级别为源码目录初分，未执行项目不能计作通过</x:v>
      </x:c>
    </x:row>
    <x:row r="796" ht="42" customHeight="1">
      <x:c r="A796" s="10" t="str">
        <x:v>UP-3d6dc70796bf</x:v>
      </x:c>
      <x:c r="B796" s="10" t="str">
        <x:v>L5</x:v>
      </x:c>
      <x:c r="C796" s="10" t="str">
        <x:v>平台与扩展边界</x:v>
      </x:c>
      <x:c r="D796" s="10" t="str">
        <x:v>testCreateNonRecursive</x:v>
      </x:c>
      <x:c r="E796" s="10" t="str">
        <x:v>Java 测试</x:v>
      </x:c>
      <x:c r="F796" s="10" t="str">
        <x:v>待执行</x:v>
      </x:c>
      <x:c r="G796" s="10" t="str">
        <x:v>SDK 范围；产品未直接使用此入口</x:v>
      </x:c>
      <x:c r="H796" s="10" t="str">
        <x:v>sdk/java/src/test/java/io/juicefs/JuiceFileSystemTest.java:262</x:v>
      </x:c>
      <x:c r="I796" s="10" t="str">
        <x:v>https://github.com/juicedata/juicefs/blob/30190ca1094d26e85f19a979ca51b0ea19af1eaa/sdk/java/src/test/java/io/juicefs/JuiceFileSystemTest.java#L262</x:v>
      </x:c>
      <x:c r="J796" s="10" t="str">
        <x:v>未提升为 Windows 执行项</x:v>
      </x:c>
      <x:c r="K796" s="10" t="str">
        <x:v>见源文件及 CI 条件</x:v>
      </x:c>
      <x:c r="L796" s="10" t="str">
        <x:v>级别为源码目录初分，未执行项目不能计作通过</x:v>
      </x:c>
    </x:row>
    <x:row r="797" ht="42" customHeight="1">
      <x:c r="A797" s="11" t="str">
        <x:v>UP-77a3ef6857c0</x:v>
      </x:c>
      <x:c r="B797" s="11" t="str">
        <x:v>L5</x:v>
      </x:c>
      <x:c r="C797" s="11" t="str">
        <x:v>平台与扩展边界</x:v>
      </x:c>
      <x:c r="D797" s="11" t="str">
        <x:v>testTruncate</x:v>
      </x:c>
      <x:c r="E797" s="11" t="str">
        <x:v>Java 测试</x:v>
      </x:c>
      <x:c r="F797" s="11" t="str">
        <x:v>待执行</x:v>
      </x:c>
      <x:c r="G797" s="11" t="str">
        <x:v>SDK 范围；产品未直接使用此入口</x:v>
      </x:c>
      <x:c r="H797" s="11" t="str">
        <x:v>sdk/java/src/test/java/io/juicefs/JuiceFileSystemTest.java:271</x:v>
      </x:c>
      <x:c r="I797" s="11" t="str">
        <x:v>https://github.com/juicedata/juicefs/blob/30190ca1094d26e85f19a979ca51b0ea19af1eaa/sdk/java/src/test/java/io/juicefs/JuiceFileSystemTest.java#L271</x:v>
      </x:c>
      <x:c r="J797" s="11" t="str">
        <x:v>未提升为 Windows 执行项</x:v>
      </x:c>
      <x:c r="K797" s="11" t="str">
        <x:v>见源文件及 CI 条件</x:v>
      </x:c>
      <x:c r="L797" s="11" t="str">
        <x:v>级别为源码目录初分，未执行项目不能计作通过</x:v>
      </x:c>
    </x:row>
    <x:row r="798" ht="42" customHeight="1">
      <x:c r="A798" s="10" t="str">
        <x:v>UP-0a24bc291377</x:v>
      </x:c>
      <x:c r="B798" s="10" t="str">
        <x:v>L5</x:v>
      </x:c>
      <x:c r="C798" s="10" t="str">
        <x:v>平台与扩展边界</x:v>
      </x:c>
      <x:c r="D798" s="10" t="str">
        <x:v>testAccess</x:v>
      </x:c>
      <x:c r="E798" s="10" t="str">
        <x:v>Java 测试</x:v>
      </x:c>
      <x:c r="F798" s="10" t="str">
        <x:v>待执行</x:v>
      </x:c>
      <x:c r="G798" s="10" t="str">
        <x:v>SDK 范围；产品未直接使用此入口</x:v>
      </x:c>
      <x:c r="H798" s="10" t="str">
        <x:v>sdk/java/src/test/java/io/juicefs/JuiceFileSystemTest.java:280</x:v>
      </x:c>
      <x:c r="I798" s="10" t="str">
        <x:v>https://github.com/juicedata/juicefs/blob/30190ca1094d26e85f19a979ca51b0ea19af1eaa/sdk/java/src/test/java/io/juicefs/JuiceFileSystemTest.java#L280</x:v>
      </x:c>
      <x:c r="J798" s="10" t="str">
        <x:v>未提升为 Windows 执行项</x:v>
      </x:c>
      <x:c r="K798" s="10" t="str">
        <x:v>见源文件及 CI 条件</x:v>
      </x:c>
      <x:c r="L798" s="10" t="str">
        <x:v>级别为源码目录初分，未执行项目不能计作通过</x:v>
      </x:c>
    </x:row>
    <x:row r="799" ht="42" customHeight="1">
      <x:c r="A799" s="11" t="str">
        <x:v>UP-c1d0579632fb</x:v>
      </x:c>
      <x:c r="B799" s="11" t="str">
        <x:v>L5</x:v>
      </x:c>
      <x:c r="C799" s="11" t="str">
        <x:v>平台与扩展边界</x:v>
      </x:c>
      <x:c r="D799" s="11" t="str">
        <x:v>testSetPermission</x:v>
      </x:c>
      <x:c r="E799" s="11" t="str">
        <x:v>Java 测试</x:v>
      </x:c>
      <x:c r="F799" s="11" t="str">
        <x:v>待执行</x:v>
      </x:c>
      <x:c r="G799" s="11" t="str">
        <x:v>SDK 范围；产品未直接使用此入口</x:v>
      </x:c>
      <x:c r="H799" s="11" t="str">
        <x:v>sdk/java/src/test/java/io/juicefs/JuiceFileSystemTest.java:301</x:v>
      </x:c>
      <x:c r="I799" s="11" t="str">
        <x:v>https://github.com/juicedata/juicefs/blob/30190ca1094d26e85f19a979ca51b0ea19af1eaa/sdk/java/src/test/java/io/juicefs/JuiceFileSystemTest.java#L301</x:v>
      </x:c>
      <x:c r="J799" s="11" t="str">
        <x:v>未提升为 Windows 执行项</x:v>
      </x:c>
      <x:c r="K799" s="11" t="str">
        <x:v>见源文件及 CI 条件</x:v>
      </x:c>
      <x:c r="L799" s="11" t="str">
        <x:v>级别为源码目录初分，未执行项目不能计作通过</x:v>
      </x:c>
    </x:row>
    <x:row r="800" ht="42" customHeight="1">
      <x:c r="A800" s="10" t="str">
        <x:v>UP-32740a2342d3</x:v>
      </x:c>
      <x:c r="B800" s="10" t="str">
        <x:v>L5</x:v>
      </x:c>
      <x:c r="C800" s="10" t="str">
        <x:v>平台与扩展边界</x:v>
      </x:c>
      <x:c r="D800" s="10" t="str">
        <x:v>testSetTimes</x:v>
      </x:c>
      <x:c r="E800" s="10" t="str">
        <x:v>Java 测试</x:v>
      </x:c>
      <x:c r="F800" s="10" t="str">
        <x:v>待执行</x:v>
      </x:c>
      <x:c r="G800" s="10" t="str">
        <x:v>SDK 范围；产品未直接使用此入口</x:v>
      </x:c>
      <x:c r="H800" s="10" t="str">
        <x:v>sdk/java/src/test/java/io/juicefs/JuiceFileSystemTest.java:308</x:v>
      </x:c>
      <x:c r="I800" s="10" t="str">
        <x:v>https://github.com/juicedata/juicefs/blob/30190ca1094d26e85f19a979ca51b0ea19af1eaa/sdk/java/src/test/java/io/juicefs/JuiceFileSystemTest.java#L308</x:v>
      </x:c>
      <x:c r="J800" s="10" t="str">
        <x:v>未提升为 Windows 执行项</x:v>
      </x:c>
      <x:c r="K800" s="10" t="str">
        <x:v>见源文件及 CI 条件</x:v>
      </x:c>
      <x:c r="L800" s="10" t="str">
        <x:v>级别为源码目录初分，未执行项目不能计作通过</x:v>
      </x:c>
    </x:row>
    <x:row r="801" ht="42" customHeight="1">
      <x:c r="A801" s="11" t="str">
        <x:v>UP-afc081967cc5</x:v>
      </x:c>
      <x:c r="B801" s="11" t="str">
        <x:v>L5</x:v>
      </x:c>
      <x:c r="C801" s="11" t="str">
        <x:v>平台与扩展边界</x:v>
      </x:c>
      <x:c r="D801" s="11" t="str">
        <x:v>testSetOwner</x:v>
      </x:c>
      <x:c r="E801" s="11" t="str">
        <x:v>Java 测试</x:v>
      </x:c>
      <x:c r="F801" s="11" t="str">
        <x:v>待执行</x:v>
      </x:c>
      <x:c r="G801" s="11" t="str">
        <x:v>SDK 范围；产品未直接使用此入口</x:v>
      </x:c>
      <x:c r="H801" s="11" t="str">
        <x:v>sdk/java/src/test/java/io/juicefs/JuiceFileSystemTest.java:331</x:v>
      </x:c>
      <x:c r="I801" s="11" t="str">
        <x:v>https://github.com/juicedata/juicefs/blob/30190ca1094d26e85f19a979ca51b0ea19af1eaa/sdk/java/src/test/java/io/juicefs/JuiceFileSystemTest.java#L331</x:v>
      </x:c>
      <x:c r="J801" s="11" t="str">
        <x:v>未提升为 Windows 执行项</x:v>
      </x:c>
      <x:c r="K801" s="11" t="str">
        <x:v>见源文件及 CI 条件</x:v>
      </x:c>
      <x:c r="L801" s="11" t="str">
        <x:v>级别为源码目录初分，未执行项目不能计作通过</x:v>
      </x:c>
    </x:row>
    <x:row r="802" ht="42" customHeight="1">
      <x:c r="A802" s="10" t="str">
        <x:v>UP-b43354e39e59</x:v>
      </x:c>
      <x:c r="B802" s="10" t="str">
        <x:v>L5</x:v>
      </x:c>
      <x:c r="C802" s="10" t="str">
        <x:v>平台与扩展边界</x:v>
      </x:c>
      <x:c r="D802" s="10" t="str">
        <x:v>testCloseFileSystem</x:v>
      </x:c>
      <x:c r="E802" s="10" t="str">
        <x:v>Java 测试</x:v>
      </x:c>
      <x:c r="F802" s="10" t="str">
        <x:v>待执行</x:v>
      </x:c>
      <x:c r="G802" s="10" t="str">
        <x:v>SDK 范围；产品未直接使用此入口</x:v>
      </x:c>
      <x:c r="H802" s="10" t="str">
        <x:v>sdk/java/src/test/java/io/juicefs/JuiceFileSystemTest.java:344</x:v>
      </x:c>
      <x:c r="I802" s="10" t="str">
        <x:v>https://github.com/juicedata/juicefs/blob/30190ca1094d26e85f19a979ca51b0ea19af1eaa/sdk/java/src/test/java/io/juicefs/JuiceFileSystemTest.java#L344</x:v>
      </x:c>
      <x:c r="J802" s="10" t="str">
        <x:v>未提升为 Windows 执行项</x:v>
      </x:c>
      <x:c r="K802" s="10" t="str">
        <x:v>见源文件及 CI 条件</x:v>
      </x:c>
      <x:c r="L802" s="10" t="str">
        <x:v>级别为源码目录初分，未执行项目不能计作通过</x:v>
      </x:c>
    </x:row>
    <x:row r="803" ht="42" customHeight="1">
      <x:c r="A803" s="11" t="str">
        <x:v>UP-e0c73e89162c</x:v>
      </x:c>
      <x:c r="B803" s="11" t="str">
        <x:v>L5</x:v>
      </x:c>
      <x:c r="C803" s="11" t="str">
        <x:v>平台与扩展边界</x:v>
      </x:c>
      <x:c r="D803" s="11" t="str">
        <x:v>testReadahead</x:v>
      </x:c>
      <x:c r="E803" s="11" t="str">
        <x:v>Java 测试</x:v>
      </x:c>
      <x:c r="F803" s="11" t="str">
        <x:v>待执行</x:v>
      </x:c>
      <x:c r="G803" s="11" t="str">
        <x:v>SDK 范围；产品未直接使用此入口</x:v>
      </x:c>
      <x:c r="H803" s="11" t="str">
        <x:v>sdk/java/src/test/java/io/juicefs/JuiceFileSystemTest.java:354</x:v>
      </x:c>
      <x:c r="I803" s="11" t="str">
        <x:v>https://github.com/juicedata/juicefs/blob/30190ca1094d26e85f19a979ca51b0ea19af1eaa/sdk/java/src/test/java/io/juicefs/JuiceFileSystemTest.java#L354</x:v>
      </x:c>
      <x:c r="J803" s="11" t="str">
        <x:v>未提升为 Windows 执行项</x:v>
      </x:c>
      <x:c r="K803" s="11" t="str">
        <x:v>见源文件及 CI 条件</x:v>
      </x:c>
      <x:c r="L803" s="11" t="str">
        <x:v>级别为源码目录初分，未执行项目不能计作通过</x:v>
      </x:c>
    </x:row>
    <x:row r="804" ht="42" customHeight="1">
      <x:c r="A804" s="10" t="str">
        <x:v>UP-a66513a3ddae</x:v>
      </x:c>
      <x:c r="B804" s="10" t="str">
        <x:v>L5</x:v>
      </x:c>
      <x:c r="C804" s="10" t="str">
        <x:v>平台与扩展边界</x:v>
      </x:c>
      <x:c r="D804" s="10" t="str">
        <x:v>testOutputStream</x:v>
      </x:c>
      <x:c r="E804" s="10" t="str">
        <x:v>Java 测试</x:v>
      </x:c>
      <x:c r="F804" s="10" t="str">
        <x:v>待执行</x:v>
      </x:c>
      <x:c r="G804" s="10" t="str">
        <x:v>SDK 范围；产品未直接使用此入口</x:v>
      </x:c>
      <x:c r="H804" s="10" t="str">
        <x:v>sdk/java/src/test/java/io/juicefs/JuiceFileSystemTest.java:377</x:v>
      </x:c>
      <x:c r="I804" s="10" t="str">
        <x:v>https://github.com/juicedata/juicefs/blob/30190ca1094d26e85f19a979ca51b0ea19af1eaa/sdk/java/src/test/java/io/juicefs/JuiceFileSystemTest.java#L377</x:v>
      </x:c>
      <x:c r="J804" s="10" t="str">
        <x:v>未提升为 Windows 执行项</x:v>
      </x:c>
      <x:c r="K804" s="10" t="str">
        <x:v>见源文件及 CI 条件</x:v>
      </x:c>
      <x:c r="L804" s="10" t="str">
        <x:v>级别为源码目录初分，未执行项目不能计作通过</x:v>
      </x:c>
    </x:row>
    <x:row r="805" ht="42" customHeight="1">
      <x:c r="A805" s="11" t="str">
        <x:v>UP-17fba9c8b4b8</x:v>
      </x:c>
      <x:c r="B805" s="11" t="str">
        <x:v>L5</x:v>
      </x:c>
      <x:c r="C805" s="11" t="str">
        <x:v>平台与扩展边界</x:v>
      </x:c>
      <x:c r="D805" s="11" t="str">
        <x:v>testInputStream</x:v>
      </x:c>
      <x:c r="E805" s="11" t="str">
        <x:v>Java 测试</x:v>
      </x:c>
      <x:c r="F805" s="11" t="str">
        <x:v>待执行</x:v>
      </x:c>
      <x:c r="G805" s="11" t="str">
        <x:v>SDK 范围；产品未直接使用此入口</x:v>
      </x:c>
      <x:c r="H805" s="11" t="str">
        <x:v>sdk/java/src/test/java/io/juicefs/JuiceFileSystemTest.java:389</x:v>
      </x:c>
      <x:c r="I805" s="11" t="str">
        <x:v>https://github.com/juicedata/juicefs/blob/30190ca1094d26e85f19a979ca51b0ea19af1eaa/sdk/java/src/test/java/io/juicefs/JuiceFileSystemTest.java#L389</x:v>
      </x:c>
      <x:c r="J805" s="11" t="str">
        <x:v>未提升为 Windows 执行项</x:v>
      </x:c>
      <x:c r="K805" s="11" t="str">
        <x:v>见源文件及 CI 条件</x:v>
      </x:c>
      <x:c r="L805" s="11" t="str">
        <x:v>级别为源码目录初分，未执行项目不能计作通过</x:v>
      </x:c>
    </x:row>
    <x:row r="806" ht="42" customHeight="1">
      <x:c r="A806" s="10" t="str">
        <x:v>UP-4b0309608ab0</x:v>
      </x:c>
      <x:c r="B806" s="10" t="str">
        <x:v>L5</x:v>
      </x:c>
      <x:c r="C806" s="10" t="str">
        <x:v>平台与扩展边界</x:v>
      </x:c>
      <x:c r="D806" s="10" t="str">
        <x:v>testInputStreamSkipNBytes</x:v>
      </x:c>
      <x:c r="E806" s="10" t="str">
        <x:v>Java 测试</x:v>
      </x:c>
      <x:c r="F806" s="10" t="str">
        <x:v>待执行</x:v>
      </x:c>
      <x:c r="G806" s="10" t="str">
        <x:v>SDK 范围；产品未直接使用此入口</x:v>
      </x:c>
      <x:c r="H806" s="10" t="str">
        <x:v>sdk/java/src/test/java/io/juicefs/JuiceFileSystemTest.java:456</x:v>
      </x:c>
      <x:c r="I806" s="10" t="str">
        <x:v>https://github.com/juicedata/juicefs/blob/30190ca1094d26e85f19a979ca51b0ea19af1eaa/sdk/java/src/test/java/io/juicefs/JuiceFileSystemTest.java#L456</x:v>
      </x:c>
      <x:c r="J806" s="10" t="str">
        <x:v>未提升为 Windows 执行项</x:v>
      </x:c>
      <x:c r="K806" s="10" t="str">
        <x:v>见源文件及 CI 条件</x:v>
      </x:c>
      <x:c r="L806" s="10" t="str">
        <x:v>级别为源码目录初分，未执行项目不能计作通过</x:v>
      </x:c>
    </x:row>
    <x:row r="807" ht="42" customHeight="1">
      <x:c r="A807" s="11" t="str">
        <x:v>UP-99d0f8246c6a</x:v>
      </x:c>
      <x:c r="B807" s="11" t="str">
        <x:v>L5</x:v>
      </x:c>
      <x:c r="C807" s="11" t="str">
        <x:v>平台与扩展边界</x:v>
      </x:c>
      <x:c r="D807" s="11" t="str">
        <x:v>testReadStats</x:v>
      </x:c>
      <x:c r="E807" s="11" t="str">
        <x:v>Java 测试</x:v>
      </x:c>
      <x:c r="F807" s="11" t="str">
        <x:v>待执行</x:v>
      </x:c>
      <x:c r="G807" s="11" t="str">
        <x:v>SDK 范围；产品未直接使用此入口</x:v>
      </x:c>
      <x:c r="H807" s="11" t="str">
        <x:v>sdk/java/src/test/java/io/juicefs/JuiceFileSystemTest.java:470</x:v>
      </x:c>
      <x:c r="I807" s="11" t="str">
        <x:v>https://github.com/juicedata/juicefs/blob/30190ca1094d26e85f19a979ca51b0ea19af1eaa/sdk/java/src/test/java/io/juicefs/JuiceFileSystemTest.java#L470</x:v>
      </x:c>
      <x:c r="J807" s="11" t="str">
        <x:v>未提升为 Windows 执行项</x:v>
      </x:c>
      <x:c r="K807" s="11" t="str">
        <x:v>见源文件及 CI 条件</x:v>
      </x:c>
      <x:c r="L807" s="11" t="str">
        <x:v>级别为源码目录初分，未执行项目不能计作通过</x:v>
      </x:c>
    </x:row>
    <x:row r="808" ht="42" customHeight="1">
      <x:c r="A808" s="10" t="str">
        <x:v>UP-3bd249d12e36</x:v>
      </x:c>
      <x:c r="B808" s="10" t="str">
        <x:v>L5</x:v>
      </x:c>
      <x:c r="C808" s="10" t="str">
        <x:v>平台与扩展边界</x:v>
      </x:c>
      <x:c r="D808" s="10" t="str">
        <x:v>testChecksum</x:v>
      </x:c>
      <x:c r="E808" s="10" t="str">
        <x:v>Java 测试</x:v>
      </x:c>
      <x:c r="F808" s="10" t="str">
        <x:v>待执行</x:v>
      </x:c>
      <x:c r="G808" s="10" t="str">
        <x:v>SDK 范围；产品未直接使用此入口</x:v>
      </x:c>
      <x:c r="H808" s="10" t="str">
        <x:v>sdk/java/src/test/java/io/juicefs/JuiceFileSystemTest.java:509</x:v>
      </x:c>
      <x:c r="I808" s="10" t="str">
        <x:v>https://github.com/juicedata/juicefs/blob/30190ca1094d26e85f19a979ca51b0ea19af1eaa/sdk/java/src/test/java/io/juicefs/JuiceFileSystemTest.java#L509</x:v>
      </x:c>
      <x:c r="J808" s="10" t="str">
        <x:v>未提升为 Windows 执行项</x:v>
      </x:c>
      <x:c r="K808" s="10" t="str">
        <x:v>见源文件及 CI 条件</x:v>
      </x:c>
      <x:c r="L808" s="10" t="str">
        <x:v>级别为源码目录初分，未执行项目不能计作通过</x:v>
      </x:c>
    </x:row>
    <x:row r="809" ht="42" customHeight="1">
      <x:c r="A809" s="11" t="str">
        <x:v>UP-09e2078adf93</x:v>
      </x:c>
      <x:c r="B809" s="11" t="str">
        <x:v>L5</x:v>
      </x:c>
      <x:c r="C809" s="11" t="str">
        <x:v>平台与扩展边界</x:v>
      </x:c>
      <x:c r="D809" s="11" t="str">
        <x:v>testXattr</x:v>
      </x:c>
      <x:c r="E809" s="11" t="str">
        <x:v>Java 测试</x:v>
      </x:c>
      <x:c r="F809" s="11" t="str">
        <x:v>待执行</x:v>
      </x:c>
      <x:c r="G809" s="11" t="str">
        <x:v>SDK 范围；产品未直接使用此入口</x:v>
      </x:c>
      <x:c r="H809" s="11" t="str">
        <x:v>sdk/java/src/test/java/io/juicefs/JuiceFileSystemTest.java:550</x:v>
      </x:c>
      <x:c r="I809" s="11" t="str">
        <x:v>https://github.com/juicedata/juicefs/blob/30190ca1094d26e85f19a979ca51b0ea19af1eaa/sdk/java/src/test/java/io/juicefs/JuiceFileSystemTest.java#L550</x:v>
      </x:c>
      <x:c r="J809" s="11" t="str">
        <x:v>未提升为 Windows 执行项</x:v>
      </x:c>
      <x:c r="K809" s="11" t="str">
        <x:v>见源文件及 CI 条件</x:v>
      </x:c>
      <x:c r="L809" s="11" t="str">
        <x:v>级别为源码目录初分，未执行项目不能计作通过</x:v>
      </x:c>
    </x:row>
    <x:row r="810" ht="42" customHeight="1">
      <x:c r="A810" s="10" t="str">
        <x:v>UP-b13b7bc08ea2</x:v>
      </x:c>
      <x:c r="B810" s="10" t="str">
        <x:v>L5</x:v>
      </x:c>
      <x:c r="C810" s="10" t="str">
        <x:v>平台与扩展边界</x:v>
      </x:c>
      <x:c r="D810" s="10" t="str">
        <x:v>testAppend</x:v>
      </x:c>
      <x:c r="E810" s="10" t="str">
        <x:v>Java 测试</x:v>
      </x:c>
      <x:c r="F810" s="10" t="str">
        <x:v>待执行</x:v>
      </x:c>
      <x:c r="G810" s="10" t="str">
        <x:v>SDK 范围；产品未直接使用此入口</x:v>
      </x:c>
      <x:c r="H810" s="10" t="str">
        <x:v>sdk/java/src/test/java/io/juicefs/JuiceFileSystemTest.java:581</x:v>
      </x:c>
      <x:c r="I810" s="10" t="str">
        <x:v>https://github.com/juicedata/juicefs/blob/30190ca1094d26e85f19a979ca51b0ea19af1eaa/sdk/java/src/test/java/io/juicefs/JuiceFileSystemTest.java#L581</x:v>
      </x:c>
      <x:c r="J810" s="10" t="str">
        <x:v>未提升为 Windows 执行项</x:v>
      </x:c>
      <x:c r="K810" s="10" t="str">
        <x:v>见源文件及 CI 条件</x:v>
      </x:c>
      <x:c r="L810" s="10" t="str">
        <x:v>级别为源码目录初分，未执行项目不能计作通过</x:v>
      </x:c>
    </x:row>
    <x:row r="811" ht="42" customHeight="1">
      <x:c r="A811" s="11" t="str">
        <x:v>UP-b5dd1ef7a5e2</x:v>
      </x:c>
      <x:c r="B811" s="11" t="str">
        <x:v>L5</x:v>
      </x:c>
      <x:c r="C811" s="11" t="str">
        <x:v>平台与扩展边界</x:v>
      </x:c>
      <x:c r="D811" s="11" t="str">
        <x:v>testFlinkHadoopRecoverableWriter</x:v>
      </x:c>
      <x:c r="E811" s="11" t="str">
        <x:v>Java 测试</x:v>
      </x:c>
      <x:c r="F811" s="11" t="str">
        <x:v>待执行</x:v>
      </x:c>
      <x:c r="G811" s="11" t="str">
        <x:v>SDK 范围；产品未直接使用此入口</x:v>
      </x:c>
      <x:c r="H811" s="11" t="str">
        <x:v>sdk/java/src/test/java/io/juicefs/JuiceFileSystemTest.java:591</x:v>
      </x:c>
      <x:c r="I811" s="11" t="str">
        <x:v>https://github.com/juicedata/juicefs/blob/30190ca1094d26e85f19a979ca51b0ea19af1eaa/sdk/java/src/test/java/io/juicefs/JuiceFileSystemTest.java#L591</x:v>
      </x:c>
      <x:c r="J811" s="11" t="str">
        <x:v>未提升为 Windows 执行项</x:v>
      </x:c>
      <x:c r="K811" s="11" t="str">
        <x:v>见源文件及 CI 条件</x:v>
      </x:c>
      <x:c r="L811" s="11" t="str">
        <x:v>级别为源码目录初分，未执行项目不能计作通过</x:v>
      </x:c>
    </x:row>
    <x:row r="812" ht="42" customHeight="1">
      <x:c r="A812" s="10" t="str">
        <x:v>UP-271379f3a07e</x:v>
      </x:c>
      <x:c r="B812" s="10" t="str">
        <x:v>L5</x:v>
      </x:c>
      <x:c r="C812" s="10" t="str">
        <x:v>平台与扩展边界</x:v>
      </x:c>
      <x:c r="D812" s="10" t="str">
        <x:v>testConcat</x:v>
      </x:c>
      <x:c r="E812" s="10" t="str">
        <x:v>Java 测试</x:v>
      </x:c>
      <x:c r="F812" s="10" t="str">
        <x:v>待执行</x:v>
      </x:c>
      <x:c r="G812" s="10" t="str">
        <x:v>SDK 范围；产品未直接使用此入口</x:v>
      </x:c>
      <x:c r="H812" s="10" t="str">
        <x:v>sdk/java/src/test/java/io/juicefs/JuiceFileSystemTest.java:595</x:v>
      </x:c>
      <x:c r="I812" s="10" t="str">
        <x:v>https://github.com/juicedata/juicefs/blob/30190ca1094d26e85f19a979ca51b0ea19af1eaa/sdk/java/src/test/java/io/juicefs/JuiceFileSystemTest.java#L595</x:v>
      </x:c>
      <x:c r="J812" s="10" t="str">
        <x:v>未提升为 Windows 执行项</x:v>
      </x:c>
      <x:c r="K812" s="10" t="str">
        <x:v>见源文件及 CI 条件</x:v>
      </x:c>
      <x:c r="L812" s="10" t="str">
        <x:v>级别为源码目录初分，未执行项目不能计作通过</x:v>
      </x:c>
    </x:row>
    <x:row r="813" ht="42" customHeight="1">
      <x:c r="A813" s="11" t="str">
        <x:v>UP-04a9ea58f57f</x:v>
      </x:c>
      <x:c r="B813" s="11" t="str">
        <x:v>L5</x:v>
      </x:c>
      <x:c r="C813" s="11" t="str">
        <x:v>平台与扩展边界</x:v>
      </x:c>
      <x:c r="D813" s="11" t="str">
        <x:v>testList</x:v>
      </x:c>
      <x:c r="E813" s="11" t="str">
        <x:v>Java 测试</x:v>
      </x:c>
      <x:c r="F813" s="11" t="str">
        <x:v>待执行</x:v>
      </x:c>
      <x:c r="G813" s="11" t="str">
        <x:v>SDK 范围；产品未直接使用此入口</x:v>
      </x:c>
      <x:c r="H813" s="11" t="str">
        <x:v>sdk/java/src/test/java/io/juicefs/JuiceFileSystemTest.java:628</x:v>
      </x:c>
      <x:c r="I813" s="11" t="str">
        <x:v>https://github.com/juicedata/juicefs/blob/30190ca1094d26e85f19a979ca51b0ea19af1eaa/sdk/java/src/test/java/io/juicefs/JuiceFileSystemTest.java#L628</x:v>
      </x:c>
      <x:c r="J813" s="11" t="str">
        <x:v>未提升为 Windows 执行项</x:v>
      </x:c>
      <x:c r="K813" s="11" t="str">
        <x:v>见源文件及 CI 条件</x:v>
      </x:c>
      <x:c r="L813" s="11" t="str">
        <x:v>级别为源码目录初分，未执行项目不能计作通过</x:v>
      </x:c>
    </x:row>
    <x:row r="814" ht="42" customHeight="1">
      <x:c r="A814" s="10" t="str">
        <x:v>UP-a14883729bbc</x:v>
      </x:c>
      <x:c r="B814" s="10" t="str">
        <x:v>L5</x:v>
      </x:c>
      <x:c r="C814" s="10" t="str">
        <x:v>平台与扩展边界</x:v>
      </x:c>
      <x:c r="D814" s="10" t="str">
        <x:v>testUsersAndGroups</x:v>
      </x:c>
      <x:c r="E814" s="10" t="str">
        <x:v>Java 测试</x:v>
      </x:c>
      <x:c r="F814" s="10" t="str">
        <x:v>待执行</x:v>
      </x:c>
      <x:c r="G814" s="10" t="str">
        <x:v>SDK 范围；产品未直接使用此入口</x:v>
      </x:c>
      <x:c r="H814" s="10" t="str">
        <x:v>sdk/java/src/test/java/io/juicefs/JuiceFileSystemTest.java:663</x:v>
      </x:c>
      <x:c r="I814" s="10" t="str">
        <x:v>https://github.com/juicedata/juicefs/blob/30190ca1094d26e85f19a979ca51b0ea19af1eaa/sdk/java/src/test/java/io/juicefs/JuiceFileSystemTest.java#L663</x:v>
      </x:c>
      <x:c r="J814" s="10" t="str">
        <x:v>未提升为 Windows 执行项</x:v>
      </x:c>
      <x:c r="K814" s="10" t="str">
        <x:v>见源文件及 CI 条件</x:v>
      </x:c>
      <x:c r="L814" s="10" t="str">
        <x:v>级别为源码目录初分，未执行项目不能计作通过</x:v>
      </x:c>
    </x:row>
    <x:row r="815" ht="42" customHeight="1">
      <x:c r="A815" s="11" t="str">
        <x:v>UP-7e97498c112b</x:v>
      </x:c>
      <x:c r="B815" s="11" t="str">
        <x:v>L5</x:v>
      </x:c>
      <x:c r="C815" s="11" t="str">
        <x:v>平台与扩展边界</x:v>
      </x:c>
      <x:c r="D815" s="11" t="str">
        <x:v>testGroupPerm</x:v>
      </x:c>
      <x:c r="E815" s="11" t="str">
        <x:v>Java 测试</x:v>
      </x:c>
      <x:c r="F815" s="11" t="str">
        <x:v>待执行</x:v>
      </x:c>
      <x:c r="G815" s="11" t="str">
        <x:v>SDK 范围；产品未直接使用此入口</x:v>
      </x:c>
      <x:c r="H815" s="11" t="str">
        <x:v>sdk/java/src/test/java/io/juicefs/JuiceFileSystemTest.java:695</x:v>
      </x:c>
      <x:c r="I815" s="11" t="str">
        <x:v>https://github.com/juicedata/juicefs/blob/30190ca1094d26e85f19a979ca51b0ea19af1eaa/sdk/java/src/test/java/io/juicefs/JuiceFileSystemTest.java#L695</x:v>
      </x:c>
      <x:c r="J815" s="11" t="str">
        <x:v>未提升为 Windows 执行项</x:v>
      </x:c>
      <x:c r="K815" s="11" t="str">
        <x:v>见源文件及 CI 条件</x:v>
      </x:c>
      <x:c r="L815" s="11" t="str">
        <x:v>级别为源码目录初分，未执行项目不能计作通过</x:v>
      </x:c>
    </x:row>
    <x:row r="816" ht="42" customHeight="1">
      <x:c r="A816" s="10" t="str">
        <x:v>UP-e3836b2e3770</x:v>
      </x:c>
      <x:c r="B816" s="10" t="str">
        <x:v>L5</x:v>
      </x:c>
      <x:c r="C816" s="10" t="str">
        <x:v>平台与扩展边界</x:v>
      </x:c>
      <x:c r="D816" s="10" t="str">
        <x:v>testUmask</x:v>
      </x:c>
      <x:c r="E816" s="10" t="str">
        <x:v>Java 测试</x:v>
      </x:c>
      <x:c r="F816" s="10" t="str">
        <x:v>待执行</x:v>
      </x:c>
      <x:c r="G816" s="10" t="str">
        <x:v>SDK 范围；产品未直接使用此入口</x:v>
      </x:c>
      <x:c r="H816" s="10" t="str">
        <x:v>sdk/java/src/test/java/io/juicefs/JuiceFileSystemTest.java:715</x:v>
      </x:c>
      <x:c r="I816" s="10" t="str">
        <x:v>https://github.com/juicedata/juicefs/blob/30190ca1094d26e85f19a979ca51b0ea19af1eaa/sdk/java/src/test/java/io/juicefs/JuiceFileSystemTest.java#L715</x:v>
      </x:c>
      <x:c r="J816" s="10" t="str">
        <x:v>未提升为 Windows 执行项</x:v>
      </x:c>
      <x:c r="K816" s="10" t="str">
        <x:v>见源文件及 CI 条件</x:v>
      </x:c>
      <x:c r="L816" s="10" t="str">
        <x:v>级别为源码目录初分，未执行项目不能计作通过</x:v>
      </x:c>
    </x:row>
    <x:row r="817" ht="42" customHeight="1">
      <x:c r="A817" s="11" t="str">
        <x:v>UP-a5e8d455376b</x:v>
      </x:c>
      <x:c r="B817" s="11" t="str">
        <x:v>L5</x:v>
      </x:c>
      <x:c r="C817" s="11" t="str">
        <x:v>平台与扩展边界</x:v>
      </x:c>
      <x:c r="D817" s="11" t="str">
        <x:v>testGuidMapping</x:v>
      </x:c>
      <x:c r="E817" s="11" t="str">
        <x:v>Java 测试</x:v>
      </x:c>
      <x:c r="F817" s="11" t="str">
        <x:v>待执行</x:v>
      </x:c>
      <x:c r="G817" s="11" t="str">
        <x:v>SDK 范围；产品未直接使用此入口</x:v>
      </x:c>
      <x:c r="H817" s="11" t="str">
        <x:v>sdk/java/src/test/java/io/juicefs/JuiceFileSystemTest.java:750</x:v>
      </x:c>
      <x:c r="I817" s="11" t="str">
        <x:v>https://github.com/juicedata/juicefs/blob/30190ca1094d26e85f19a979ca51b0ea19af1eaa/sdk/java/src/test/java/io/juicefs/JuiceFileSystemTest.java#L750</x:v>
      </x:c>
      <x:c r="J817" s="11" t="str">
        <x:v>未提升为 Windows 执行项</x:v>
      </x:c>
      <x:c r="K817" s="11" t="str">
        <x:v>见源文件及 CI 条件</x:v>
      </x:c>
      <x:c r="L817" s="11" t="str">
        <x:v>级别为源码目录初分，未执行项目不能计作通过</x:v>
      </x:c>
    </x:row>
    <x:row r="818" ht="42" customHeight="1">
      <x:c r="A818" s="10" t="str">
        <x:v>UP-da2c2a3a5564</x:v>
      </x:c>
      <x:c r="B818" s="10" t="str">
        <x:v>L5</x:v>
      </x:c>
      <x:c r="C818" s="10" t="str">
        <x:v>平台与扩展边界</x:v>
      </x:c>
      <x:c r="D818" s="10" t="str">
        <x:v>testGuidMappingFromString</x:v>
      </x:c>
      <x:c r="E818" s="10" t="str">
        <x:v>Java 测试</x:v>
      </x:c>
      <x:c r="F818" s="10" t="str">
        <x:v>待执行</x:v>
      </x:c>
      <x:c r="G818" s="10" t="str">
        <x:v>SDK 范围；产品未直接使用此入口</x:v>
      </x:c>
      <x:c r="H818" s="10" t="str">
        <x:v>sdk/java/src/test/java/io/juicefs/JuiceFileSystemTest.java:775</x:v>
      </x:c>
      <x:c r="I818" s="10" t="str">
        <x:v>https://github.com/juicedata/juicefs/blob/30190ca1094d26e85f19a979ca51b0ea19af1eaa/sdk/java/src/test/java/io/juicefs/JuiceFileSystemTest.java#L775</x:v>
      </x:c>
      <x:c r="J818" s="10" t="str">
        <x:v>未提升为 Windows 执行项</x:v>
      </x:c>
      <x:c r="K818" s="10" t="str">
        <x:v>见源文件及 CI 条件</x:v>
      </x:c>
      <x:c r="L818" s="10" t="str">
        <x:v>级别为源码目录初分，未执行项目不能计作通过</x:v>
      </x:c>
    </x:row>
    <x:row r="819" ht="42" customHeight="1">
      <x:c r="A819" s="11" t="str">
        <x:v>UP-fdd8cd8bf0b2</x:v>
      </x:c>
      <x:c r="B819" s="11" t="str">
        <x:v>L5</x:v>
      </x:c>
      <x:c r="C819" s="11" t="str">
        <x:v>平台与扩展边界</x:v>
      </x:c>
      <x:c r="D819" s="11" t="str">
        <x:v>testTrash</x:v>
      </x:c>
      <x:c r="E819" s="11" t="str">
        <x:v>Java 测试</x:v>
      </x:c>
      <x:c r="F819" s="11" t="str">
        <x:v>待执行</x:v>
      </x:c>
      <x:c r="G819" s="11" t="str">
        <x:v>SDK 范围；产品未直接使用此入口</x:v>
      </x:c>
      <x:c r="H819" s="11" t="str">
        <x:v>sdk/java/src/test/java/io/juicefs/JuiceFileSystemTest.java:801</x:v>
      </x:c>
      <x:c r="I819" s="11" t="str">
        <x:v>https://github.com/juicedata/juicefs/blob/30190ca1094d26e85f19a979ca51b0ea19af1eaa/sdk/java/src/test/java/io/juicefs/JuiceFileSystemTest.java#L801</x:v>
      </x:c>
      <x:c r="J819" s="11" t="str">
        <x:v>未提升为 Windows 执行项</x:v>
      </x:c>
      <x:c r="K819" s="11" t="str">
        <x:v>见源文件及 CI 条件</x:v>
      </x:c>
      <x:c r="L819" s="11" t="str">
        <x:v>级别为源码目录初分，未执行项目不能计作通过</x:v>
      </x:c>
    </x:row>
    <x:row r="820" ht="42" customHeight="1">
      <x:c r="A820" s="10" t="str">
        <x:v>UP-afdd1a17d7d5</x:v>
      </x:c>
      <x:c r="B820" s="10" t="str">
        <x:v>L5</x:v>
      </x:c>
      <x:c r="C820" s="10" t="str">
        <x:v>平台与扩展边界</x:v>
      </x:c>
      <x:c r="D820" s="10" t="str">
        <x:v>testBlockSize</x:v>
      </x:c>
      <x:c r="E820" s="10" t="str">
        <x:v>Java 测试</x:v>
      </x:c>
      <x:c r="F820" s="10" t="str">
        <x:v>待执行</x:v>
      </x:c>
      <x:c r="G820" s="10" t="str">
        <x:v>SDK 范围；产品未直接使用此入口</x:v>
      </x:c>
      <x:c r="H820" s="10" t="str">
        <x:v>sdk/java/src/test/java/io/juicefs/JuiceFileSystemTest.java:815</x:v>
      </x:c>
      <x:c r="I820" s="10" t="str">
        <x:v>https://github.com/juicedata/juicefs/blob/30190ca1094d26e85f19a979ca51b0ea19af1eaa/sdk/java/src/test/java/io/juicefs/JuiceFileSystemTest.java#L815</x:v>
      </x:c>
      <x:c r="J820" s="10" t="str">
        <x:v>未提升为 Windows 执行项</x:v>
      </x:c>
      <x:c r="K820" s="10" t="str">
        <x:v>见源文件及 CI 条件</x:v>
      </x:c>
      <x:c r="L820" s="10" t="str">
        <x:v>级别为源码目录初分，未执行项目不能计作通过</x:v>
      </x:c>
    </x:row>
    <x:row r="821" ht="42" customHeight="1">
      <x:c r="A821" s="11" t="str">
        <x:v>UP-50408dd8f48d</x:v>
      </x:c>
      <x:c r="B821" s="11" t="str">
        <x:v>L5</x:v>
      </x:c>
      <x:c r="C821" s="11" t="str">
        <x:v>平台与扩展边界</x:v>
      </x:c>
      <x:c r="D821" s="11" t="str">
        <x:v>testReadSpeed</x:v>
      </x:c>
      <x:c r="E821" s="11" t="str">
        <x:v>Java 测试</x:v>
      </x:c>
      <x:c r="F821" s="11" t="str">
        <x:v>待执行</x:v>
      </x:c>
      <x:c r="G821" s="11" t="str">
        <x:v>SDK 范围；产品未直接使用此入口</x:v>
      </x:c>
      <x:c r="H821" s="11" t="str">
        <x:v>sdk/java/src/test/java/io/juicefs/JuiceFileSystemTest.java:822</x:v>
      </x:c>
      <x:c r="I821" s="11" t="str">
        <x:v>https://github.com/juicedata/juicefs/blob/30190ca1094d26e85f19a979ca51b0ea19af1eaa/sdk/java/src/test/java/io/juicefs/JuiceFileSystemTest.java#L822</x:v>
      </x:c>
      <x:c r="J821" s="11" t="str">
        <x:v>未提升为 Windows 执行项</x:v>
      </x:c>
      <x:c r="K821" s="11" t="str">
        <x:v>见源文件及 CI 条件</x:v>
      </x:c>
      <x:c r="L821" s="11" t="str">
        <x:v>级别为源码目录初分，未执行项目不能计作通过</x:v>
      </x:c>
    </x:row>
    <x:row r="822" ht="42" customHeight="1">
      <x:c r="A822" s="10" t="str">
        <x:v>UP-334e75e923ba</x:v>
      </x:c>
      <x:c r="B822" s="10" t="str">
        <x:v>L5</x:v>
      </x:c>
      <x:c r="C822" s="10" t="str">
        <x:v>平台与扩展边界</x:v>
      </x:c>
      <x:c r="D822" s="10" t="str">
        <x:v>testIOClosed</x:v>
      </x:c>
      <x:c r="E822" s="10" t="str">
        <x:v>Java 测试</x:v>
      </x:c>
      <x:c r="F822" s="10" t="str">
        <x:v>待执行</x:v>
      </x:c>
      <x:c r="G822" s="10" t="str">
        <x:v>SDK 范围；产品未直接使用此入口</x:v>
      </x:c>
      <x:c r="H822" s="10" t="str">
        <x:v>sdk/java/src/test/java/io/juicefs/JuiceFileSystemTest.java:861</x:v>
      </x:c>
      <x:c r="I822" s="10" t="str">
        <x:v>https://github.com/juicedata/juicefs/blob/30190ca1094d26e85f19a979ca51b0ea19af1eaa/sdk/java/src/test/java/io/juicefs/JuiceFileSystemTest.java#L861</x:v>
      </x:c>
      <x:c r="J822" s="10" t="str">
        <x:v>未提升为 Windows 执行项</x:v>
      </x:c>
      <x:c r="K822" s="10" t="str">
        <x:v>见源文件及 CI 条件</x:v>
      </x:c>
      <x:c r="L822" s="10" t="str">
        <x:v>级别为源码目录初分，未执行项目不能计作通过</x:v>
      </x:c>
    </x:row>
    <x:row r="823" ht="42" customHeight="1">
      <x:c r="A823" s="11" t="str">
        <x:v>UP-8432624f1908</x:v>
      </x:c>
      <x:c r="B823" s="11" t="str">
        <x:v>L5</x:v>
      </x:c>
      <x:c r="C823" s="11" t="str">
        <x:v>平台与扩展边界</x:v>
      </x:c>
      <x:c r="D823" s="11" t="str">
        <x:v>testRead</x:v>
      </x:c>
      <x:c r="E823" s="11" t="str">
        <x:v>Java 测试</x:v>
      </x:c>
      <x:c r="F823" s="11" t="str">
        <x:v>待执行</x:v>
      </x:c>
      <x:c r="G823" s="11" t="str">
        <x:v>SDK 范围；产品未直接使用此入口</x:v>
      </x:c>
      <x:c r="H823" s="11" t="str">
        <x:v>sdk/java/src/test/java/io/juicefs/JuiceFileSystemTest.java:883</x:v>
      </x:c>
      <x:c r="I823" s="11" t="str">
        <x:v>https://github.com/juicedata/juicefs/blob/30190ca1094d26e85f19a979ca51b0ea19af1eaa/sdk/java/src/test/java/io/juicefs/JuiceFileSystemTest.java#L883</x:v>
      </x:c>
      <x:c r="J823" s="11" t="str">
        <x:v>未提升为 Windows 执行项</x:v>
      </x:c>
      <x:c r="K823" s="11" t="str">
        <x:v>见源文件及 CI 条件</x:v>
      </x:c>
      <x:c r="L823" s="11" t="str">
        <x:v>级别为源码目录初分，未执行项目不能计作通过</x:v>
      </x:c>
    </x:row>
    <x:row r="824" ht="42" customHeight="1">
      <x:c r="A824" s="10" t="str">
        <x:v>UP-c9fd968d863e</x:v>
      </x:c>
      <x:c r="B824" s="10" t="str">
        <x:v>L5</x:v>
      </x:c>
      <x:c r="C824" s="10" t="str">
        <x:v>平台与扩展边界</x:v>
      </x:c>
      <x:c r="D824" s="10" t="str">
        <x:v>testInnerSymlink</x:v>
      </x:c>
      <x:c r="E824" s="10" t="str">
        <x:v>Java 测试</x:v>
      </x:c>
      <x:c r="F824" s="10" t="str">
        <x:v>待执行</x:v>
      </x:c>
      <x:c r="G824" s="10" t="str">
        <x:v>SDK 范围；产品未直接使用此入口</x:v>
      </x:c>
      <x:c r="H824" s="10" t="str">
        <x:v>sdk/java/src/test/java/io/juicefs/JuiceFileSystemTest.java:947</x:v>
      </x:c>
      <x:c r="I824" s="10" t="str">
        <x:v>https://github.com/juicedata/juicefs/blob/30190ca1094d26e85f19a979ca51b0ea19af1eaa/sdk/java/src/test/java/io/juicefs/JuiceFileSystemTest.java#L947</x:v>
      </x:c>
      <x:c r="J824" s="10" t="str">
        <x:v>未提升为 Windows 执行项</x:v>
      </x:c>
      <x:c r="K824" s="10" t="str">
        <x:v>见源文件及 CI 条件</x:v>
      </x:c>
      <x:c r="L824" s="10" t="str">
        <x:v>级别为源码目录初分，未执行项目不能计作通过</x:v>
      </x:c>
    </x:row>
    <x:row r="825" ht="42" customHeight="1">
      <x:c r="A825" s="11" t="str">
        <x:v>UP-4d0546d31fdc</x:v>
      </x:c>
      <x:c r="B825" s="11" t="str">
        <x:v>L5</x:v>
      </x:c>
      <x:c r="C825" s="11" t="str">
        <x:v>平台与扩展边界</x:v>
      </x:c>
      <x:c r="D825" s="11" t="str">
        <x:v>testUserWithMultiGroups</x:v>
      </x:c>
      <x:c r="E825" s="11" t="str">
        <x:v>Java 测试</x:v>
      </x:c>
      <x:c r="F825" s="11" t="str">
        <x:v>待执行</x:v>
      </x:c>
      <x:c r="G825" s="11" t="str">
        <x:v>SDK 范围；产品未直接使用此入口</x:v>
      </x:c>
      <x:c r="H825" s="11" t="str">
        <x:v>sdk/java/src/test/java/io/juicefs/JuiceFileSystemTest.java:954</x:v>
      </x:c>
      <x:c r="I825" s="11" t="str">
        <x:v>https://github.com/juicedata/juicefs/blob/30190ca1094d26e85f19a979ca51b0ea19af1eaa/sdk/java/src/test/java/io/juicefs/JuiceFileSystemTest.java#L954</x:v>
      </x:c>
      <x:c r="J825" s="11" t="str">
        <x:v>未提升为 Windows 执行项</x:v>
      </x:c>
      <x:c r="K825" s="11" t="str">
        <x:v>见源文件及 CI 条件</x:v>
      </x:c>
      <x:c r="L825" s="11" t="str">
        <x:v>级别为源码目录初分，未执行项目不能计作通过</x:v>
      </x:c>
    </x:row>
    <x:row r="826" ht="42" customHeight="1">
      <x:c r="A826" s="10" t="str">
        <x:v>UP-ddbb83d28c5a</x:v>
      </x:c>
      <x:c r="B826" s="10" t="str">
        <x:v>L5</x:v>
      </x:c>
      <x:c r="C826" s="10" t="str">
        <x:v>平台与扩展边界</x:v>
      </x:c>
      <x:c r="D826" s="10" t="str">
        <x:v>testConcurrentCreate</x:v>
      </x:c>
      <x:c r="E826" s="10" t="str">
        <x:v>Java 测试</x:v>
      </x:c>
      <x:c r="F826" s="10" t="str">
        <x:v>待执行</x:v>
      </x:c>
      <x:c r="G826" s="10" t="str">
        <x:v>SDK 范围；产品未直接使用此入口</x:v>
      </x:c>
      <x:c r="H826" s="10" t="str">
        <x:v>sdk/java/src/test/java/io/juicefs/JuiceFileSystemTest.java:983</x:v>
      </x:c>
      <x:c r="I826" s="10" t="str">
        <x:v>https://github.com/juicedata/juicefs/blob/30190ca1094d26e85f19a979ca51b0ea19af1eaa/sdk/java/src/test/java/io/juicefs/JuiceFileSystemTest.java#L983</x:v>
      </x:c>
      <x:c r="J826" s="10" t="str">
        <x:v>未提升为 Windows 执行项</x:v>
      </x:c>
      <x:c r="K826" s="10" t="str">
        <x:v>见源文件及 CI 条件</x:v>
      </x:c>
      <x:c r="L826" s="10" t="str">
        <x:v>级别为源码目录初分，未执行项目不能计作通过</x:v>
      </x:c>
    </x:row>
    <x:row r="827" ht="42" customHeight="1">
      <x:c r="A827" s="11" t="str">
        <x:v>UP-fc1e10f94458</x:v>
      </x:c>
      <x:c r="B827" s="11" t="str">
        <x:v>L5</x:v>
      </x:c>
      <x:c r="C827" s="11" t="str">
        <x:v>平台与扩展边界</x:v>
      </x:c>
      <x:c r="D827" s="11" t="str">
        <x:v>testAcl</x:v>
      </x:c>
      <x:c r="E827" s="11" t="str">
        <x:v>Java 测试</x:v>
      </x:c>
      <x:c r="F827" s="11" t="str">
        <x:v>待执行</x:v>
      </x:c>
      <x:c r="G827" s="11" t="str">
        <x:v>SDK 范围；产品未直接使用此入口</x:v>
      </x:c>
      <x:c r="H827" s="11" t="str">
        <x:v>sdk/java/src/test/java/io/juicefs/JuiceFileSystemTest.java:1028</x:v>
      </x:c>
      <x:c r="I827" s="11" t="str">
        <x:v>https://github.com/juicedata/juicefs/blob/30190ca1094d26e85f19a979ca51b0ea19af1eaa/sdk/java/src/test/java/io/juicefs/JuiceFileSystemTest.java#L1028</x:v>
      </x:c>
      <x:c r="J827" s="11" t="str">
        <x:v>未提升为 Windows 执行项</x:v>
      </x:c>
      <x:c r="K827" s="11" t="str">
        <x:v>见源文件及 CI 条件</x:v>
      </x:c>
      <x:c r="L827" s="11" t="str">
        <x:v>级别为源码目录初分，未执行项目不能计作通过</x:v>
      </x:c>
    </x:row>
    <x:row r="828" ht="42" customHeight="1">
      <x:c r="A828" s="10" t="str">
        <x:v>UP-0060c1f84b50</x:v>
      </x:c>
      <x:c r="B828" s="10" t="str">
        <x:v>L5</x:v>
      </x:c>
      <x:c r="C828" s="10" t="str">
        <x:v>平台与扩展边界</x:v>
      </x:c>
      <x:c r="D828" s="10" t="str">
        <x:v>testAclException</x:v>
      </x:c>
      <x:c r="E828" s="10" t="str">
        <x:v>Java 测试</x:v>
      </x:c>
      <x:c r="F828" s="10" t="str">
        <x:v>待执行</x:v>
      </x:c>
      <x:c r="G828" s="10" t="str">
        <x:v>SDK 范围；产品未直接使用此入口</x:v>
      </x:c>
      <x:c r="H828" s="10" t="str">
        <x:v>sdk/java/src/test/java/io/juicefs/JuiceFileSystemTest.java:1047</x:v>
      </x:c>
      <x:c r="I828" s="10" t="str">
        <x:v>https://github.com/juicedata/juicefs/blob/30190ca1094d26e85f19a979ca51b0ea19af1eaa/sdk/java/src/test/java/io/juicefs/JuiceFileSystemTest.java#L1047</x:v>
      </x:c>
      <x:c r="J828" s="10" t="str">
        <x:v>未提升为 Windows 执行项</x:v>
      </x:c>
      <x:c r="K828" s="10" t="str">
        <x:v>见源文件及 CI 条件</x:v>
      </x:c>
      <x:c r="L828" s="10" t="str">
        <x:v>级别为源码目录初分，未执行项目不能计作通过</x:v>
      </x:c>
    </x:row>
    <x:row r="829" ht="42" customHeight="1">
      <x:c r="A829" s="11" t="str">
        <x:v>UP-45843ee1a1f7</x:v>
      </x:c>
      <x:c r="B829" s="11" t="str">
        <x:v>L5</x:v>
      </x:c>
      <x:c r="C829" s="11" t="str">
        <x:v>平台与扩展边界</x:v>
      </x:c>
      <x:c r="D829" s="11" t="str">
        <x:v>testDefaultAclExistingDirFile</x:v>
      </x:c>
      <x:c r="E829" s="11" t="str">
        <x:v>Java 测试</x:v>
      </x:c>
      <x:c r="F829" s="11" t="str">
        <x:v>待执行</x:v>
      </x:c>
      <x:c r="G829" s="11" t="str">
        <x:v>SDK 范围；产品未直接使用此入口</x:v>
      </x:c>
      <x:c r="H829" s="11" t="str">
        <x:v>sdk/java/src/test/java/io/juicefs/JuiceFileSystemTest.java:1061</x:v>
      </x:c>
      <x:c r="I829" s="11" t="str">
        <x:v>https://github.com/juicedata/juicefs/blob/30190ca1094d26e85f19a979ca51b0ea19af1eaa/sdk/java/src/test/java/io/juicefs/JuiceFileSystemTest.java#L1061</x:v>
      </x:c>
      <x:c r="J829" s="11" t="str">
        <x:v>未提升为 Windows 执行项</x:v>
      </x:c>
      <x:c r="K829" s="11" t="str">
        <x:v>见源文件及 CI 条件</x:v>
      </x:c>
      <x:c r="L829" s="11" t="str">
        <x:v>级别为源码目录初分，未执行项目不能计作通过</x:v>
      </x:c>
    </x:row>
    <x:row r="830" ht="42" customHeight="1">
      <x:c r="A830" s="10" t="str">
        <x:v>UP-b19d51327f8a</x:v>
      </x:c>
      <x:c r="B830" s="10" t="str">
        <x:v>L5</x:v>
      </x:c>
      <x:c r="C830" s="10" t="str">
        <x:v>平台与扩展边界</x:v>
      </x:c>
      <x:c r="D830" s="10" t="str">
        <x:v>testAccessAclNotInherited</x:v>
      </x:c>
      <x:c r="E830" s="10" t="str">
        <x:v>Java 测试</x:v>
      </x:c>
      <x:c r="F830" s="10" t="str">
        <x:v>待执行</x:v>
      </x:c>
      <x:c r="G830" s="10" t="str">
        <x:v>SDK 范围；产品未直接使用此入口</x:v>
      </x:c>
      <x:c r="H830" s="10" t="str">
        <x:v>sdk/java/src/test/java/io/juicefs/JuiceFileSystemTest.java:1116</x:v>
      </x:c>
      <x:c r="I830" s="10" t="str">
        <x:v>https://github.com/juicedata/juicefs/blob/30190ca1094d26e85f19a979ca51b0ea19af1eaa/sdk/java/src/test/java/io/juicefs/JuiceFileSystemTest.java#L1116</x:v>
      </x:c>
      <x:c r="J830" s="10" t="str">
        <x:v>未提升为 Windows 执行项</x:v>
      </x:c>
      <x:c r="K830" s="10" t="str">
        <x:v>见源文件及 CI 条件</x:v>
      </x:c>
      <x:c r="L830" s="10" t="str">
        <x:v>级别为源码目录初分，未执行项目不能计作通过</x:v>
      </x:c>
    </x:row>
    <x:row r="831" ht="42" customHeight="1">
      <x:c r="A831" s="11" t="str">
        <x:v>UP-3c3de2499977</x:v>
      </x:c>
      <x:c r="B831" s="11" t="str">
        <x:v>L5</x:v>
      </x:c>
      <x:c r="C831" s="11" t="str">
        <x:v>平台与扩展边界</x:v>
      </x:c>
      <x:c r="D831" s="11" t="str">
        <x:v>testFileStatusWithAcl</x:v>
      </x:c>
      <x:c r="E831" s="11" t="str">
        <x:v>Java 测试</x:v>
      </x:c>
      <x:c r="F831" s="11" t="str">
        <x:v>待执行</x:v>
      </x:c>
      <x:c r="G831" s="11" t="str">
        <x:v>SDK 范围；产品未直接使用此入口</x:v>
      </x:c>
      <x:c r="H831" s="11" t="str">
        <x:v>sdk/java/src/test/java/io/juicefs/JuiceFileSystemTest.java:1152</x:v>
      </x:c>
      <x:c r="I831" s="11" t="str">
        <x:v>https://github.com/juicedata/juicefs/blob/30190ca1094d26e85f19a979ca51b0ea19af1eaa/sdk/java/src/test/java/io/juicefs/JuiceFileSystemTest.java#L1152</x:v>
      </x:c>
      <x:c r="J831" s="11" t="str">
        <x:v>未提升为 Windows 执行项</x:v>
      </x:c>
      <x:c r="K831" s="11" t="str">
        <x:v>见源文件及 CI 条件</x:v>
      </x:c>
      <x:c r="L831" s="11" t="str">
        <x:v>级别为源码目录初分，未执行项目不能计作通过</x:v>
      </x:c>
    </x:row>
    <x:row r="832" ht="42" customHeight="1">
      <x:c r="A832" s="10" t="str">
        <x:v>UP-3172255a71a6</x:v>
      </x:c>
      <x:c r="B832" s="10" t="str">
        <x:v>L5</x:v>
      </x:c>
      <x:c r="C832" s="10" t="str">
        <x:v>平台与扩展边界</x:v>
      </x:c>
      <x:c r="D832" s="10" t="str">
        <x:v>testRenameAccessControlException</x:v>
      </x:c>
      <x:c r="E832" s="10" t="str">
        <x:v>Java 测试</x:v>
      </x:c>
      <x:c r="F832" s="10" t="str">
        <x:v>待执行</x:v>
      </x:c>
      <x:c r="G832" s="10" t="str">
        <x:v>SDK 范围；产品未直接使用此入口</x:v>
      </x:c>
      <x:c r="H832" s="10" t="str">
        <x:v>sdk/java/src/test/java/io/juicefs/JuiceFileSystemTest.java:1173</x:v>
      </x:c>
      <x:c r="I832" s="10" t="str">
        <x:v>https://github.com/juicedata/juicefs/blob/30190ca1094d26e85f19a979ca51b0ea19af1eaa/sdk/java/src/test/java/io/juicefs/JuiceFileSystemTest.java#L1173</x:v>
      </x:c>
      <x:c r="J832" s="10" t="str">
        <x:v>未提升为 Windows 执行项</x:v>
      </x:c>
      <x:c r="K832" s="10" t="str">
        <x:v>见源文件及 CI 条件</x:v>
      </x:c>
      <x:c r="L832" s="10" t="str">
        <x:v>级别为源码目录初分，未执行项目不能计作通过</x:v>
      </x:c>
    </x:row>
    <x:row r="833" ht="42" customHeight="1">
      <x:c r="A833" s="11" t="str">
        <x:v>UP-38c5c97b81a9</x:v>
      </x:c>
      <x:c r="B833" s="11" t="str">
        <x:v>L5</x:v>
      </x:c>
      <x:c r="C833" s="11" t="str">
        <x:v>平台与扩展边界</x:v>
      </x:c>
      <x:c r="D833" s="11" t="str">
        <x:v>testSubdir</x:v>
      </x:c>
      <x:c r="E833" s="11" t="str">
        <x:v>Java 测试</x:v>
      </x:c>
      <x:c r="F833" s="11" t="str">
        <x:v>待执行</x:v>
      </x:c>
      <x:c r="G833" s="11" t="str">
        <x:v>SDK 范围；产品未直接使用此入口</x:v>
      </x:c>
      <x:c r="H833" s="11" t="str">
        <x:v>sdk/java/src/test/java/io/juicefs/JuiceFileSystemTest.java:1205</x:v>
      </x:c>
      <x:c r="I833" s="11" t="str">
        <x:v>https://github.com/juicedata/juicefs/blob/30190ca1094d26e85f19a979ca51b0ea19af1eaa/sdk/java/src/test/java/io/juicefs/JuiceFileSystemTest.java#L1205</x:v>
      </x:c>
      <x:c r="J833" s="11" t="str">
        <x:v>未提升为 Windows 执行项</x:v>
      </x:c>
      <x:c r="K833" s="11" t="str">
        <x:v>见源文件及 CI 条件</x:v>
      </x:c>
      <x:c r="L833" s="11" t="str">
        <x:v>级别为源码目录初分，未执行项目不能计作通过</x:v>
      </x:c>
    </x:row>
    <x:row r="834" ht="42" customHeight="1">
      <x:c r="A834" s="10" t="str">
        <x:v>UP-2823a5cf7feb</x:v>
      </x:c>
      <x:c r="B834" s="10" t="str">
        <x:v>L5</x:v>
      </x:c>
      <x:c r="C834" s="10" t="str">
        <x:v>平台与扩展边界</x:v>
      </x:c>
      <x:c r="D834" s="10" t="str">
        <x:v>文件入口</x:v>
      </x:c>
      <x:c r="E834" s="10" t="str">
        <x:v>脚本／文件入口</x:v>
      </x:c>
      <x:c r="F834" s="10" t="str">
        <x:v>待执行</x:v>
      </x:c>
      <x:c r="G834" s="10" t="str">
        <x:v>SDK 范围；产品未直接使用此入口</x:v>
      </x:c>
      <x:c r="H834" s="10" t="str">
        <x:v>sdk/java/src/test/java/io/juicefs/permission/RangerAdminClientImpl.java:1</x:v>
      </x:c>
      <x:c r="I834" s="10" t="str">
        <x:v>https://github.com/juicedata/juicefs/blob/30190ca1094d26e85f19a979ca51b0ea19af1eaa/sdk/java/src/test/java/io/juicefs/permission/RangerAdminClientImpl.java#L1</x:v>
      </x:c>
      <x:c r="J834" s="10" t="str">
        <x:v>未提升为 Windows 执行项</x:v>
      </x:c>
      <x:c r="K834" s="10" t="str">
        <x:v>见源文件及 CI 条件</x:v>
      </x:c>
      <x:c r="L834" s="10" t="str">
        <x:v>无可静态枚举的命名测试函数；保留文件范围，不推定已执行；级别为源码目录初分，未执行项目不能计作通过</x:v>
      </x:c>
    </x:row>
    <x:row r="835" ht="42" customHeight="1">
      <x:c r="A835" s="11" t="str">
        <x:v>UP-edada4cd902c</x:v>
      </x:c>
      <x:c r="B835" s="11" t="str">
        <x:v>L5</x:v>
      </x:c>
      <x:c r="C835" s="11" t="str">
        <x:v>平台与扩展边界</x:v>
      </x:c>
      <x:c r="D835" s="11" t="str">
        <x:v>testRangerCheckerInitFailed</x:v>
      </x:c>
      <x:c r="E835" s="11" t="str">
        <x:v>Java 测试</x:v>
      </x:c>
      <x:c r="F835" s="11" t="str">
        <x:v>待执行</x:v>
      </x:c>
      <x:c r="G835" s="11" t="str">
        <x:v>SDK 范围；产品未直接使用此入口</x:v>
      </x:c>
      <x:c r="H835" s="11" t="str">
        <x:v>sdk/java/src/test/java/io/juicefs/permission/RangerPermissionCheckerTest.java:52</x:v>
      </x:c>
      <x:c r="I835" s="11" t="str">
        <x:v>https://github.com/juicedata/juicefs/blob/30190ca1094d26e85f19a979ca51b0ea19af1eaa/sdk/java/src/test/java/io/juicefs/permission/RangerPermissionCheckerTest.java#L52</x:v>
      </x:c>
      <x:c r="J835" s="11" t="str">
        <x:v>未提升为 Windows 执行项</x:v>
      </x:c>
      <x:c r="K835" s="11" t="str">
        <x:v>见源文件及 CI 条件</x:v>
      </x:c>
      <x:c r="L835" s="11" t="str">
        <x:v>级别为源码目录初分，未执行项目不能计作通过</x:v>
      </x:c>
    </x:row>
    <x:row r="836" ht="42" customHeight="1">
      <x:c r="A836" s="10" t="str">
        <x:v>UP-a7899d15d277</x:v>
      </x:c>
      <x:c r="B836" s="10" t="str">
        <x:v>L5</x:v>
      </x:c>
      <x:c r="C836" s="10" t="str">
        <x:v>平台与扩展边界</x:v>
      </x:c>
      <x:c r="D836" s="10" t="str">
        <x:v>testRead</x:v>
      </x:c>
      <x:c r="E836" s="10" t="str">
        <x:v>Java 测试</x:v>
      </x:c>
      <x:c r="F836" s="10" t="str">
        <x:v>待执行</x:v>
      </x:c>
      <x:c r="G836" s="10" t="str">
        <x:v>SDK 范围；产品未直接使用此入口</x:v>
      </x:c>
      <x:c r="H836" s="10" t="str">
        <x:v>sdk/java/src/test/java/io/juicefs/permission/RangerPermissionCheckerTest.java:91</x:v>
      </x:c>
      <x:c r="I836" s="10" t="str">
        <x:v>https://github.com/juicedata/juicefs/blob/30190ca1094d26e85f19a979ca51b0ea19af1eaa/sdk/java/src/test/java/io/juicefs/permission/RangerPermissionCheckerTest.java#L91</x:v>
      </x:c>
      <x:c r="J836" s="10" t="str">
        <x:v>未提升为 Windows 执行项</x:v>
      </x:c>
      <x:c r="K836" s="10" t="str">
        <x:v>见源文件及 CI 条件</x:v>
      </x:c>
      <x:c r="L836" s="10" t="str">
        <x:v>级别为源码目录初分，未执行项目不能计作通过</x:v>
      </x:c>
    </x:row>
    <x:row r="837" ht="42" customHeight="1">
      <x:c r="A837" s="11" t="str">
        <x:v>UP-e95a661ffe68</x:v>
      </x:c>
      <x:c r="B837" s="11" t="str">
        <x:v>L5</x:v>
      </x:c>
      <x:c r="C837" s="11" t="str">
        <x:v>平台与扩展边界</x:v>
      </x:c>
      <x:c r="D837" s="11" t="str">
        <x:v>testWrite</x:v>
      </x:c>
      <x:c r="E837" s="11" t="str">
        <x:v>Java 测试</x:v>
      </x:c>
      <x:c r="F837" s="11" t="str">
        <x:v>待执行</x:v>
      </x:c>
      <x:c r="G837" s="11" t="str">
        <x:v>SDK 范围；产品未直接使用此入口</x:v>
      </x:c>
      <x:c r="H837" s="11" t="str">
        <x:v>sdk/java/src/test/java/io/juicefs/permission/RangerPermissionCheckerTest.java:95</x:v>
      </x:c>
      <x:c r="I837" s="11" t="str">
        <x:v>https://github.com/juicedata/juicefs/blob/30190ca1094d26e85f19a979ca51b0ea19af1eaa/sdk/java/src/test/java/io/juicefs/permission/RangerPermissionCheckerTest.java#L95</x:v>
      </x:c>
      <x:c r="J837" s="11" t="str">
        <x:v>未提升为 Windows 执行项</x:v>
      </x:c>
      <x:c r="K837" s="11" t="str">
        <x:v>见源文件及 CI 条件</x:v>
      </x:c>
      <x:c r="L837" s="11" t="str">
        <x:v>级别为源码目录初分，未执行项目不能计作通过</x:v>
      </x:c>
    </x:row>
    <x:row r="838" ht="42" customHeight="1">
      <x:c r="A838" s="10" t="str">
        <x:v>UP-776247faa1ae</x:v>
      </x:c>
      <x:c r="B838" s="10" t="str">
        <x:v>L5</x:v>
      </x:c>
      <x:c r="C838" s="10" t="str">
        <x:v>平台与扩展边界</x:v>
      </x:c>
      <x:c r="D838" s="10" t="str">
        <x:v>testExecute</x:v>
      </x:c>
      <x:c r="E838" s="10" t="str">
        <x:v>Java 测试</x:v>
      </x:c>
      <x:c r="F838" s="10" t="str">
        <x:v>待执行</x:v>
      </x:c>
      <x:c r="G838" s="10" t="str">
        <x:v>SDK 范围；产品未直接使用此入口</x:v>
      </x:c>
      <x:c r="H838" s="10" t="str">
        <x:v>sdk/java/src/test/java/io/juicefs/permission/RangerPermissionCheckerTest.java:154</x:v>
      </x:c>
      <x:c r="I838" s="10" t="str">
        <x:v>https://github.com/juicedata/juicefs/blob/30190ca1094d26e85f19a979ca51b0ea19af1eaa/sdk/java/src/test/java/io/juicefs/permission/RangerPermissionCheckerTest.java#L154</x:v>
      </x:c>
      <x:c r="J838" s="10" t="str">
        <x:v>未提升为 Windows 执行项</x:v>
      </x:c>
      <x:c r="K838" s="10" t="str">
        <x:v>见源文件及 CI 条件</x:v>
      </x:c>
      <x:c r="L838" s="10" t="str">
        <x:v>级别为源码目录初分，未执行项目不能计作通过</x:v>
      </x:c>
    </x:row>
    <x:row r="839" ht="42" customHeight="1">
      <x:c r="A839" s="11" t="str">
        <x:v>UP-233fef014cb5</x:v>
      </x:c>
      <x:c r="B839" s="11" t="str">
        <x:v>L5</x:v>
      </x:c>
      <x:c r="C839" s="11" t="str">
        <x:v>平台与扩展边界</x:v>
      </x:c>
      <x:c r="D839" s="11" t="str">
        <x:v>testSetPermission</x:v>
      </x:c>
      <x:c r="E839" s="11" t="str">
        <x:v>Java 测试</x:v>
      </x:c>
      <x:c r="F839" s="11" t="str">
        <x:v>待执行</x:v>
      </x:c>
      <x:c r="G839" s="11" t="str">
        <x:v>SDK 范围；产品未直接使用此入口</x:v>
      </x:c>
      <x:c r="H839" s="11" t="str">
        <x:v>sdk/java/src/test/java/io/juicefs/permission/RangerPermissionCheckerTest.java:219</x:v>
      </x:c>
      <x:c r="I839" s="11" t="str">
        <x:v>https://github.com/juicedata/juicefs/blob/30190ca1094d26e85f19a979ca51b0ea19af1eaa/sdk/java/src/test/java/io/juicefs/permission/RangerPermissionCheckerTest.java#L219</x:v>
      </x:c>
      <x:c r="J839" s="11" t="str">
        <x:v>未提升为 Windows 执行项</x:v>
      </x:c>
      <x:c r="K839" s="11" t="str">
        <x:v>见源文件及 CI 条件</x:v>
      </x:c>
      <x:c r="L839" s="11" t="str">
        <x:v>级别为源码目录初分，未执行项目不能计作通过</x:v>
      </x:c>
    </x:row>
    <x:row r="840" ht="42" customHeight="1">
      <x:c r="A840" s="10" t="str">
        <x:v>UP-f4348e92f7d8</x:v>
      </x:c>
      <x:c r="B840" s="10" t="str">
        <x:v>L5</x:v>
      </x:c>
      <x:c r="C840" s="10" t="str">
        <x:v>平台与扩展边界</x:v>
      </x:c>
      <x:c r="D840" s="10" t="str">
        <x:v>testSetOwner</x:v>
      </x:c>
      <x:c r="E840" s="10" t="str">
        <x:v>Java 测试</x:v>
      </x:c>
      <x:c r="F840" s="10" t="str">
        <x:v>待执行</x:v>
      </x:c>
      <x:c r="G840" s="10" t="str">
        <x:v>SDK 范围；产品未直接使用此入口</x:v>
      </x:c>
      <x:c r="H840" s="10" t="str">
        <x:v>sdk/java/src/test/java/io/juicefs/permission/RangerPermissionCheckerTest.java:251</x:v>
      </x:c>
      <x:c r="I840" s="10" t="str">
        <x:v>https://github.com/juicedata/juicefs/blob/30190ca1094d26e85f19a979ca51b0ea19af1eaa/sdk/java/src/test/java/io/juicefs/permission/RangerPermissionCheckerTest.java#L251</x:v>
      </x:c>
      <x:c r="J840" s="10" t="str">
        <x:v>未提升为 Windows 执行项</x:v>
      </x:c>
      <x:c r="K840" s="10" t="str">
        <x:v>见源文件及 CI 条件</x:v>
      </x:c>
      <x:c r="L840" s="10" t="str">
        <x:v>级别为源码目录初分，未执行项目不能计作通过</x:v>
      </x:c>
    </x:row>
    <x:row r="841" ht="42" customHeight="1">
      <x:c r="A841" s="11" t="str">
        <x:v>UP-14aebbaeda3d</x:v>
      </x:c>
      <x:c r="B841" s="11" t="str">
        <x:v>L5</x:v>
      </x:c>
      <x:c r="C841" s="11" t="str">
        <x:v>平台与扩展边界</x:v>
      </x:c>
      <x:c r="D841" s="11" t="str">
        <x:v>testReadTestUsingTagPolicy</x:v>
      </x:c>
      <x:c r="E841" s="11" t="str">
        <x:v>Java 测试</x:v>
      </x:c>
      <x:c r="F841" s="11" t="str">
        <x:v>待执行</x:v>
      </x:c>
      <x:c r="G841" s="11" t="str">
        <x:v>SDK 范围；产品未直接使用此入口</x:v>
      </x:c>
      <x:c r="H841" s="11" t="str">
        <x:v>sdk/java/src/test/java/io/juicefs/permission/RangerPermissionCheckerTest.java:283</x:v>
      </x:c>
      <x:c r="I841" s="11" t="str">
        <x:v>https://github.com/juicedata/juicefs/blob/30190ca1094d26e85f19a979ca51b0ea19af1eaa/sdk/java/src/test/java/io/juicefs/permission/RangerPermissionCheckerTest.java#L283</x:v>
      </x:c>
      <x:c r="J841" s="11" t="str">
        <x:v>未提升为 Windows 执行项</x:v>
      </x:c>
      <x:c r="K841" s="11" t="str">
        <x:v>见源文件及 CI 条件</x:v>
      </x:c>
      <x:c r="L841" s="11" t="str">
        <x:v>级别为源码目录初分，未执行项目不能计作通过</x:v>
      </x:c>
    </x:row>
    <x:row r="842" ht="42" customHeight="1">
      <x:c r="A842" s="10" t="str">
        <x:v>UP-aa993d73aeed</x:v>
      </x:c>
      <x:c r="B842" s="10" t="str">
        <x:v>L5</x:v>
      </x:c>
      <x:c r="C842" s="10" t="str">
        <x:v>平台与扩展边界</x:v>
      </x:c>
      <x:c r="D842" s="10" t="str">
        <x:v>testHDFSContentSummary</x:v>
      </x:c>
      <x:c r="E842" s="10" t="str">
        <x:v>Java 测试</x:v>
      </x:c>
      <x:c r="F842" s="10" t="str">
        <x:v>待执行</x:v>
      </x:c>
      <x:c r="G842" s="10" t="str">
        <x:v>SDK 范围；产品未直接使用此入口</x:v>
      </x:c>
      <x:c r="H842" s="10" t="str">
        <x:v>sdk/java/src/test/java/io/juicefs/permission/RangerPermissionCheckerTest.java:372</x:v>
      </x:c>
      <x:c r="I842" s="10" t="str">
        <x:v>https://github.com/juicedata/juicefs/blob/30190ca1094d26e85f19a979ca51b0ea19af1eaa/sdk/java/src/test/java/io/juicefs/permission/RangerPermissionCheckerTest.java#L372</x:v>
      </x:c>
      <x:c r="J842" s="10" t="str">
        <x:v>未提升为 Windows 执行项</x:v>
      </x:c>
      <x:c r="K842" s="10" t="str">
        <x:v>见源文件及 CI 条件</x:v>
      </x:c>
      <x:c r="L842" s="10" t="str">
        <x:v>级别为源码目录初分，未执行项目不能计作通过</x:v>
      </x:c>
    </x:row>
    <x:row r="843" ht="42" customHeight="1">
      <x:c r="A843" s="11" t="str">
        <x:v>UP-2fc64add1857</x:v>
      </x:c>
      <x:c r="B843" s="11" t="str">
        <x:v>L5</x:v>
      </x:c>
      <x:c r="C843" s="11" t="str">
        <x:v>平台与扩展边界</x:v>
      </x:c>
      <x:c r="D843" s="11" t="str">
        <x:v>testBgTask</x:v>
      </x:c>
      <x:c r="E843" s="11" t="str">
        <x:v>Java 测试</x:v>
      </x:c>
      <x:c r="F843" s="11" t="str">
        <x:v>待执行</x:v>
      </x:c>
      <x:c r="G843" s="11" t="str">
        <x:v>SDK 范围；产品未直接使用此入口</x:v>
      </x:c>
      <x:c r="H843" s="11" t="str">
        <x:v>sdk/java/src/test/java/io/juicefs/utils/BgTaskUtilTest.java:15</x:v>
      </x:c>
      <x:c r="I843" s="11" t="str">
        <x:v>https://github.com/juicedata/juicefs/blob/30190ca1094d26e85f19a979ca51b0ea19af1eaa/sdk/java/src/test/java/io/juicefs/utils/BgTaskUtilTest.java#L15</x:v>
      </x:c>
      <x:c r="J843" s="11" t="str">
        <x:v>未提升为 Windows 执行项</x:v>
      </x:c>
      <x:c r="K843" s="11" t="str">
        <x:v>见源文件及 CI 条件</x:v>
      </x:c>
      <x:c r="L843" s="11" t="str">
        <x:v>级别为源码目录初分，未执行项目不能计作通过</x:v>
      </x:c>
    </x:row>
    <x:row r="844" ht="42" customHeight="1">
      <x:c r="A844" s="10" t="str">
        <x:v>UP-5d7f3fab7d93</x:v>
      </x:c>
      <x:c r="B844" s="10" t="str">
        <x:v>L5</x:v>
      </x:c>
      <x:c r="C844" s="10" t="str">
        <x:v>平台与扩展边界</x:v>
      </x:c>
      <x:c r="D844" s="10" t="str">
        <x:v>testConsitentHashCompat</x:v>
      </x:c>
      <x:c r="E844" s="10" t="str">
        <x:v>Java 测试</x:v>
      </x:c>
      <x:c r="F844" s="10" t="str">
        <x:v>待执行</x:v>
      </x:c>
      <x:c r="G844" s="10" t="str">
        <x:v>SDK 范围；产品未直接使用此入口</x:v>
      </x:c>
      <x:c r="H844" s="10" t="str">
        <x:v>sdk/java/src/test/java/io/juicefs/utils/HashTest.java:37</x:v>
      </x:c>
      <x:c r="I844" s="10" t="str">
        <x:v>https://github.com/juicedata/juicefs/blob/30190ca1094d26e85f19a979ca51b0ea19af1eaa/sdk/java/src/test/java/io/juicefs/utils/HashTest.java#L37</x:v>
      </x:c>
      <x:c r="J844" s="10" t="str">
        <x:v>未提升为 Windows 执行项</x:v>
      </x:c>
      <x:c r="K844" s="10" t="str">
        <x:v>见源文件及 CI 条件</x:v>
      </x:c>
      <x:c r="L844" s="10" t="str">
        <x:v>级别为源码目录初分，未执行项目不能计作通过</x:v>
      </x:c>
    </x:row>
    <x:row r="845" ht="42" customHeight="1">
      <x:c r="A845" s="11" t="str">
        <x:v>UP-a701e4a9b8da</x:v>
      </x:c>
      <x:c r="B845" s="11" t="str">
        <x:v>L5</x:v>
      </x:c>
      <x:c r="C845" s="11" t="str">
        <x:v>平台与扩展边界</x:v>
      </x:c>
      <x:c r="D845" s="11" t="str">
        <x:v>testConsitentHash</x:v>
      </x:c>
      <x:c r="E845" s="11" t="str">
        <x:v>Java 测试</x:v>
      </x:c>
      <x:c r="F845" s="11" t="str">
        <x:v>待执行</x:v>
      </x:c>
      <x:c r="G845" s="11" t="str">
        <x:v>SDK 范围；产品未直接使用此入口</x:v>
      </x:c>
      <x:c r="H845" s="11" t="str">
        <x:v>sdk/java/src/test/java/io/juicefs/utils/HashTest.java:48</x:v>
      </x:c>
      <x:c r="I845" s="11" t="str">
        <x:v>https://github.com/juicedata/juicefs/blob/30190ca1094d26e85f19a979ca51b0ea19af1eaa/sdk/java/src/test/java/io/juicefs/utils/HashTest.java#L48</x:v>
      </x:c>
      <x:c r="J845" s="11" t="str">
        <x:v>未提升为 Windows 执行项</x:v>
      </x:c>
      <x:c r="K845" s="11" t="str">
        <x:v>见源文件及 CI 条件</x:v>
      </x:c>
      <x:c r="L845" s="11" t="str">
        <x:v>级别为源码目录初分，未执行项目不能计作通过</x:v>
      </x:c>
    </x:row>
    <x:row r="846" ht="42" customHeight="1">
      <x:c r="A846" s="10" t="str">
        <x:v>UP-5b12185d1d54</x:v>
      </x:c>
      <x:c r="B846" s="10" t="str">
        <x:v>L5</x:v>
      </x:c>
      <x:c r="C846" s="10" t="str">
        <x:v>平台与扩展边界</x:v>
      </x:c>
      <x:c r="D846" s="10" t="str">
        <x:v>文件入口</x:v>
      </x:c>
      <x:c r="E846" s="10" t="str">
        <x:v>配置或辅助文件</x:v>
      </x:c>
      <x:c r="F846" s="10" t="str">
        <x:v>辅助文件</x:v>
      </x:c>
      <x:c r="G846" s="10" t="str">
        <x:v>SDK 范围；产品未直接使用此入口</x:v>
      </x:c>
      <x:c r="H846" s="10" t="str">
        <x:v>sdk/java/src/test/resources/testAclCLI.xml:1</x:v>
      </x:c>
      <x:c r="I846" s="10" t="str">
        <x:v>https://github.com/juicedata/juicefs/blob/30190ca1094d26e85f19a979ca51b0ea19af1eaa/sdk/java/src/test/resources/testAclCLI.xml#L1</x:v>
      </x:c>
      <x:c r="J846" s="10" t="str">
        <x:v>未提升为 Windows 执行项</x:v>
      </x:c>
      <x:c r="K846" s="10" t="str">
        <x:v>见源文件及 CI 条件</x:v>
      </x:c>
      <x:c r="L846" s="10" t="str">
        <x:v>无可静态枚举的命名测试函数；保留文件范围，不推定已执行；级别为源码目录初分，未执行项目不能计作通过</x:v>
      </x:c>
    </x:row>
    <x:row r="847" ht="42" customHeight="1">
      <x:c r="A847" s="11" t="str">
        <x:v>UP-73bb2b8ab964</x:v>
      </x:c>
      <x:c r="B847" s="11" t="str">
        <x:v>L5</x:v>
      </x:c>
      <x:c r="C847" s="11" t="str">
        <x:v>平台与扩展边界</x:v>
      </x:c>
      <x:c r="D847" s="11" t="str">
        <x:v>文件入口</x:v>
      </x:c>
      <x:c r="E847" s="11" t="str">
        <x:v>脚本／文件入口</x:v>
      </x:c>
      <x:c r="F847" s="11" t="str">
        <x:v>待执行</x:v>
      </x:c>
      <x:c r="G847" s="11" t="str">
        <x:v>SDK 范围；产品未直接使用此入口</x:v>
      </x:c>
      <x:c r="H847" s="11" t="str">
        <x:v>sdk/java/src/test/test-spark.sh:1</x:v>
      </x:c>
      <x:c r="I847" s="11" t="str">
        <x:v>https://github.com/juicedata/juicefs/blob/30190ca1094d26e85f19a979ca51b0ea19af1eaa/sdk/java/src/test/test-spark.sh#L1</x:v>
      </x:c>
      <x:c r="J847" s="11" t="str">
        <x:v>未提升为 Windows 执行项</x:v>
      </x:c>
      <x:c r="K847" s="11" t="str">
        <x:v>见源文件及 CI 条件</x:v>
      </x:c>
      <x:c r="L847" s="11" t="str">
        <x:v>无可静态枚举的命名测试函数；保留文件范围，不推定已执行；级别为源码目录初分，未执行项目不能计作通过</x:v>
      </x:c>
    </x:row>
    <x:row r="848" ht="42" customHeight="1">
      <x:c r="A848" s="10" t="str">
        <x:v>UP-88947a7679b1</x:v>
      </x:c>
      <x:c r="B848" s="10" t="str">
        <x:v>L5</x:v>
      </x:c>
      <x:c r="C848" s="10" t="str">
        <x:v>平台与扩展边界</x:v>
      </x:c>
      <x:c r="D848" s="10" t="str">
        <x:v>文件入口</x:v>
      </x:c>
      <x:c r="E848" s="10" t="str">
        <x:v>脚本／文件入口</x:v>
      </x:c>
      <x:c r="F848" s="10" t="str">
        <x:v>待执行</x:v>
      </x:c>
      <x:c r="G848" s="10" t="str">
        <x:v>SDK 范围；产品未直接使用此入口</x:v>
      </x:c>
      <x:c r="H848" s="10" t="str">
        <x:v>sdk/python/juicefs/tests/__init__.py:1</x:v>
      </x:c>
      <x:c r="I848" s="10" t="str">
        <x:v>https://github.com/juicedata/juicefs/blob/30190ca1094d26e85f19a979ca51b0ea19af1eaa/sdk/python/juicefs/tests/__init__.py#L1</x:v>
      </x:c>
      <x:c r="J848" s="10" t="str">
        <x:v>未提升为 Windows 执行项</x:v>
      </x:c>
      <x:c r="K848" s="10" t="str">
        <x:v>见源文件及 CI 条件</x:v>
      </x:c>
      <x:c r="L848" s="10" t="str">
        <x:v>无可静态枚举的命名测试函数；保留文件范围，不推定已执行；级别为源码目录初分，未执行项目不能计作通过</x:v>
      </x:c>
    </x:row>
    <x:row r="849" ht="42" customHeight="1">
      <x:c r="A849" s="11" t="str">
        <x:v>UP-8b3ce8ba197a</x:v>
      </x:c>
      <x:c r="B849" s="11" t="str">
        <x:v>L5</x:v>
      </x:c>
      <x:c r="C849" s="11" t="str">
        <x:v>平台与扩展边界</x:v>
      </x:c>
      <x:c r="D849" s="11" t="str">
        <x:v>文件入口</x:v>
      </x:c>
      <x:c r="E849" s="11" t="str">
        <x:v>脚本／文件入口</x:v>
      </x:c>
      <x:c r="F849" s="11" t="str">
        <x:v>待执行</x:v>
      </x:c>
      <x:c r="G849" s="11" t="str">
        <x:v>SDK 范围；产品未直接使用此入口</x:v>
      </x:c>
      <x:c r="H849" s="11" t="str">
        <x:v>sdk/python/juicefs/tests/test.py:1</x:v>
      </x:c>
      <x:c r="I849" s="11" t="str">
        <x:v>https://github.com/juicedata/juicefs/blob/30190ca1094d26e85f19a979ca51b0ea19af1eaa/sdk/python/juicefs/tests/test.py#L1</x:v>
      </x:c>
      <x:c r="J849" s="11" t="str">
        <x:v>未提升为 Windows 执行项</x:v>
      </x:c>
      <x:c r="K849" s="11" t="str">
        <x:v>见源文件及 CI 条件</x:v>
      </x:c>
      <x:c r="L849" s="11" t="str">
        <x:v>无可静态枚举的命名测试函数；保留文件范围，不推定已执行；级别为源码目录初分，未执行项目不能计作通过</x:v>
      </x:c>
    </x:row>
  </x:sheetData>
  <x:dataValidations count="1">
    <x:dataValidation type="list" sqref="B6:B849">
      <x:formula1>"L1,L2,L3,L4,L5"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513f886d37495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4" hidden="0" customWidth="1"/>
    <x:col min="2" max="2" width="38" hidden="0" customWidth="1"/>
    <x:col min="3" max="3" width="40" hidden="0" customWidth="1"/>
    <x:col min="4" max="4" width="55" hidden="0" customWidth="1"/>
    <x:col min="5" max="5" width="80" hidden="0" customWidth="1"/>
    <x:col min="6" max="6" width="85" hidden="0" customWidth="1"/>
    <x:col min="7" max="7" width="100" hidden="0" customWidth="1"/>
    <x:col min="8" max="8" width="65" hidden="0" customWidth="1"/>
    <x:col min="9" max="9" width="10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JuiceFS CI 范围登记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固定版本 36 个 workflow、71 个 job。包含构建、发布与扫描；job 数不等于文件系统用例数。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8" t="str">
        <x:v>工作流文件</x:v>
      </x:c>
      <x:c r="B5" s="8" t="str">
        <x:v>Job</x:v>
      </x:c>
      <x:c r="C5" s="8" t="str">
        <x:v>运行环境</x:v>
      </x:c>
      <x:c r="D5" s="8" t="str">
        <x:v>条件</x:v>
      </x:c>
      <x:c r="E5" s="8" t="str">
        <x:v>参数矩阵（源码）</x:v>
      </x:c>
      <x:c r="F5" s="8" t="str">
        <x:v>脚本引用</x:v>
      </x:c>
      <x:c r="G5" s="8" t="str">
        <x:v>外部工具入口（源码）</x:v>
      </x:c>
      <x:c r="H5" s="8" t="str">
        <x:v>本项目执行边界</x:v>
      </x:c>
      <x:c r="I5" s="8" t="str">
        <x:v>固定版本来源</x:v>
      </x:c>
    </x:row>
    <x:row r="6" ht="42" customHeight="1">
      <x:c r="A6" s="10" t="str">
        <x:v>.github/workflows/cache.yml</x:v>
      </x:c>
      <x:c r="B6" s="10" t="str">
        <x:v>cache</x:v>
      </x:c>
      <x:c r="C6" s="10" t="str">
        <x:v>ubuntu-22.04</x:v>
      </x:c>
      <x:c r="D6" s="10" t="str">
        <x:v>按 workflow 触发条件</x:v>
      </x:c>
      <x:c r="E6" s="10" t="str">
        <x:v>无静态矩阵块</x:v>
      </x:c>
      <x:c r="F6" s="10" t="str">
        <x:v>.github/scripts/cache.sh
.github/scripts/check_juicefs_log.sh</x:v>
      </x:c>
      <x:c r="G6" s="10" t="str">
        <x:v>无匹配的外部工具命令</x:v>
      </x:c>
      <x:c r="H6" s="10" t="str">
        <x:v>无本项目该 job 完整执行证据</x:v>
      </x:c>
      <x:c r="I6" s="10" t="str">
        <x:v>https://github.com/juicedata/juicefs/blob/30190ca1094d26e85f19a979ca51b0ea19af1eaa/.github/workflows/cache.yml</x:v>
      </x:c>
    </x:row>
    <x:row r="7" ht="42" customHeight="1">
      <x:c r="A7" s="11" t="str">
        <x:v>.github/workflows/cancel_outdate_runs.yml</x:v>
      </x:c>
      <x:c r="B7" s="11" t="str">
        <x:v>cancel-outdate-runs</x:v>
      </x:c>
      <x:c r="C7" s="11" t="str">
        <x:v>ubuntu-22.04</x:v>
      </x:c>
      <x:c r="D7" s="11" t="str">
        <x:v>github.event.pull_request.head.repo.full_name == github.repository</x:v>
      </x:c>
      <x:c r="E7" s="11" t="str">
        <x:v>无静态矩阵块</x:v>
      </x:c>
      <x:c r="F7" s="11" t="str">
        <x:v>无本目录脚本引用</x:v>
      </x:c>
      <x:c r="G7" s="11" t="str">
        <x:v>无匹配的外部工具命令</x:v>
      </x:c>
      <x:c r="H7" s="11" t="str">
        <x:v>无本项目该 job 完整执行证据</x:v>
      </x:c>
      <x:c r="I7" s="11" t="str">
        <x:v>https://github.com/juicedata/juicefs/blob/30190ca1094d26e85f19a979ca51b0ea19af1eaa/.github/workflows/cancel_outdate_runs.yml</x:v>
      </x:c>
    </x:row>
    <x:row r="8" ht="154" customHeight="1">
      <x:c r="A8" s="10" t="str">
        <x:v>.github/workflows/chaos.yml</x:v>
      </x:c>
      <x:c r="B8" s="10" t="str">
        <x:v>chaos-test</x:v>
      </x:c>
      <x:c r="C8" s="10" t="str">
        <x:v>ubuntu-22.04</x:v>
      </x:c>
      <x:c r="D8" s="10" t="str">
        <x:v>按 workflow 触发条件</x:v>
      </x:c>
      <x:c r="E8" s="10" t="str">
        <x:v># chaos: ["minio-io", "minio-memory", "minio-cpu", "minio-bandwidth", "redis-bandwidth", "redis-io", "redis-delay", "redis-memory", "redis-cpu", "juicefs-bandwidth", "juicefs-memory", "juicefs-cpu", "juicefs-delay"]
        chaos: ["minio-io", "minio-memory", "minio-cpu", "minio-bandwidth",  "redis-io", "redis-delay", "redis-memory", "redis-cpu", "juicefs-bandwidth", "juicefs-memory", "juicefs-cpu", "juicefs-delay"]
        # chaos: ["minio-io"]</x:v>
      </x:c>
      <x:c r="F8" s="10" t="str">
        <x:v>.github/scripts/apt_install.sh
.github/scripts/chaos/dynamic.yaml
.github/scripts/chaos/juicefs-csi-driver.Dockerfile
.github/scripts/chaos/juicefs.Dockerfile
.github/scripts/chaos/minio.yaml
.github/scripts/chaos/pvc.yaml
.github/scripts/chaos/redis.yaml
.github/scripts/chaos/sc.yaml
另 1 行见固定版本来源及 JSON 清单</x:v>
      </x:c>
      <x:c r="G8" s="10" t="str">
        <x:v>- name: Check vdbench log
kubectl logs -n default $POD_NAME &gt; vdbench.log
cat vdbench.log</x:v>
      </x:c>
      <x:c r="H8" s="10" t="str">
        <x:v>无本项目该 job 完整执行证据</x:v>
      </x:c>
      <x:c r="I8" s="10" t="str">
        <x:v>https://github.com/juicedata/juicefs/blob/30190ca1094d26e85f19a979ca51b0ea19af1eaa/.github/workflows/chaos.yml</x:v>
      </x:c>
    </x:row>
    <x:row r="9" ht="42" customHeight="1">
      <x:c r="A9" s="11" t="str">
        <x:v>.github/workflows/chaos.yml</x:v>
      </x:c>
      <x:c r="B9" s="11" t="str">
        <x:v>success-all-test</x:v>
      </x:c>
      <x:c r="C9" s="11" t="str">
        <x:v>ubuntu-latest</x:v>
      </x:c>
      <x:c r="D9" s="11" t="str">
        <x:v>always()</x:v>
      </x:c>
      <x:c r="E9" s="11" t="str">
        <x:v>无静态矩阵块</x:v>
      </x:c>
      <x:c r="F9" s="11" t="str">
        <x:v>无本目录脚本引用</x:v>
      </x:c>
      <x:c r="G9" s="11" t="str">
        <x:v>无匹配的外部工具命令</x:v>
      </x:c>
      <x:c r="H9" s="11" t="str">
        <x:v>无本项目该 job 完整执行证据</x:v>
      </x:c>
      <x:c r="I9" s="11" t="str">
        <x:v>https://github.com/juicedata/juicefs/blob/30190ca1094d26e85f19a979ca51b0ea19af1eaa/.github/workflows/chaos.yml</x:v>
      </x:c>
    </x:row>
    <x:row r="10" ht="42" customHeight="1">
      <x:c r="A10" s="10" t="str">
        <x:v>.github/workflows/check-doc.yaml</x:v>
      </x:c>
      <x:c r="B10" s="10" t="str">
        <x:v>check-doc</x:v>
      </x:c>
      <x:c r="C10" s="10" t="str">
        <x:v>ubuntu-latest</x:v>
      </x:c>
      <x:c r="D10" s="10" t="str">
        <x:v>按 workflow 触发条件</x:v>
      </x:c>
      <x:c r="E10" s="10" t="str">
        <x:v>无静态矩阵块</x:v>
      </x:c>
      <x:c r="F10" s="10" t="str">
        <x:v>无本目录脚本引用</x:v>
      </x:c>
      <x:c r="G10" s="10" t="str">
        <x:v>无匹配的外部工具命令</x:v>
      </x:c>
      <x:c r="H10" s="10" t="str">
        <x:v>无本项目该 job 完整执行证据</x:v>
      </x:c>
      <x:c r="I10" s="10" t="str">
        <x:v>https://github.com/juicedata/juicefs/blob/30190ca1094d26e85f19a979ca51b0ea19af1eaa/.github/workflows/check-doc.yaml</x:v>
      </x:c>
    </x:row>
    <x:row r="11" ht="122" customHeight="1">
      <x:c r="A11" s="11" t="str">
        <x:v>.github/workflows/codeql-analysis.yml</x:v>
      </x:c>
      <x:c r="B11" s="11" t="str">
        <x:v>analyze</x:v>
      </x:c>
      <x:c r="C11" s="11" t="str">
        <x:v>ubuntu-22.04</x:v>
      </x:c>
      <x:c r="D11" s="11" t="str">
        <x:v>按 workflow 触发条件</x:v>
      </x:c>
      <x:c r="E11" s="11" t="str">
        <x:v>language: ['java','go']
        # CodeQL supports [ 'cpp', 'csharp', 'go', 'java', 'javascript', 'python' ]
        # Learn more:
        # https://docs.github.com/en/free-pro-team@latest/github/finding-security-vulnerabilities-and-errors-in-your-code/configuring-code-scanning#changing-the-languages-that-are-analyzed</x:v>
      </x:c>
      <x:c r="F11" s="11" t="str">
        <x:v>无本目录脚本引用</x:v>
      </x:c>
      <x:c r="G11" s="11" t="str">
        <x:v>无匹配的外部工具命令</x:v>
      </x:c>
      <x:c r="H11" s="11" t="str">
        <x:v>无本项目该 job 完整执行证据</x:v>
      </x:c>
      <x:c r="I11" s="11" t="str">
        <x:v>https://github.com/juicedata/juicefs/blob/30190ca1094d26e85f19a979ca51b0ea19af1eaa/.github/workflows/codeql-analysis.yml</x:v>
      </x:c>
    </x:row>
    <x:row r="12" ht="154" customHeight="1">
      <x:c r="A12" s="10" t="str">
        <x:v>.github/workflows/command-win.yml</x:v>
      </x:c>
      <x:c r="B12" s="10" t="str">
        <x:v>command-win</x:v>
      </x:c>
      <x:c r="C12" s="10" t="str">
        <x:v>windows-2019</x:v>
      </x:c>
      <x:c r="D12" s="10" t="str">
        <x:v>按 workflow 触发条件</x:v>
      </x:c>
      <x:c r="E12" s="10" t="str">
        <x:v>无静态矩阵块</x:v>
      </x:c>
      <x:c r="F12" s="10" t="str">
        <x:v>.github/scripts/command-win/acl.sh
.github/scripts/command-win/clone.sh
.github/scripts/command-win/debug.sh
.github/scripts/command-win/dump_load.sh
.github/scripts/command-win/fsck.sh
.github/scripts/command-win/gateway.sh
.github/scripts/command-win/gc.sh
.github/scripts/command-win/profile.sh
另 2 行见固定版本来源及 JSON 清单</x:v>
      </x:c>
      <x:c r="G12" s="10" t="str">
        <x:v>无匹配的外部工具命令</x:v>
      </x:c>
      <x:c r="H12" s="10" t="str">
        <x:v>部分执行；详见主矩阵，不能把整个 job 标为通过</x:v>
      </x:c>
      <x:c r="I12" s="10" t="str">
        <x:v>https://github.com/juicedata/juicefs/blob/30190ca1094d26e85f19a979ca51b0ea19af1eaa/.github/workflows/command-win.yml</x:v>
      </x:c>
    </x:row>
    <x:row r="13" ht="42" customHeight="1">
      <x:c r="A13" s="11" t="str">
        <x:v>.github/workflows/command.yml</x:v>
      </x:c>
      <x:c r="B13" s="11" t="str">
        <x:v>build-matrix</x:v>
      </x:c>
      <x:c r="C13" s="11" t="str">
        <x:v>ubuntu-22.04</x:v>
      </x:c>
      <x:c r="D13" s="11" t="str">
        <x:v>按 workflow 触发条件</x:v>
      </x:c>
      <x:c r="E13" s="11" t="str">
        <x:v>无静态矩阵块</x:v>
      </x:c>
      <x:c r="F13" s="11" t="str">
        <x:v>无本目录脚本引用</x:v>
      </x:c>
      <x:c r="G13" s="11" t="str">
        <x:v>无匹配的外部工具命令</x:v>
      </x:c>
      <x:c r="H13" s="11" t="str">
        <x:v>无本项目该 job 完整执行证据</x:v>
      </x:c>
      <x:c r="I13" s="11" t="str">
        <x:v>https://github.com/juicedata/juicefs/blob/30190ca1094d26e85f19a979ca51b0ea19af1eaa/.github/workflows/command.yml</x:v>
      </x:c>
    </x:row>
    <x:row r="14" ht="154" customHeight="1">
      <x:c r="A14" s="10" t="str">
        <x:v>.github/workflows/command.yml</x:v>
      </x:c>
      <x:c r="B14" s="10" t="str">
        <x:v>command_test1</x:v>
      </x:c>
      <x:c r="C14" s="10" t="str">
        <x:v>ubuntu-22.04</x:v>
      </x:c>
      <x:c r="D14" s="10" t="str">
        <x:v>按 workflow 触发条件</x:v>
      </x:c>
      <x:c r="E14" s="10" t="str">
        <x:v># meta: [ 'sqlite3', 'redis', 'tikv']
        meta: ${{ fromJson(needs.build-matrix.outputs.meta_matrix) }}</x:v>
      </x:c>
      <x:c r="F14" s="10" t="str">
        <x:v>.github/scripts/command/acl.sh
.github/scripts/command/clone.sh
.github/scripts/command/config.sh
.github/scripts/command/debug.sh
.github/scripts/command/format.sh
.github/scripts/command/fsck.sh
.github/scripts/command/gateway.sh
.github/scripts/command/gc.sh
另 2 行见固定版本来源及 JSON 清单</x:v>
      </x:c>
      <x:c r="G14" s="10" t="str">
        <x:v>无匹配的外部工具命令</x:v>
      </x:c>
      <x:c r="H14" s="10" t="str">
        <x:v>无本项目该 job 完整执行证据</x:v>
      </x:c>
      <x:c r="I14" s="10" t="str">
        <x:v>https://github.com/juicedata/juicefs/blob/30190ca1094d26e85f19a979ca51b0ea19af1eaa/.github/workflows/command.yml</x:v>
      </x:c>
    </x:row>
    <x:row r="15" ht="42" customHeight="1">
      <x:c r="A15" s="11" t="str">
        <x:v>.github/workflows/command.yml</x:v>
      </x:c>
      <x:c r="B15" s="11" t="str">
        <x:v>command_test2</x:v>
      </x:c>
      <x:c r="C15" s="11" t="str">
        <x:v>ubuntu-22.04</x:v>
      </x:c>
      <x:c r="D15" s="11" t="str">
        <x:v>按 workflow 触发条件</x:v>
      </x:c>
      <x:c r="E15" s="11" t="str">
        <x:v>meta: ${{ fromJson(needs.build-matrix.outputs.meta_matrix) }}</x:v>
      </x:c>
      <x:c r="F15" s="11" t="str">
        <x:v>.github/scripts/command/quota.sh</x:v>
      </x:c>
      <x:c r="G15" s="11" t="str">
        <x:v>无匹配的外部工具命令</x:v>
      </x:c>
      <x:c r="H15" s="11" t="str">
        <x:v>无本项目该 job 完整执行证据</x:v>
      </x:c>
      <x:c r="I15" s="11" t="str">
        <x:v>https://github.com/juicedata/juicefs/blob/30190ca1094d26e85f19a979ca51b0ea19af1eaa/.github/workflows/command.yml</x:v>
      </x:c>
    </x:row>
    <x:row r="16" ht="42" customHeight="1">
      <x:c r="A16" s="10" t="str">
        <x:v>.github/workflows/command.yml</x:v>
      </x:c>
      <x:c r="B16" s="10" t="str">
        <x:v>command_test3</x:v>
      </x:c>
      <x:c r="C16" s="10" t="str">
        <x:v>ubuntu-22.04</x:v>
      </x:c>
      <x:c r="D16" s="10" t="str">
        <x:v>按 workflow 触发条件</x:v>
      </x:c>
      <x:c r="E16" s="10" t="str">
        <x:v>meta: ${{ fromJson(needs.build-matrix.outputs.meta_matrix) }}</x:v>
      </x:c>
      <x:c r="F16" s="10" t="str">
        <x:v>.github/scripts/command/graceful_upgrade.sh
.github/scripts/command/interface.sh</x:v>
      </x:c>
      <x:c r="G16" s="10" t="str">
        <x:v>无匹配的外部工具命令</x:v>
      </x:c>
      <x:c r="H16" s="10" t="str">
        <x:v>无本项目该 job 完整执行证据</x:v>
      </x:c>
      <x:c r="I16" s="10" t="str">
        <x:v>https://github.com/juicedata/juicefs/blob/30190ca1094d26e85f19a979ca51b0ea19af1eaa/.github/workflows/command.yml</x:v>
      </x:c>
    </x:row>
    <x:row r="17" ht="42" customHeight="1">
      <x:c r="A17" s="11" t="str">
        <x:v>.github/workflows/command.yml</x:v>
      </x:c>
      <x:c r="B17" s="11" t="str">
        <x:v>success-all-test</x:v>
      </x:c>
      <x:c r="C17" s="11" t="str">
        <x:v>ubuntu-latest</x:v>
      </x:c>
      <x:c r="D17" s="11" t="str">
        <x:v>always()</x:v>
      </x:c>
      <x:c r="E17" s="11" t="str">
        <x:v>无静态矩阵块</x:v>
      </x:c>
      <x:c r="F17" s="11" t="str">
        <x:v>无本目录脚本引用</x:v>
      </x:c>
      <x:c r="G17" s="11" t="str">
        <x:v>无匹配的外部工具命令</x:v>
      </x:c>
      <x:c r="H17" s="11" t="str">
        <x:v>无本项目该 job 完整执行证据</x:v>
      </x:c>
      <x:c r="I17" s="11" t="str">
        <x:v>https://github.com/juicedata/juicefs/blob/30190ca1094d26e85f19a979ca51b0ea19af1eaa/.github/workflows/command.yml</x:v>
      </x:c>
    </x:row>
    <x:row r="18" ht="42" customHeight="1">
      <x:c r="A18" s="10" t="str">
        <x:v>.github/workflows/command2.yml</x:v>
      </x:c>
      <x:c r="B18" s="10" t="str">
        <x:v>build-matrix</x:v>
      </x:c>
      <x:c r="C18" s="10" t="str">
        <x:v>ubuntu-22.04</x:v>
      </x:c>
      <x:c r="D18" s="10" t="str">
        <x:v>按 workflow 触发条件</x:v>
      </x:c>
      <x:c r="E18" s="10" t="str">
        <x:v>无静态矩阵块</x:v>
      </x:c>
      <x:c r="F18" s="10" t="str">
        <x:v>无本目录脚本引用</x:v>
      </x:c>
      <x:c r="G18" s="10" t="str">
        <x:v>无匹配的外部工具命令</x:v>
      </x:c>
      <x:c r="H18" s="10" t="str">
        <x:v>无本项目该 job 完整执行证据</x:v>
      </x:c>
      <x:c r="I18" s="10" t="str">
        <x:v>https://github.com/juicedata/juicefs/blob/30190ca1094d26e85f19a979ca51b0ea19af1eaa/.github/workflows/command2.yml</x:v>
      </x:c>
    </x:row>
    <x:row r="19" ht="106" customHeight="1">
      <x:c r="A19" s="11" t="str">
        <x:v>.github/workflows/command2.yml</x:v>
      </x:c>
      <x:c r="B19" s="11" t="str">
        <x:v>test</x:v>
      </x:c>
      <x:c r="C19" s="11" t="str">
        <x:v>ubuntu-22.04</x:v>
      </x:c>
      <x:c r="D19" s="11" t="str">
        <x:v>按 workflow 触发条件</x:v>
      </x:c>
      <x:c r="E19" s="11" t="str">
        <x:v>meta: ${{ fromJson(needs.build-matrix.outputs.meta_matrix) }}</x:v>
      </x:c>
      <x:c r="F19" s="11" t="str">
        <x:v>.github/scripts/command/random.sh</x:v>
      </x:c>
      <x:c r="G19" s="11" t="str">
        <x:v>name: fsrand-hypothesis-example-db-${{ matrix.meta }}
sudo -E LOG_LEVEL=WARNING META1=redis META2=${{matrix.meta}} .github/scripts/command/random.sh test_run_all 2&gt;&amp;1 | tee fsrand.log
- name: check fsrand.log
[[ -f "fsrand.log" ]] &amp;&amp; tail -n 1000 fsrand.log
grep -i "AssertionError" fsrand.log &amp;&amp; exit 1 || true</x:v>
      </x:c>
      <x:c r="H19" s="11" t="str">
        <x:v>无本项目该 job 完整执行证据</x:v>
      </x:c>
      <x:c r="I19" s="11" t="str">
        <x:v>https://github.com/juicedata/juicefs/blob/30190ca1094d26e85f19a979ca51b0ea19af1eaa/.github/workflows/command2.yml</x:v>
      </x:c>
    </x:row>
    <x:row r="20" ht="42" customHeight="1">
      <x:c r="A20" s="10" t="str">
        <x:v>.github/workflows/command2.yml</x:v>
      </x:c>
      <x:c r="B20" s="10" t="str">
        <x:v>success-all-test</x:v>
      </x:c>
      <x:c r="C20" s="10" t="str">
        <x:v>ubuntu-latest</x:v>
      </x:c>
      <x:c r="D20" s="10" t="str">
        <x:v>always()</x:v>
      </x:c>
      <x:c r="E20" s="10" t="str">
        <x:v>无静态矩阵块</x:v>
      </x:c>
      <x:c r="F20" s="10" t="str">
        <x:v>无本目录脚本引用</x:v>
      </x:c>
      <x:c r="G20" s="10" t="str">
        <x:v>无匹配的外部工具命令</x:v>
      </x:c>
      <x:c r="H20" s="10" t="str">
        <x:v>无本项目该 job 完整执行证据</x:v>
      </x:c>
      <x:c r="I20" s="10" t="str">
        <x:v>https://github.com/juicedata/juicefs/blob/30190ca1094d26e85f19a979ca51b0ea19af1eaa/.github/workflows/command2.yml</x:v>
      </x:c>
    </x:row>
    <x:row r="21" ht="42" customHeight="1">
      <x:c r="A21" s="11" t="str">
        <x:v>.github/workflows/compile.yml</x:v>
      </x:c>
      <x:c r="B21" s="11" t="str">
        <x:v>build-matrix</x:v>
      </x:c>
      <x:c r="C21" s="11" t="str">
        <x:v>ubuntu-22.04</x:v>
      </x:c>
      <x:c r="D21" s="11" t="str">
        <x:v>按 workflow 触发条件</x:v>
      </x:c>
      <x:c r="E21" s="11" t="str">
        <x:v>无静态矩阵块</x:v>
      </x:c>
      <x:c r="F21" s="11" t="str">
        <x:v>无本目录脚本引用</x:v>
      </x:c>
      <x:c r="G21" s="11" t="str">
        <x:v>无匹配的外部工具命令</x:v>
      </x:c>
      <x:c r="H21" s="11" t="str">
        <x:v>无本项目该 job 完整执行证据</x:v>
      </x:c>
      <x:c r="I21" s="11" t="str">
        <x:v>https://github.com/juicedata/juicefs/blob/30190ca1094d26e85f19a979ca51b0ea19af1eaa/.github/workflows/compile.yml</x:v>
      </x:c>
    </x:row>
    <x:row r="22" ht="42" customHeight="1">
      <x:c r="A22" s="10" t="str">
        <x:v>.github/workflows/compile.yml</x:v>
      </x:c>
      <x:c r="B22" s="10" t="str">
        <x:v>compile</x:v>
      </x:c>
      <x:c r="C22" s="10" t="str">
        <x:v>ubuntu-22.04</x:v>
      </x:c>
      <x:c r="D22" s="10" t="str">
        <x:v>按 workflow 触发条件</x:v>
      </x:c>
      <x:c r="E22" s="10" t="str">
        <x:v>meta: ${{ fromJson(needs.build-matrix.outputs.meta_matrix) }}</x:v>
      </x:c>
      <x:c r="F22" s="10" t="str">
        <x:v>.github/scripts/start_meta_engine.sh</x:v>
      </x:c>
      <x:c r="G22" s="10" t="str">
        <x:v>无匹配的外部工具命令</x:v>
      </x:c>
      <x:c r="H22" s="10" t="str">
        <x:v>无本项目该 job 完整执行证据</x:v>
      </x:c>
      <x:c r="I22" s="10" t="str">
        <x:v>https://github.com/juicedata/juicefs/blob/30190ca1094d26e85f19a979ca51b0ea19af1eaa/.github/workflows/compile.yml</x:v>
      </x:c>
    </x:row>
    <x:row r="23" ht="42" customHeight="1">
      <x:c r="A23" s="11" t="str">
        <x:v>.github/workflows/compile.yml</x:v>
      </x:c>
      <x:c r="B23" s="11" t="str">
        <x:v>success-all-test</x:v>
      </x:c>
      <x:c r="C23" s="11" t="str">
        <x:v>ubuntu-latest</x:v>
      </x:c>
      <x:c r="D23" s="11" t="str">
        <x:v>always()</x:v>
      </x:c>
      <x:c r="E23" s="11" t="str">
        <x:v>无静态矩阵块</x:v>
      </x:c>
      <x:c r="F23" s="11" t="str">
        <x:v>无本目录脚本引用</x:v>
      </x:c>
      <x:c r="G23" s="11" t="str">
        <x:v>无匹配的外部工具命令</x:v>
      </x:c>
      <x:c r="H23" s="11" t="str">
        <x:v>无本项目该 job 完整执行证据</x:v>
      </x:c>
      <x:c r="I23" s="11" t="str">
        <x:v>https://github.com/juicedata/juicefs/blob/30190ca1094d26e85f19a979ca51b0ea19af1eaa/.github/workflows/compile.yml</x:v>
      </x:c>
    </x:row>
    <x:row r="24" ht="42" customHeight="1">
      <x:c r="A24" s="10" t="str">
        <x:v>.github/workflows/coverage-report.yml</x:v>
      </x:c>
      <x:c r="B24" s="10" t="str">
        <x:v>coverage-report</x:v>
      </x:c>
      <x:c r="C24" s="10" t="str">
        <x:v>ubuntu-22.04</x:v>
      </x:c>
      <x:c r="D24" s="10" t="str">
        <x:v>按 workflow 触发条件</x:v>
      </x:c>
      <x:c r="E24" s="10" t="str">
        <x:v>branch: ['main']
        test: ['ut', 'it', 'all']</x:v>
      </x:c>
      <x:c r="F24" s="10" t="str">
        <x:v>无本目录脚本引用</x:v>
      </x:c>
      <x:c r="G24" s="10" t="str">
        <x:v>无匹配的外部工具命令</x:v>
      </x:c>
      <x:c r="H24" s="10" t="str">
        <x:v>无本项目该 job 完整执行证据</x:v>
      </x:c>
      <x:c r="I24" s="10" t="str">
        <x:v>https://github.com/juicedata/juicefs/blob/30190ca1094d26e85f19a979ca51b0ea19af1eaa/.github/workflows/coverage-report.yml</x:v>
      </x:c>
    </x:row>
    <x:row r="25" ht="42" customHeight="1">
      <x:c r="A25" s="11" t="str">
        <x:v>.github/workflows/dependency-review.yml</x:v>
      </x:c>
      <x:c r="B25" s="11" t="str">
        <x:v>dependency-review</x:v>
      </x:c>
      <x:c r="C25" s="11" t="str">
        <x:v>ubuntu-22.04</x:v>
      </x:c>
      <x:c r="D25" s="11" t="str">
        <x:v>按 workflow 触发条件</x:v>
      </x:c>
      <x:c r="E25" s="11" t="str">
        <x:v>无静态矩阵块</x:v>
      </x:c>
      <x:c r="F25" s="11" t="str">
        <x:v>无本目录脚本引用</x:v>
      </x:c>
      <x:c r="G25" s="11" t="str">
        <x:v>无匹配的外部工具命令</x:v>
      </x:c>
      <x:c r="H25" s="11" t="str">
        <x:v>无本项目该 job 完整执行证据</x:v>
      </x:c>
      <x:c r="I25" s="11" t="str">
        <x:v>https://github.com/juicedata/juicefs/blob/30190ca1094d26e85f19a979ca51b0ea19af1eaa/.github/workflows/dependency-review.yml</x:v>
      </x:c>
    </x:row>
    <x:row r="26" ht="42" customHeight="1">
      <x:c r="A26" s="10" t="str">
        <x:v>.github/workflows/dump_load.yml</x:v>
      </x:c>
      <x:c r="B26" s="10" t="str">
        <x:v>build-matrix</x:v>
      </x:c>
      <x:c r="C26" s="10" t="str">
        <x:v>ubuntu-22.04</x:v>
      </x:c>
      <x:c r="D26" s="10" t="str">
        <x:v>按 workflow 触发条件</x:v>
      </x:c>
      <x:c r="E26" s="10" t="str">
        <x:v>无静态矩阵块</x:v>
      </x:c>
      <x:c r="F26" s="10" t="str">
        <x:v>无本目录脚本引用</x:v>
      </x:c>
      <x:c r="G26" s="10" t="str">
        <x:v>无匹配的外部工具命令</x:v>
      </x:c>
      <x:c r="H26" s="10" t="str">
        <x:v>无本项目该 job 完整执行证据</x:v>
      </x:c>
      <x:c r="I26" s="10" t="str">
        <x:v>https://github.com/juicedata/juicefs/blob/30190ca1094d26e85f19a979ca51b0ea19af1eaa/.github/workflows/dump_load.yml</x:v>
      </x:c>
    </x:row>
    <x:row r="27" ht="42" customHeight="1">
      <x:c r="A27" s="11" t="str">
        <x:v>.github/workflows/dump_load.yml</x:v>
      </x:c>
      <x:c r="B27" s="11" t="str">
        <x:v>dump_load</x:v>
      </x:c>
      <x:c r="C27" s="11" t="str">
        <x:v>ubuntu-22.04</x:v>
      </x:c>
      <x:c r="D27" s="11" t="str">
        <x:v>按 workflow 触发条件</x:v>
      </x:c>
      <x:c r="E27" s="11" t="str">
        <x:v>meta: ${{ fromJson(needs.build-matrix.outputs.meta_matrix) }}</x:v>
      </x:c>
      <x:c r="F27" s="11" t="str">
        <x:v>.github/scripts/command/dump_load.sh</x:v>
      </x:c>
      <x:c r="G27" s="11" t="str">
        <x:v>无匹配的外部工具命令</x:v>
      </x:c>
      <x:c r="H27" s="11" t="str">
        <x:v>无本项目该 job 完整执行证据</x:v>
      </x:c>
      <x:c r="I27" s="11" t="str">
        <x:v>https://github.com/juicedata/juicefs/blob/30190ca1094d26e85f19a979ca51b0ea19af1eaa/.github/workflows/dump_load.yml</x:v>
      </x:c>
    </x:row>
    <x:row r="28" ht="42" customHeight="1">
      <x:c r="A28" s="10" t="str">
        <x:v>.github/workflows/dump_load.yml</x:v>
      </x:c>
      <x:c r="B28" s="10" t="str">
        <x:v>success-all-test</x:v>
      </x:c>
      <x:c r="C28" s="10" t="str">
        <x:v>ubuntu-latest</x:v>
      </x:c>
      <x:c r="D28" s="10" t="str">
        <x:v>always()</x:v>
      </x:c>
      <x:c r="E28" s="10" t="str">
        <x:v>无静态矩阵块</x:v>
      </x:c>
      <x:c r="F28" s="10" t="str">
        <x:v>无本目录脚本引用</x:v>
      </x:c>
      <x:c r="G28" s="10" t="str">
        <x:v>无匹配的外部工具命令</x:v>
      </x:c>
      <x:c r="H28" s="10" t="str">
        <x:v>无本项目该 job 完整执行证据</x:v>
      </x:c>
      <x:c r="I28" s="10" t="str">
        <x:v>https://github.com/juicedata/juicefs/blob/30190ca1094d26e85f19a979ca51b0ea19af1eaa/.github/workflows/dump_load.yml</x:v>
      </x:c>
    </x:row>
    <x:row r="29" ht="42" customHeight="1">
      <x:c r="A29" s="11" t="str">
        <x:v>.github/workflows/dump_load_bench.yml</x:v>
      </x:c>
      <x:c r="B29" s="11" t="str">
        <x:v>build-matrix</x:v>
      </x:c>
      <x:c r="C29" s="11" t="str">
        <x:v>ubuntu-22.04</x:v>
      </x:c>
      <x:c r="D29" s="11" t="str">
        <x:v>按 workflow 触发条件</x:v>
      </x:c>
      <x:c r="E29" s="11" t="str">
        <x:v>无静态矩阵块</x:v>
      </x:c>
      <x:c r="F29" s="11" t="str">
        <x:v>无本目录脚本引用</x:v>
      </x:c>
      <x:c r="G29" s="11" t="str">
        <x:v>无匹配的外部工具命令</x:v>
      </x:c>
      <x:c r="H29" s="11" t="str">
        <x:v>无本项目该 job 完整执行证据</x:v>
      </x:c>
      <x:c r="I29" s="11" t="str">
        <x:v>https://github.com/juicedata/juicefs/blob/30190ca1094d26e85f19a979ca51b0ea19af1eaa/.github/workflows/dump_load_bench.yml</x:v>
      </x:c>
    </x:row>
    <x:row r="30" ht="42" customHeight="1">
      <x:c r="A30" s="10" t="str">
        <x:v>.github/workflows/dump_load_bench.yml</x:v>
      </x:c>
      <x:c r="B30" s="10" t="str">
        <x:v>dump_load_bench</x:v>
      </x:c>
      <x:c r="C30" s="10" t="str">
        <x:v>ubuntu-22.04</x:v>
      </x:c>
      <x:c r="D30" s="10" t="str">
        <x:v>按 workflow 触发条件</x:v>
      </x:c>
      <x:c r="E30" s="10" t="str">
        <x:v>meta: ${{ fromJson(needs.build-matrix.outputs.meta_matrix) }}</x:v>
      </x:c>
      <x:c r="F30" s="10" t="str">
        <x:v>.github/scripts/command/dump_load_bench.sh</x:v>
      </x:c>
      <x:c r="G30" s="10" t="str">
        <x:v>无匹配的外部工具命令</x:v>
      </x:c>
      <x:c r="H30" s="10" t="str">
        <x:v>无本项目该 job 完整执行证据</x:v>
      </x:c>
      <x:c r="I30" s="10" t="str">
        <x:v>https://github.com/juicedata/juicefs/blob/30190ca1094d26e85f19a979ca51b0ea19af1eaa/.github/workflows/dump_load_bench.yml</x:v>
      </x:c>
    </x:row>
    <x:row r="31" ht="42" customHeight="1">
      <x:c r="A31" s="11" t="str">
        <x:v>.github/workflows/dump_load_bench.yml</x:v>
      </x:c>
      <x:c r="B31" s="11" t="str">
        <x:v>success-all-test</x:v>
      </x:c>
      <x:c r="C31" s="11" t="str">
        <x:v>ubuntu-latest</x:v>
      </x:c>
      <x:c r="D31" s="11" t="str">
        <x:v>always()</x:v>
      </x:c>
      <x:c r="E31" s="11" t="str">
        <x:v>无静态矩阵块</x:v>
      </x:c>
      <x:c r="F31" s="11" t="str">
        <x:v>无本目录脚本引用</x:v>
      </x:c>
      <x:c r="G31" s="11" t="str">
        <x:v>无匹配的外部工具命令</x:v>
      </x:c>
      <x:c r="H31" s="11" t="str">
        <x:v>无本项目该 job 完整执行证据</x:v>
      </x:c>
      <x:c r="I31" s="11" t="str">
        <x:v>https://github.com/juicedata/juicefs/blob/30190ca1094d26e85f19a979ca51b0ea19af1eaa/.github/workflows/dump_load_bench.yml</x:v>
      </x:c>
    </x:row>
    <x:row r="32" ht="106" customHeight="1">
      <x:c r="A32" s="10" t="str">
        <x:v>.github/workflows/fsrand.yml</x:v>
      </x:c>
      <x:c r="B32" s="10" t="str">
        <x:v>fsrand</x:v>
      </x:c>
      <x:c r="C32" s="10" t="str">
        <x:v>ubuntu-latest</x:v>
      </x:c>
      <x:c r="D32" s="10" t="str">
        <x:v>按 workflow 触发条件</x:v>
      </x:c>
      <x:c r="E32" s="10" t="str">
        <x:v>meta: ['redis', 'mysql', 'tikv']
        # meta: ['redis']</x:v>
      </x:c>
      <x:c r="F32" s="10" t="str">
        <x:v>.github/scripts/apt_install.sh
.github/scripts/hypo/fs.py
.github/scripts/hypo/fs_acl_test.py
.github/scripts/hypo/fs_test.py
.github/scripts/start_meta_engine.sh</x:v>
      </x:c>
      <x:c r="G32" s="10" t="str">
        <x:v>name: fsrand-hypothesis-example-db-${{ matrix.meta }}
sudo -E LOG_LEVEL=WARNING python3 .github/scripts/hypo/fs.py 2&gt;&amp;1 | tee fsrand.log
- name: check fsrand.log
[[ -f "fsrand.log" ]] &amp;&amp; tail -n 1000 fsrand.log
grep -i "AssertionError" fsrand.log &amp;&amp; exit 1 || true
name: fsrand-hypothesis-example-db-${{ matrix.meta }}</x:v>
      </x:c>
      <x:c r="H32" s="10" t="str">
        <x:v>无本项目该 job 完整执行证据</x:v>
      </x:c>
      <x:c r="I32" s="10" t="str">
        <x:v>https://github.com/juicedata/juicefs/blob/30190ca1094d26e85f19a979ca51b0ea19af1eaa/.github/workflows/fsrand.yml</x:v>
      </x:c>
    </x:row>
    <x:row r="33" ht="42" customHeight="1">
      <x:c r="A33" s="11" t="str">
        <x:v>.github/workflows/fsrand.yml</x:v>
      </x:c>
      <x:c r="B33" s="11" t="str">
        <x:v>success-all-test</x:v>
      </x:c>
      <x:c r="C33" s="11" t="str">
        <x:v>ubuntu-latest</x:v>
      </x:c>
      <x:c r="D33" s="11" t="str">
        <x:v>always()</x:v>
      </x:c>
      <x:c r="E33" s="11" t="str">
        <x:v>无静态矩阵块</x:v>
      </x:c>
      <x:c r="F33" s="11" t="str">
        <x:v>无本目录脚本引用</x:v>
      </x:c>
      <x:c r="G33" s="11" t="str">
        <x:v>needs: [fsrand]</x:v>
      </x:c>
      <x:c r="H33" s="11" t="str">
        <x:v>无本项目该 job 完整执行证据</x:v>
      </x:c>
      <x:c r="I33" s="11" t="str">
        <x:v>https://github.com/juicedata/juicefs/blob/30190ca1094d26e85f19a979ca51b0ea19af1eaa/.github/workflows/fsrand.yml</x:v>
      </x:c>
    </x:row>
    <x:row r="34" ht="42" customHeight="1">
      <x:c r="A34" s="10" t="str">
        <x:v>.github/workflows/fsspec.yml</x:v>
      </x:c>
      <x:c r="B34" s="10" t="str">
        <x:v>fsspec</x:v>
      </x:c>
      <x:c r="C34" s="10" t="str">
        <x:v>ubuntu-22.04</x:v>
      </x:c>
      <x:c r="D34" s="10" t="str">
        <x:v>按 workflow 触发条件</x:v>
      </x:c>
      <x:c r="E34" s="10" t="str">
        <x:v>meta: ['redis', 'mysql', 'tikv']</x:v>
      </x:c>
      <x:c r="F34" s="10" t="str">
        <x:v>.github/scripts/start_meta_engine.sh</x:v>
      </x:c>
      <x:c r="G34" s="10" t="str">
        <x:v>无匹配的外部工具命令</x:v>
      </x:c>
      <x:c r="H34" s="10" t="str">
        <x:v>无本项目该 job 完整执行证据</x:v>
      </x:c>
      <x:c r="I34" s="10" t="str">
        <x:v>https://github.com/juicedata/juicefs/blob/30190ca1094d26e85f19a979ca51b0ea19af1eaa/.github/workflows/fsspec.yml</x:v>
      </x:c>
    </x:row>
    <x:row r="35" ht="42" customHeight="1">
      <x:c r="A35" s="11" t="str">
        <x:v>.github/workflows/fsspec.yml</x:v>
      </x:c>
      <x:c r="B35" s="11" t="str">
        <x:v>success-all-test</x:v>
      </x:c>
      <x:c r="C35" s="11" t="str">
        <x:v>ubuntu-latest</x:v>
      </x:c>
      <x:c r="D35" s="11" t="str">
        <x:v>always()</x:v>
      </x:c>
      <x:c r="E35" s="11" t="str">
        <x:v>无静态矩阵块</x:v>
      </x:c>
      <x:c r="F35" s="11" t="str">
        <x:v>无本目录脚本引用</x:v>
      </x:c>
      <x:c r="G35" s="11" t="str">
        <x:v>无匹配的外部工具命令</x:v>
      </x:c>
      <x:c r="H35" s="11" t="str">
        <x:v>无本项目该 job 完整执行证据</x:v>
      </x:c>
      <x:c r="I35" s="11" t="str">
        <x:v>https://github.com/juicedata/juicefs/blob/30190ca1094d26e85f19a979ca51b0ea19af1eaa/.github/workflows/fsspec.yml</x:v>
      </x:c>
    </x:row>
    <x:row r="36" ht="42" customHeight="1">
      <x:c r="A36" s="10" t="str">
        <x:v>.github/workflows/gateway-random.yml</x:v>
      </x:c>
      <x:c r="B36" s="10" t="str">
        <x:v>build-matrix</x:v>
      </x:c>
      <x:c r="C36" s="10" t="str">
        <x:v>ubuntu-22.04</x:v>
      </x:c>
      <x:c r="D36" s="10" t="str">
        <x:v>按 workflow 触发条件</x:v>
      </x:c>
      <x:c r="E36" s="10" t="str">
        <x:v>无静态矩阵块</x:v>
      </x:c>
      <x:c r="F36" s="10" t="str">
        <x:v>无本目录脚本引用</x:v>
      </x:c>
      <x:c r="G36" s="10" t="str">
        <x:v>无匹配的外部工具命令</x:v>
      </x:c>
      <x:c r="H36" s="10" t="str">
        <x:v>无本项目该 job 完整执行证据</x:v>
      </x:c>
      <x:c r="I36" s="10" t="str">
        <x:v>https://github.com/juicedata/juicefs/blob/30190ca1094d26e85f19a979ca51b0ea19af1eaa/.github/workflows/gateway-random.yml</x:v>
      </x:c>
    </x:row>
    <x:row r="37" ht="90" customHeight="1">
      <x:c r="A37" s="11" t="str">
        <x:v>.github/workflows/gateway-random.yml</x:v>
      </x:c>
      <x:c r="B37" s="11" t="str">
        <x:v>gateway-random</x:v>
      </x:c>
      <x:c r="C37" s="11" t="str">
        <x:v>ubuntu-22.04</x:v>
      </x:c>
      <x:c r="D37" s="11" t="str">
        <x:v>按 workflow 触发条件</x:v>
      </x:c>
      <x:c r="E37" s="11" t="str">
        <x:v>meta: ${{ fromJson(needs.build-matrix.outputs.meta_matrix) }}</x:v>
      </x:c>
      <x:c r="F37" s="11" t="str">
        <x:v>.github/scripts/command/gateway-random.sh</x:v>
      </x:c>
      <x:c r="G37" s="11" t="str">
        <x:v>sudo -E LOG_LEVEL=WARNING SUBDIR=$subdir .github/scripts/command/gateway-random.sh test_run_all 2&gt;&amp;1 | tee fsrand.log
- name: check fsrand.log
[[ -f "fsrand.log" ]] &amp;&amp; tail -n 1000 fsrand.log
grep -i "AssertionError" fsrand.log &amp;&amp; exit 1 || true</x:v>
      </x:c>
      <x:c r="H37" s="11" t="str">
        <x:v>无本项目该 job 完整执行证据</x:v>
      </x:c>
      <x:c r="I37" s="11" t="str">
        <x:v>https://github.com/juicedata/juicefs/blob/30190ca1094d26e85f19a979ca51b0ea19af1eaa/.github/workflows/gateway-random.yml</x:v>
      </x:c>
    </x:row>
    <x:row r="38" ht="42" customHeight="1">
      <x:c r="A38" s="10" t="str">
        <x:v>.github/workflows/gateway-random.yml</x:v>
      </x:c>
      <x:c r="B38" s="10" t="str">
        <x:v>success-all-test</x:v>
      </x:c>
      <x:c r="C38" s="10" t="str">
        <x:v>ubuntu-latest</x:v>
      </x:c>
      <x:c r="D38" s="10" t="str">
        <x:v>always()</x:v>
      </x:c>
      <x:c r="E38" s="10" t="str">
        <x:v>无静态矩阵块</x:v>
      </x:c>
      <x:c r="F38" s="10" t="str">
        <x:v>无本目录脚本引用</x:v>
      </x:c>
      <x:c r="G38" s="10" t="str">
        <x:v>无匹配的外部工具命令</x:v>
      </x:c>
      <x:c r="H38" s="10" t="str">
        <x:v>无本项目该 job 完整执行证据</x:v>
      </x:c>
      <x:c r="I38" s="10" t="str">
        <x:v>https://github.com/juicedata/juicefs/blob/30190ca1094d26e85f19a979ca51b0ea19af1eaa/.github/workflows/gateway-random.yml</x:v>
      </x:c>
    </x:row>
    <x:row r="39" ht="122" customHeight="1">
      <x:c r="A39" s="11" t="str">
        <x:v>.github/workflows/gateway.yml</x:v>
      </x:c>
      <x:c r="B39" s="11" t="str">
        <x:v>gateway</x:v>
      </x:c>
      <x:c r="C39" s="11" t="str">
        <x:v>ubuntu-22.04</x:v>
      </x:c>
      <x:c r="D39" s="11" t="str">
        <x:v>按 workflow 触发条件</x:v>
      </x:c>
      <x:c r="E39" s="11" t="str">
        <x:v>meta: [  'sqlite3', 'redis','tikv', 'badger',  'etcd', 'fdb']
        file_size: ['100M']
        isolation_level: ['']
        include:
          - meta: 'mariadb'
            file_size: '100M'
            isolation_level: "read committed"</x:v>
      </x:c>
      <x:c r="F39" s="11" t="str">
        <x:v>.github/scripts/start_meta_engine.sh</x:v>
      </x:c>
      <x:c r="G39" s="11" t="str">
        <x:v>无匹配的外部工具命令</x:v>
      </x:c>
      <x:c r="H39" s="11" t="str">
        <x:v>无本项目该 job 完整执行证据</x:v>
      </x:c>
      <x:c r="I39" s="11" t="str">
        <x:v>https://github.com/juicedata/juicefs/blob/30190ca1094d26e85f19a979ca51b0ea19af1eaa/.github/workflows/gateway.yml</x:v>
      </x:c>
    </x:row>
    <x:row r="40" ht="42" customHeight="1">
      <x:c r="A40" s="10" t="str">
        <x:v>.github/workflows/gateway.yml</x:v>
      </x:c>
      <x:c r="B40" s="10" t="str">
        <x:v>success-all-test</x:v>
      </x:c>
      <x:c r="C40" s="10" t="str">
        <x:v>ubuntu-latest</x:v>
      </x:c>
      <x:c r="D40" s="10" t="str">
        <x:v>always()</x:v>
      </x:c>
      <x:c r="E40" s="10" t="str">
        <x:v>无静态矩阵块</x:v>
      </x:c>
      <x:c r="F40" s="10" t="str">
        <x:v>无本目录脚本引用</x:v>
      </x:c>
      <x:c r="G40" s="10" t="str">
        <x:v>无匹配的外部工具命令</x:v>
      </x:c>
      <x:c r="H40" s="10" t="str">
        <x:v>无本项目该 job 完整执行证据</x:v>
      </x:c>
      <x:c r="I40" s="10" t="str">
        <x:v>https://github.com/juicedata/juicefs/blob/30190ca1094d26e85f19a979ca51b0ea19af1eaa/.github/workflows/gateway.yml</x:v>
      </x:c>
    </x:row>
    <x:row r="41" ht="42" customHeight="1">
      <x:c r="A41" s="11" t="str">
        <x:v>.github/workflows/integrationtests.yml</x:v>
      </x:c>
      <x:c r="B41" s="11" t="str">
        <x:v>build-matrix</x:v>
      </x:c>
      <x:c r="C41" s="11" t="str">
        <x:v>ubuntu-22.04</x:v>
      </x:c>
      <x:c r="D41" s="11" t="str">
        <x:v>按 workflow 触发条件</x:v>
      </x:c>
      <x:c r="E41" s="11" t="str">
        <x:v>无静态矩阵块</x:v>
      </x:c>
      <x:c r="F41" s="11" t="str">
        <x:v>无本目录脚本引用</x:v>
      </x:c>
      <x:c r="G41" s="11" t="str">
        <x:v>无匹配的外部工具命令</x:v>
      </x:c>
      <x:c r="H41" s="11" t="str">
        <x:v>无本项目该 job 完整执行证据</x:v>
      </x:c>
      <x:c r="I41" s="11" t="str">
        <x:v>https://github.com/juicedata/juicefs/blob/30190ca1094d26e85f19a979ca51b0ea19af1eaa/.github/workflows/integrationtests.yml</x:v>
      </x:c>
    </x:row>
    <x:row r="42" ht="106" customHeight="1">
      <x:c r="A42" s="10" t="str">
        <x:v>.github/workflows/integrationtests.yml</x:v>
      </x:c>
      <x:c r="B42" s="10" t="str">
        <x:v>integrationtests</x:v>
      </x:c>
      <x:c r="C42" s="10" t="str">
        <x:v>ubuntu-22.04</x:v>
      </x:c>
      <x:c r="D42" s="10" t="str">
        <x:v>按 workflow 触发条件</x:v>
      </x:c>
      <x:c r="E42" s="10" t="str">
        <x:v>meta: ${{ fromJson(needs.build-matrix.outputs.meta_matrix) }}</x:v>
      </x:c>
      <x:c r="F42" s="10" t="str">
        <x:v>.github/scripts/apt_install.sh
.github/scripts/start_meta_engine.sh</x:v>
      </x:c>
      <x:c r="G42" s="10" t="str">
        <x:v>make -C secfs.test tools tools/bin/fsx
- name: Fsx Test
sudo touch /jfs/fsx.out
sudo rm -f /tmp/fsx.out
sudo ln -s /jfs/fsx.out /tmp/fsx.out
sudo secfs.test/tools/bin/fsx -d $duration -p 10000 -F 10000000 /tmp/fsx.out</x:v>
      </x:c>
      <x:c r="H42" s="10" t="str">
        <x:v>无本项目该 job 完整执行证据</x:v>
      </x:c>
      <x:c r="I42" s="10" t="str">
        <x:v>https://github.com/juicedata/juicefs/blob/30190ca1094d26e85f19a979ca51b0ea19af1eaa/.github/workflows/integrationtests.yml</x:v>
      </x:c>
    </x:row>
    <x:row r="43" ht="42" customHeight="1">
      <x:c r="A43" s="11" t="str">
        <x:v>.github/workflows/integrationtests.yml</x:v>
      </x:c>
      <x:c r="B43" s="11" t="str">
        <x:v>success-all-test</x:v>
      </x:c>
      <x:c r="C43" s="11" t="str">
        <x:v>ubuntu-latest</x:v>
      </x:c>
      <x:c r="D43" s="11" t="str">
        <x:v>always()</x:v>
      </x:c>
      <x:c r="E43" s="11" t="str">
        <x:v>无静态矩阵块</x:v>
      </x:c>
      <x:c r="F43" s="11" t="str">
        <x:v>无本目录脚本引用</x:v>
      </x:c>
      <x:c r="G43" s="11" t="str">
        <x:v>无匹配的外部工具命令</x:v>
      </x:c>
      <x:c r="H43" s="11" t="str">
        <x:v>无本项目该 job 完整执行证据</x:v>
      </x:c>
      <x:c r="I43" s="11" t="str">
        <x:v>https://github.com/juicedata/juicefs/blob/30190ca1094d26e85f19a979ca51b0ea19af1eaa/.github/workflows/integrationtests.yml</x:v>
      </x:c>
    </x:row>
    <x:row r="44" ht="122" customHeight="1">
      <x:c r="A44" s="10" t="str">
        <x:v>.github/workflows/ltpfs.yml</x:v>
      </x:c>
      <x:c r="B44" s="10" t="str">
        <x:v>ltpfs</x:v>
      </x:c>
      <x:c r="C44" s="10" t="str">
        <x:v>ubuntu-22.04</x:v>
      </x:c>
      <x:c r="D44" s="10" t="str">
        <x:v>按 workflow 触发条件</x:v>
      </x:c>
      <x:c r="E44" s="10" t="str">
        <x:v>无静态矩阵块</x:v>
      </x:c>
      <x:c r="F44" s="10" t="str">
        <x:v>.github/scripts/apt_install.sh
.github/workflows/bash/rm_fs
.github/workflows/bash/rm_list.sh</x:v>
      </x:c>
      <x:c r="G44" s="10" t="str">
        <x:v>- name: LTP FS
wget -O ltp.tar.gz https://github.com/linux-test-project/ltp/archive/refs/tags/20210927.tar.gz
mkdir ltp
tar -xvf ltp.tar.gz -C ltp --strip-components 1
cd ltp
cd /opt/ltp
另 5 行见固定版本来源及 JSON 清单</x:v>
      </x:c>
      <x:c r="H44" s="10" t="str">
        <x:v>无本项目该 job 完整执行证据</x:v>
      </x:c>
      <x:c r="I44" s="10" t="str">
        <x:v>https://github.com/juicedata/juicefs/blob/30190ca1094d26e85f19a979ca51b0ea19af1eaa/.github/workflows/ltpfs.yml</x:v>
      </x:c>
    </x:row>
    <x:row r="45" ht="122" customHeight="1">
      <x:c r="A45" s="11" t="str">
        <x:v>.github/workflows/ltpsyscalls.yml</x:v>
      </x:c>
      <x:c r="B45" s="11" t="str">
        <x:v>ltpsyscalls</x:v>
      </x:c>
      <x:c r="C45" s="11" t="str">
        <x:v>ubuntu-22.04</x:v>
      </x:c>
      <x:c r="D45" s="11" t="str">
        <x:v>按 workflow 触发条件</x:v>
      </x:c>
      <x:c r="E45" s="11" t="str">
        <x:v># meta: [ 'sqlite3', 'redis', 'mysql', 'tikv', 'tidb', 'postgres', 'mariadb', 'badger', 'fdb']
        meta: ['redis']
        type: [ 'head', 'middle', 'tail']</x:v>
      </x:c>
      <x:c r="F45" s="11" t="str">
        <x:v>.github/scripts/apt_install.sh
.github/scripts/start_meta_engine.sh
.github/workflows/bash/rm_list.sh
.github/workflows/bash/rm_syscalls</x:v>
      </x:c>
      <x:c r="G45" s="11" t="str">
        <x:v>- name: Install LTP Syscalls
wget -O ltp.tar.gz https://github.com/linux-test-project/ltp/archive/refs/tags/20210927.tar.gz
mkdir ltp
tar -xvf ltp.tar.gz -C ltp --strip-components 1
cd ltp
- name: Run LTP Syscalls
另 9 行见固定版本来源及 JSON 清单</x:v>
      </x:c>
      <x:c r="H45" s="11" t="str">
        <x:v>无本项目该 job 完整执行证据</x:v>
      </x:c>
      <x:c r="I45" s="11" t="str">
        <x:v>https://github.com/juicedata/juicefs/blob/30190ca1094d26e85f19a979ca51b0ea19af1eaa/.github/workflows/ltpsyscalls.yml</x:v>
      </x:c>
    </x:row>
    <x:row r="46" ht="42" customHeight="1">
      <x:c r="A46" s="10" t="str">
        <x:v>.github/workflows/mutate-test-sdk.yml</x:v>
      </x:c>
      <x:c r="B46" s="10" t="str">
        <x:v>mutate-test-sdk</x:v>
      </x:c>
      <x:c r="C46" s="10" t="str">
        <x:v>ubuntu-latest</x:v>
      </x:c>
      <x:c r="D46" s="10" t="str">
        <x:v>按 workflow 触发条件</x:v>
      </x:c>
      <x:c r="E46" s="10" t="str">
        <x:v>无静态矩阵块</x:v>
      </x:c>
      <x:c r="F46" s="10" t="str">
        <x:v>.github/scripts/mutate/modify_sdk_pom.py</x:v>
      </x:c>
      <x:c r="G46" s="10" t="str">
        <x:v>无匹配的外部工具命令</x:v>
      </x:c>
      <x:c r="H46" s="10" t="str">
        <x:v>无本项目该 job 完整执行证据</x:v>
      </x:c>
      <x:c r="I46" s="10" t="str">
        <x:v>https://github.com/juicedata/juicefs/blob/30190ca1094d26e85f19a979ca51b0ea19af1eaa/.github/workflows/mutate-test-sdk.yml</x:v>
      </x:c>
    </x:row>
    <x:row r="47" ht="58" customHeight="1">
      <x:c r="A47" s="11" t="str">
        <x:v>.github/workflows/mutate-test.yml</x:v>
      </x:c>
      <x:c r="B47" s="11" t="str">
        <x:v>build-matrix</x:v>
      </x:c>
      <x:c r="C47" s="11" t="str">
        <x:v>ubuntu-22.04</x:v>
      </x:c>
      <x:c r="D47" s="11" t="str">
        <x:v>按 workflow 触发条件</x:v>
      </x:c>
      <x:c r="E47" s="11" t="str">
        <x:v>无静态矩阵块</x:v>
      </x:c>
      <x:c r="F47" s="11" t="str">
        <x:v>.github/scripts/apt_install.sh
.github/scripts/mutate/parse_black_list.py
.github/scripts/mutate/parse_job_total.py</x:v>
      </x:c>
      <x:c r="G47" s="11" t="str">
        <x:v>无匹配的外部工具命令</x:v>
      </x:c>
      <x:c r="H47" s="11" t="str">
        <x:v>无本项目该 job 完整执行证据</x:v>
      </x:c>
      <x:c r="I47" s="11" t="str">
        <x:v>https://github.com/juicedata/juicefs/blob/30190ca1094d26e85f19a979ca51b0ea19af1eaa/.github/workflows/mutate-test.yml</x:v>
      </x:c>
    </x:row>
    <x:row r="48" ht="106" customHeight="1">
      <x:c r="A48" s="10" t="str">
        <x:v>.github/workflows/mutate-test.yml</x:v>
      </x:c>
      <x:c r="B48" s="10" t="str">
        <x:v>mutate-test</x:v>
      </x:c>
      <x:c r="C48" s="10" t="str">
        <x:v>ubuntu-22.04</x:v>
      </x:c>
      <x:c r="D48" s="10" t="str">
        <x:v>"!github.event.pull_request.draft"</x:v>
      </x:c>
      <x:c r="E48" s="10" t="str">
        <x:v>test_file: ${{ fromJson(needs.build-matrix.outputs.matrix) }}</x:v>
      </x:c>
      <x:c r="F48" s="10" t="str">
        <x:v>.github/scripts/apt_install.sh
.github/scripts/mutate/mutest.sh
.github/scripts/mutate/mutesting.py
.github/scripts/mutate/parse_black_list.py
.github/scripts/mutate/parse_test_cases.py
.github/scripts/mutate/save_report.py</x:v>
      </x:c>
      <x:c r="G48" s="10" t="str">
        <x:v>无匹配的外部工具命令</x:v>
      </x:c>
      <x:c r="H48" s="10" t="str">
        <x:v>无本项目该 job 完整执行证据</x:v>
      </x:c>
      <x:c r="I48" s="10" t="str">
        <x:v>https://github.com/juicedata/juicefs/blob/30190ca1094d26e85f19a979ca51b0ea19af1eaa/.github/workflows/mutate-test.yml</x:v>
      </x:c>
    </x:row>
    <x:row r="49" ht="42" customHeight="1">
      <x:c r="A49" s="11" t="str">
        <x:v>.github/workflows/mutate-test.yml</x:v>
      </x:c>
      <x:c r="B49" s="11" t="str">
        <x:v>success-all-test</x:v>
      </x:c>
      <x:c r="C49" s="11" t="str">
        <x:v>ubuntu-22.04</x:v>
      </x:c>
      <x:c r="D49" s="11" t="str">
        <x:v>always() &amp;&amp; !github.event.pull_request.draft</x:v>
      </x:c>
      <x:c r="E49" s="11" t="str">
        <x:v>无静态矩阵块</x:v>
      </x:c>
      <x:c r="F49" s="11" t="str">
        <x:v>.github/scripts/mutate/how_to_use_mutate_test.md
.github/scripts/mutate/query_report.py</x:v>
      </x:c>
      <x:c r="G49" s="11" t="str">
        <x:v>无匹配的外部工具命令</x:v>
      </x:c>
      <x:c r="H49" s="11" t="str">
        <x:v>无本项目该 job 完整执行证据</x:v>
      </x:c>
      <x:c r="I49" s="11" t="str">
        <x:v>https://github.com/juicedata/juicefs/blob/30190ca1094d26e85f19a979ca51b0ea19af1eaa/.github/workflows/mutate-test.yml</x:v>
      </x:c>
    </x:row>
    <x:row r="50" ht="74" customHeight="1">
      <x:c r="A50" s="10" t="str">
        <x:v>.github/workflows/permission-check.yaml</x:v>
      </x:c>
      <x:c r="B50" s="10" t="str">
        <x:v>pjdfstest</x:v>
      </x:c>
      <x:c r="C50" s="10" t="str">
        <x:v>ubuntu-22.04</x:v>
      </x:c>
      <x:c r="D50" s="10" t="str">
        <x:v>按 workflow 触发条件</x:v>
      </x:c>
      <x:c r="E50" s="10" t="str">
        <x:v>meta: [ 'sqlite3', 'redis', 'badger' ]</x:v>
      </x:c>
      <x:c r="F50" s="10" t="str">
        <x:v>.github/scripts/apt_install.sh
.github/scripts/start_meta_engine.sh</x:v>
      </x:c>
      <x:c r="G50" s="10" t="str">
        <x:v>- name: Pjdfstest
git clone https://github.com/hexilee/pjdfstest.git
cd pjdfstest
make pjdfstest</x:v>
      </x:c>
      <x:c r="H50" s="10" t="str">
        <x:v>无本项目该 job 完整执行证据</x:v>
      </x:c>
      <x:c r="I50" s="10" t="str">
        <x:v>https://github.com/juicedata/juicefs/blob/30190ca1094d26e85f19a979ca51b0ea19af1eaa/.github/workflows/permission-check.yaml</x:v>
      </x:c>
    </x:row>
    <x:row r="51" ht="42" customHeight="1">
      <x:c r="A51" s="11" t="str">
        <x:v>.github/workflows/permission-check.yaml</x:v>
      </x:c>
      <x:c r="B51" s="11" t="str">
        <x:v>success-all-test</x:v>
      </x:c>
      <x:c r="C51" s="11" t="str">
        <x:v>ubuntu-latest</x:v>
      </x:c>
      <x:c r="D51" s="11" t="str">
        <x:v>always()</x:v>
      </x:c>
      <x:c r="E51" s="11" t="str">
        <x:v>无静态矩阵块</x:v>
      </x:c>
      <x:c r="F51" s="11" t="str">
        <x:v>无本目录脚本引用</x:v>
      </x:c>
      <x:c r="G51" s="11" t="str">
        <x:v>needs: [pjdfstest]</x:v>
      </x:c>
      <x:c r="H51" s="11" t="str">
        <x:v>无本项目该 job 完整执行证据</x:v>
      </x:c>
      <x:c r="I51" s="11" t="str">
        <x:v>https://github.com/juicedata/juicefs/blob/30190ca1094d26e85f19a979ca51b0ea19af1eaa/.github/workflows/permission-check.yaml</x:v>
      </x:c>
    </x:row>
    <x:row r="52" ht="42" customHeight="1">
      <x:c r="A52" s="10" t="str">
        <x:v>.github/workflows/pjdfstest.yml</x:v>
      </x:c>
      <x:c r="B52" s="10" t="str">
        <x:v>build-matrix</x:v>
      </x:c>
      <x:c r="C52" s="10" t="str">
        <x:v>ubuntu-22.04</x:v>
      </x:c>
      <x:c r="D52" s="10" t="str">
        <x:v>按 workflow 触发条件</x:v>
      </x:c>
      <x:c r="E52" s="10" t="str">
        <x:v>无静态矩阵块</x:v>
      </x:c>
      <x:c r="F52" s="10" t="str">
        <x:v>无本目录脚本引用</x:v>
      </x:c>
      <x:c r="G52" s="10" t="str">
        <x:v>无匹配的外部工具命令</x:v>
      </x:c>
      <x:c r="H52" s="10" t="str">
        <x:v>无本项目该 job 完整执行证据</x:v>
      </x:c>
      <x:c r="I52" s="10" t="str">
        <x:v>https://github.com/juicedata/juicefs/blob/30190ca1094d26e85f19a979ca51b0ea19af1eaa/.github/workflows/pjdfstest.yml</x:v>
      </x:c>
    </x:row>
    <x:row r="53" ht="74" customHeight="1">
      <x:c r="A53" s="11" t="str">
        <x:v>.github/workflows/pjdfstest.yml</x:v>
      </x:c>
      <x:c r="B53" s="11" t="str">
        <x:v>pjdfstest</x:v>
      </x:c>
      <x:c r="C53" s="11" t="str">
        <x:v>ubuntu-22.04</x:v>
      </x:c>
      <x:c r="D53" s="11" t="str">
        <x:v>按 workflow 触发条件</x:v>
      </x:c>
      <x:c r="E53" s="11" t="str">
        <x:v># [ 'sqlite3', 'redis', 'mysql', 'tikv', 'tidb', 'postgres', 'badger', 'mariadb', 'fdb']
        meta: ${{ fromJson(needs.build-matrix.outputs.meta_matrix) }}</x:v>
      </x:c>
      <x:c r="F53" s="11" t="str">
        <x:v>.github/scripts/apt_install.sh
.github/scripts/start_meta_engine.sh</x:v>
      </x:c>
      <x:c r="G53" s="11" t="str">
        <x:v>- name: Pjdfstest
git clone https://github.com/sanwan/pjdfstest.git
cd pjdfstest
make pjdfstest</x:v>
      </x:c>
      <x:c r="H53" s="11" t="str">
        <x:v>无本项目该 job 完整执行证据</x:v>
      </x:c>
      <x:c r="I53" s="11" t="str">
        <x:v>https://github.com/juicedata/juicefs/blob/30190ca1094d26e85f19a979ca51b0ea19af1eaa/.github/workflows/pjdfstest.yml</x:v>
      </x:c>
    </x:row>
    <x:row r="54" ht="42" customHeight="1">
      <x:c r="A54" s="10" t="str">
        <x:v>.github/workflows/pjdfstest.yml</x:v>
      </x:c>
      <x:c r="B54" s="10" t="str">
        <x:v>success-all-test</x:v>
      </x:c>
      <x:c r="C54" s="10" t="str">
        <x:v>ubuntu-latest</x:v>
      </x:c>
      <x:c r="D54" s="10" t="str">
        <x:v>always()</x:v>
      </x:c>
      <x:c r="E54" s="10" t="str">
        <x:v>无静态矩阵块</x:v>
      </x:c>
      <x:c r="F54" s="10" t="str">
        <x:v>无本目录脚本引用</x:v>
      </x:c>
      <x:c r="G54" s="10" t="str">
        <x:v>needs: [pjdfstest]</x:v>
      </x:c>
      <x:c r="H54" s="10" t="str">
        <x:v>无本项目该 job 完整执行证据</x:v>
      </x:c>
      <x:c r="I54" s="10" t="str">
        <x:v>https://github.com/juicedata/juicefs/blob/30190ca1094d26e85f19a979ca51b0ea19af1eaa/.github/workflows/pjdfstest.yml</x:v>
      </x:c>
    </x:row>
    <x:row r="55" ht="42" customHeight="1">
      <x:c r="A55" s="11" t="str">
        <x:v>.github/workflows/pysdk.yml</x:v>
      </x:c>
      <x:c r="B55" s="11" t="str">
        <x:v>build-matrix</x:v>
      </x:c>
      <x:c r="C55" s="11" t="str">
        <x:v>ubuntu-22.04</x:v>
      </x:c>
      <x:c r="D55" s="11" t="str">
        <x:v>按 workflow 触发条件</x:v>
      </x:c>
      <x:c r="E55" s="11" t="str">
        <x:v>无静态矩阵块</x:v>
      </x:c>
      <x:c r="F55" s="11" t="str">
        <x:v>无本目录脚本引用</x:v>
      </x:c>
      <x:c r="G55" s="11" t="str">
        <x:v>无匹配的外部工具命令</x:v>
      </x:c>
      <x:c r="H55" s="11" t="str">
        <x:v>无本项目该 job 完整执行证据</x:v>
      </x:c>
      <x:c r="I55" s="11" t="str">
        <x:v>https://github.com/juicedata/juicefs/blob/30190ca1094d26e85f19a979ca51b0ea19af1eaa/.github/workflows/pysdk.yml</x:v>
      </x:c>
    </x:row>
    <x:row r="56" ht="106" customHeight="1">
      <x:c r="A56" s="10" t="str">
        <x:v>.github/workflows/pysdk.yml</x:v>
      </x:c>
      <x:c r="B56" s="10" t="str">
        <x:v>pysdk</x:v>
      </x:c>
      <x:c r="C56" s="10" t="str">
        <x:v>ubuntu-22.04</x:v>
      </x:c>
      <x:c r="D56" s="10" t="str">
        <x:v>按 workflow 触发条件</x:v>
      </x:c>
      <x:c r="E56" s="10" t="str">
        <x:v># [ 'sqlite3', 'redis', 'mysql', 'tikv', 'tidb', 'postgres', 'badger', 'mariadb', 'fdb']
        meta: ${{ fromJson(needs.build-matrix.outputs.meta_matrix) }}</x:v>
      </x:c>
      <x:c r="F56" s="10" t="str">
        <x:v>.github/scripts/hypo/file.py
.github/scripts/hypo/file_test.py
.github/scripts/hypo/fs.py
.github/scripts/hypo/fs_sdk_test.py
.github/scripts/pysdk/pysdk_test.py
.github/scripts/start_meta_engine.sh</x:v>
      </x:c>
      <x:c r="G56" s="10" t="str">
        <x:v>sudo IGNORE_DIFF_ERRORS=true MAX_EXAMPLE=1000 STEP_COUNT=200 USE_SDK=true SEED=$seed META_URL=$meta_url EXCLUDE_RULES="readlines,readline,clone_cp_file,clone_cp_dir" python3 .github/scripts/hypo/fs.py 2&gt;&amp;1 | tee fsrand.log
- name: check fsrand.log
sudo tail -n 500 fsrand.log || true</x:v>
      </x:c>
      <x:c r="H56" s="10" t="str">
        <x:v>无本项目该 job 完整执行证据</x:v>
      </x:c>
      <x:c r="I56" s="10" t="str">
        <x:v>https://github.com/juicedata/juicefs/blob/30190ca1094d26e85f19a979ca51b0ea19af1eaa/.github/workflows/pysdk.yml</x:v>
      </x:c>
    </x:row>
    <x:row r="57" ht="42" customHeight="1">
      <x:c r="A57" s="11" t="str">
        <x:v>.github/workflows/pysdk.yml</x:v>
      </x:c>
      <x:c r="B57" s="11" t="str">
        <x:v>success-all-test</x:v>
      </x:c>
      <x:c r="C57" s="11" t="str">
        <x:v>ubuntu-latest</x:v>
      </x:c>
      <x:c r="D57" s="11" t="str">
        <x:v>always()</x:v>
      </x:c>
      <x:c r="E57" s="11" t="str">
        <x:v>无静态矩阵块</x:v>
      </x:c>
      <x:c r="F57" s="11" t="str">
        <x:v>无本目录脚本引用</x:v>
      </x:c>
      <x:c r="G57" s="11" t="str">
        <x:v>无匹配的外部工具命令</x:v>
      </x:c>
      <x:c r="H57" s="11" t="str">
        <x:v>无本项目该 job 完整执行证据</x:v>
      </x:c>
      <x:c r="I57" s="11" t="str">
        <x:v>https://github.com/juicedata/juicefs/blob/30190ca1094d26e85f19a979ca51b0ea19af1eaa/.github/workflows/pysdk.yml</x:v>
      </x:c>
    </x:row>
    <x:row r="58" ht="42" customHeight="1">
      <x:c r="A58" s="10" t="str">
        <x:v>.github/workflows/release.yml</x:v>
      </x:c>
      <x:c r="B58" s="10" t="str">
        <x:v>releaser</x:v>
      </x:c>
      <x:c r="C58" s="10" t="str">
        <x:v>ubuntu-22.04</x:v>
      </x:c>
      <x:c r="D58" s="10" t="str">
        <x:v>按 workflow 触发条件</x:v>
      </x:c>
      <x:c r="E58" s="10" t="str">
        <x:v>无静态矩阵块</x:v>
      </x:c>
      <x:c r="F58" s="10" t="str">
        <x:v>无本目录脚本引用</x:v>
      </x:c>
      <x:c r="G58" s="10" t="str">
        <x:v>无匹配的外部工具命令</x:v>
      </x:c>
      <x:c r="H58" s="10" t="str">
        <x:v>无本项目该 job 完整执行证据</x:v>
      </x:c>
      <x:c r="I58" s="10" t="str">
        <x:v>https://github.com/juicedata/juicefs/blob/30190ca1094d26e85f19a979ca51b0ea19af1eaa/.github/workflows/release.yml</x:v>
      </x:c>
    </x:row>
    <x:row r="59" ht="42" customHeight="1">
      <x:c r="A59" s="11" t="str">
        <x:v>.github/workflows/rmfiles.yml</x:v>
      </x:c>
      <x:c r="B59" s="11" t="str">
        <x:v>rmr-test</x:v>
      </x:c>
      <x:c r="C59" s="11" t="str">
        <x:v>ubuntu-22.04</x:v>
      </x:c>
      <x:c r="D59" s="11" t="str">
        <x:v>按 workflow 触发条件</x:v>
      </x:c>
      <x:c r="E59" s="11" t="str">
        <x:v>meta: [ 'sqlite3', 'redis', 'mysql',  'postgres', 'tikv', 'fdb', 'badger', 'etcd']</x:v>
      </x:c>
      <x:c r="F59" s="11" t="str">
        <x:v>.github/scripts/start_meta_engine.sh</x:v>
      </x:c>
      <x:c r="G59" s="11" t="str">
        <x:v>无匹配的外部工具命令</x:v>
      </x:c>
      <x:c r="H59" s="11" t="str">
        <x:v>无本项目该 job 完整执行证据</x:v>
      </x:c>
      <x:c r="I59" s="11" t="str">
        <x:v>https://github.com/juicedata/juicefs/blob/30190ca1094d26e85f19a979ca51b0ea19af1eaa/.github/workflows/rmfiles.yml</x:v>
      </x:c>
    </x:row>
    <x:row r="60" ht="42" customHeight="1">
      <x:c r="A60" s="10" t="str">
        <x:v>.github/workflows/rmfiles.yml</x:v>
      </x:c>
      <x:c r="B60" s="10" t="str">
        <x:v>success-all-test</x:v>
      </x:c>
      <x:c r="C60" s="10" t="str">
        <x:v>ubuntu-latest</x:v>
      </x:c>
      <x:c r="D60" s="10" t="str">
        <x:v>always()</x:v>
      </x:c>
      <x:c r="E60" s="10" t="str">
        <x:v>无静态矩阵块</x:v>
      </x:c>
      <x:c r="F60" s="10" t="str">
        <x:v>无本目录脚本引用</x:v>
      </x:c>
      <x:c r="G60" s="10" t="str">
        <x:v>无匹配的外部工具命令</x:v>
      </x:c>
      <x:c r="H60" s="10" t="str">
        <x:v>无本项目该 job 完整执行证据</x:v>
      </x:c>
      <x:c r="I60" s="10" t="str">
        <x:v>https://github.com/juicedata/juicefs/blob/30190ca1094d26e85f19a979ca51b0ea19af1eaa/.github/workflows/rmfiles.yml</x:v>
      </x:c>
    </x:row>
    <x:row r="61" ht="42" customHeight="1">
      <x:c r="A61" s="11" t="str">
        <x:v>.github/workflows/sdktest.yml</x:v>
      </x:c>
      <x:c r="B61" s="11" t="str">
        <x:v>sdktest</x:v>
      </x:c>
      <x:c r="C61" s="11" t="str">
        <x:v>ubuntu-22.04</x:v>
      </x:c>
      <x:c r="D61" s="11" t="str">
        <x:v>按 workflow 触发条件</x:v>
      </x:c>
      <x:c r="E61" s="11" t="str">
        <x:v>无静态矩阵块</x:v>
      </x:c>
      <x:c r="F61" s="11" t="str">
        <x:v>无本目录脚本引用</x:v>
      </x:c>
      <x:c r="G61" s="11" t="str">
        <x:v>无匹配的外部工具命令</x:v>
      </x:c>
      <x:c r="H61" s="11" t="str">
        <x:v>无本项目该 job 完整执行证据</x:v>
      </x:c>
      <x:c r="I61" s="11" t="str">
        <x:v>https://github.com/juicedata/juicefs/blob/30190ca1094d26e85f19a979ca51b0ea19af1eaa/.github/workflows/sdktest.yml</x:v>
      </x:c>
    </x:row>
    <x:row r="62" ht="106" customHeight="1">
      <x:c r="A62" s="10" t="str">
        <x:v>.github/workflows/sync.yml</x:v>
      </x:c>
      <x:c r="B62" s="10" t="str">
        <x:v>sync</x:v>
      </x:c>
      <x:c r="C62" s="10" t="str">
        <x:v>ubuntu-22.04</x:v>
      </x:c>
      <x:c r="D62" s="10" t="str">
        <x:v>按 workflow 触发条件</x:v>
      </x:c>
      <x:c r="E62" s="10" t="str">
        <x:v>type: ['sync', 'sync_encrypt', 'sync_fsrand', 'sync_minio', 'sync_cluster', 'sync_exclude']</x:v>
      </x:c>
      <x:c r="F62" s="10" t="str">
        <x:v>.github/scripts/hypo/sync.py
.github/scripts/hypo/sync_test.py
.github/scripts/sync/sync.sh
.github/scripts/sync/sync_cluster.sh
.github/scripts/sync/sync_fsrand.sh
.github/scripts/sync/sync_minio.sh</x:v>
      </x:c>
      <x:c r="G62" s="10" t="str">
        <x:v>type: ['sync', 'sync_encrypt', 'sync_fsrand', 'sync_minio', 'sync_cluster', 'sync_exclude']
elif [[ "${{matrix.type}}" == 'sync_fsrand' ]]; then
sudo GOCOVERDIR=$(pwd)/cover META=redis SEED="$seed" .github/scripts/sync/sync_fsrand.sh</x:v>
      </x:c>
      <x:c r="H62" s="10" t="str">
        <x:v>无本项目该 job 完整执行证据</x:v>
      </x:c>
      <x:c r="I62" s="10" t="str">
        <x:v>https://github.com/juicedata/juicefs/blob/30190ca1094d26e85f19a979ca51b0ea19af1eaa/.github/workflows/sync.yml</x:v>
      </x:c>
    </x:row>
    <x:row r="63" ht="42" customHeight="1">
      <x:c r="A63" s="11" t="str">
        <x:v>.github/workflows/sync.yml</x:v>
      </x:c>
      <x:c r="B63" s="11" t="str">
        <x:v>success-all-test</x:v>
      </x:c>
      <x:c r="C63" s="11" t="str">
        <x:v>ubuntu-latest</x:v>
      </x:c>
      <x:c r="D63" s="11" t="str">
        <x:v>always()</x:v>
      </x:c>
      <x:c r="E63" s="11" t="str">
        <x:v>无静态矩阵块</x:v>
      </x:c>
      <x:c r="F63" s="11" t="str">
        <x:v>无本目录脚本引用</x:v>
      </x:c>
      <x:c r="G63" s="11" t="str">
        <x:v>无匹配的外部工具命令</x:v>
      </x:c>
      <x:c r="H63" s="11" t="str">
        <x:v>无本项目该 job 完整执行证据</x:v>
      </x:c>
      <x:c r="I63" s="11" t="str">
        <x:v>https://github.com/juicedata/juicefs/blob/30190ca1094d26e85f19a979ca51b0ea19af1eaa/.github/workflows/sync.yml</x:v>
      </x:c>
    </x:row>
    <x:row r="64" ht="42" customHeight="1">
      <x:c r="A64" s="10" t="str">
        <x:v>.github/workflows/unit-random-tests.yml</x:v>
      </x:c>
      <x:c r="B64" s="10" t="str">
        <x:v>unit-random-tests</x:v>
      </x:c>
      <x:c r="C64" s="10" t="str">
        <x:v>ubuntu-22.04</x:v>
      </x:c>
      <x:c r="D64" s="10" t="str">
        <x:v>按 workflow 触发条件</x:v>
      </x:c>
      <x:c r="E64" s="10" t="str">
        <x:v>meta: ['redis', 'sqlite3', 'tikv']</x:v>
      </x:c>
      <x:c r="F64" s="10" t="str">
        <x:v>.github/scripts/start_meta_engine.sh</x:v>
      </x:c>
      <x:c r="G64" s="10" t="str">
        <x:v>无匹配的外部工具命令</x:v>
      </x:c>
      <x:c r="H64" s="10" t="str">
        <x:v>无本项目该 job 完整执行证据</x:v>
      </x:c>
      <x:c r="I64" s="10" t="str">
        <x:v>https://github.com/juicedata/juicefs/blob/30190ca1094d26e85f19a979ca51b0ea19af1eaa/.github/workflows/unit-random-tests.yml</x:v>
      </x:c>
    </x:row>
    <x:row r="65" ht="42" customHeight="1">
      <x:c r="A65" s="11" t="str">
        <x:v>.github/workflows/unit-random-tests.yml</x:v>
      </x:c>
      <x:c r="B65" s="11" t="str">
        <x:v>success-all-test</x:v>
      </x:c>
      <x:c r="C65" s="11" t="str">
        <x:v>ubuntu-latest</x:v>
      </x:c>
      <x:c r="D65" s="11" t="str">
        <x:v>always()</x:v>
      </x:c>
      <x:c r="E65" s="11" t="str">
        <x:v>无静态矩阵块</x:v>
      </x:c>
      <x:c r="F65" s="11" t="str">
        <x:v>无本目录脚本引用</x:v>
      </x:c>
      <x:c r="G65" s="11" t="str">
        <x:v>无匹配的外部工具命令</x:v>
      </x:c>
      <x:c r="H65" s="11" t="str">
        <x:v>无本项目该 job 完整执行证据</x:v>
      </x:c>
      <x:c r="I65" s="11" t="str">
        <x:v>https://github.com/juicedata/juicefs/blob/30190ca1094d26e85f19a979ca51b0ea19af1eaa/.github/workflows/unit-random-tests.yml</x:v>
      </x:c>
    </x:row>
    <x:row r="66" ht="42" customHeight="1">
      <x:c r="A66" s="10" t="str">
        <x:v>.github/workflows/unittests.yml</x:v>
      </x:c>
      <x:c r="B66" s="10" t="str">
        <x:v>unittests</x:v>
      </x:c>
      <x:c r="C66" s="10" t="str">
        <x:v>ubuntu-22.04</x:v>
      </x:c>
      <x:c r="D66" s="10" t="str">
        <x:v>按 workflow 触发条件</x:v>
      </x:c>
      <x:c r="E66" s="10" t="str">
        <x:v>test: [ 'test.meta.core','test.meta.non-core','test.pkg','test.cmd', 'test.fdb' ]</x:v>
      </x:c>
      <x:c r="F66" s="10" t="str">
        <x:v>.github/scripts/apt_install.sh
.github/scripts/prepare_db.sh</x:v>
      </x:c>
      <x:c r="G66" s="10" t="str">
        <x:v>无匹配的外部工具命令</x:v>
      </x:c>
      <x:c r="H66" s="10" t="str">
        <x:v>无本项目该 job 完整执行证据</x:v>
      </x:c>
      <x:c r="I66" s="10" t="str">
        <x:v>https://github.com/juicedata/juicefs/blob/30190ca1094d26e85f19a979ca51b0ea19af1eaa/.github/workflows/unittests.yml</x:v>
      </x:c>
    </x:row>
    <x:row r="67" ht="42" customHeight="1">
      <x:c r="A67" s="11" t="str">
        <x:v>.github/workflows/unittests.yml</x:v>
      </x:c>
      <x:c r="B67" s="11" t="str">
        <x:v>success-all-test</x:v>
      </x:c>
      <x:c r="C67" s="11" t="str">
        <x:v>ubuntu-latest</x:v>
      </x:c>
      <x:c r="D67" s="11" t="str">
        <x:v>always()</x:v>
      </x:c>
      <x:c r="E67" s="11" t="str">
        <x:v>无静态矩阵块</x:v>
      </x:c>
      <x:c r="F67" s="11" t="str">
        <x:v>无本目录脚本引用</x:v>
      </x:c>
      <x:c r="G67" s="11" t="str">
        <x:v>无匹配的外部工具命令</x:v>
      </x:c>
      <x:c r="H67" s="11" t="str">
        <x:v>无本项目该 job 完整执行证据</x:v>
      </x:c>
      <x:c r="I67" s="11" t="str">
        <x:v>https://github.com/juicedata/juicefs/blob/30190ca1094d26e85f19a979ca51b0ea19af1eaa/.github/workflows/unittests.yml</x:v>
      </x:c>
    </x:row>
    <x:row r="68" ht="138" customHeight="1">
      <x:c r="A68" s="10" t="str">
        <x:v>.github/workflows/vdbench.yml</x:v>
      </x:c>
      <x:c r="B68" s="10" t="str">
        <x:v>vdbench</x:v>
      </x:c>
      <x:c r="C68" s="10" t="str">
        <x:v>ubuntu-22.04</x:v>
      </x:c>
      <x:c r="D68" s="10" t="str">
        <x:v>按 workflow 触发条件</x:v>
      </x:c>
      <x:c r="E68" s="10" t="str">
        <x:v>meta: [ 'redis', 'mysql', 'fdb', 'tikv']</x:v>
      </x:c>
      <x:c r="F68" s="10" t="str">
        <x:v>.github/scripts/start_meta_engine.sh</x:v>
      </x:c>
      <x:c r="G68" s="10" t="str">
        <x:v>wget -q https://s.juicefs.com/static/bench/vdbench50407.zip
unzip vdbench50407.zip -d vdbench
- name: vdbench-long-run
GOCOVERDIR=$(pwd)/cover ./juicefs format $meta_url vdbench-long-run --trash-days 0 --bucket=/mnt/jfs
vdbench/vdbench -f .github/workflows/resources/vdbench_long_run.conf -jn
- name: check vdbench log
另 2 行见固定版本来源及 JSON 清单</x:v>
      </x:c>
      <x:c r="H68" s="10" t="str">
        <x:v>无本项目该 job 完整执行证据</x:v>
      </x:c>
      <x:c r="I68" s="10" t="str">
        <x:v>https://github.com/juicedata/juicefs/blob/30190ca1094d26e85f19a979ca51b0ea19af1eaa/.github/workflows/vdbench.yml</x:v>
      </x:c>
    </x:row>
    <x:row r="69" ht="42" customHeight="1">
      <x:c r="A69" s="11" t="str">
        <x:v>.github/workflows/verify.yml</x:v>
      </x:c>
      <x:c r="B69" s="11" t="str">
        <x:v>lint</x:v>
      </x:c>
      <x:c r="C69" s="11" t="str">
        <x:v>ubuntu-22.04</x:v>
      </x:c>
      <x:c r="D69" s="11" t="str">
        <x:v>按 workflow 触发条件</x:v>
      </x:c>
      <x:c r="E69" s="11" t="str">
        <x:v>无静态矩阵块</x:v>
      </x:c>
      <x:c r="F69" s="11" t="str">
        <x:v>无本目录脚本引用</x:v>
      </x:c>
      <x:c r="G69" s="11" t="str">
        <x:v>无匹配的外部工具命令</x:v>
      </x:c>
      <x:c r="H69" s="11" t="str">
        <x:v>无本项目该 job 完整执行证据</x:v>
      </x:c>
      <x:c r="I69" s="11" t="str">
        <x:v>https://github.com/juicedata/juicefs/blob/30190ca1094d26e85f19a979ca51b0ea19af1eaa/.github/workflows/verify.yml</x:v>
      </x:c>
    </x:row>
    <x:row r="70" ht="42" customHeight="1">
      <x:c r="A70" s="10" t="str">
        <x:v>.github/workflows/verify.yml</x:v>
      </x:c>
      <x:c r="B70" s="10" t="str">
        <x:v>build</x:v>
      </x:c>
      <x:c r="C70" s="10" t="str">
        <x:v>ubuntu-22.04</x:v>
      </x:c>
      <x:c r="D70" s="10" t="str">
        <x:v>按 workflow 触发条件</x:v>
      </x:c>
      <x:c r="E70" s="10" t="str">
        <x:v>version: ['1.21', '1.22', '1.23']</x:v>
      </x:c>
      <x:c r="F70" s="10" t="str">
        <x:v>.github/scripts/apt_install.sh</x:v>
      </x:c>
      <x:c r="G70" s="10" t="str">
        <x:v>无匹配的外部工具命令</x:v>
      </x:c>
      <x:c r="H70" s="10" t="str">
        <x:v>无本项目该 job 完整执行证据</x:v>
      </x:c>
      <x:c r="I70" s="10" t="str">
        <x:v>https://github.com/juicedata/juicefs/blob/30190ca1094d26e85f19a979ca51b0ea19af1eaa/.github/workflows/verify.yml</x:v>
      </x:c>
    </x:row>
    <x:row r="71" ht="154" customHeight="1">
      <x:c r="A71" s="11" t="str">
        <x:v>.github/workflows/version_compatible_hypo.yml</x:v>
      </x:c>
      <x:c r="B71" s="11" t="str">
        <x:v>vc-hypo</x:v>
      </x:c>
      <x:c r="C71" s="11" t="str">
        <x:v>ubuntu-22.04</x:v>
      </x:c>
      <x:c r="D71" s="11" t="str">
        <x:v>按 workflow 触发条件</x:v>
      </x:c>
      <x:c r="E71" s="11" t="str">
        <x:v>old_juicefs_version: ['main', 'release-1.0']
        meta: ['redis', 'mysql', 'tikv']
        storage: ['minio']
        include:
          - old_juicefs_version: 'main'
            meta: 'fdb'
            storage: 'minio'
          - old_juicefs_version: 'release-1.0'
另 2 行见固定版本来源及 JSON 清单</x:v>
      </x:c>
      <x:c r="F71" s="11" t="str">
        <x:v>.github/scripts/apt_install.sh
.github/scripts/start_meta_engine.sh
.github/scripts/testVersionCompatible.py</x:v>
      </x:c>
      <x:c r="G71" s="11" t="str">
        <x:v>无匹配的外部工具命令</x:v>
      </x:c>
      <x:c r="H71" s="11" t="str">
        <x:v>无本项目该 job 完整执行证据</x:v>
      </x:c>
      <x:c r="I71" s="11" t="str">
        <x:v>https://github.com/juicedata/juicefs/blob/30190ca1094d26e85f19a979ca51b0ea19af1eaa/.github/workflows/version_compatible_hypo.yml</x:v>
      </x:c>
    </x:row>
    <x:row r="72" ht="42" customHeight="1">
      <x:c r="A72" s="10" t="str">
        <x:v>.github/workflows/version_compatible_hypo.yml</x:v>
      </x:c>
      <x:c r="B72" s="10" t="str">
        <x:v>success-all-test</x:v>
      </x:c>
      <x:c r="C72" s="10" t="str">
        <x:v>ubuntu-latest</x:v>
      </x:c>
      <x:c r="D72" s="10" t="str">
        <x:v>always()</x:v>
      </x:c>
      <x:c r="E72" s="10" t="str">
        <x:v>无静态矩阵块</x:v>
      </x:c>
      <x:c r="F72" s="10" t="str">
        <x:v>无本目录脚本引用</x:v>
      </x:c>
      <x:c r="G72" s="10" t="str">
        <x:v>无匹配的外部工具命令</x:v>
      </x:c>
      <x:c r="H72" s="10" t="str">
        <x:v>无本项目该 job 完整执行证据</x:v>
      </x:c>
      <x:c r="I72" s="10" t="str">
        <x:v>https://github.com/juicedata/juicefs/blob/30190ca1094d26e85f19a979ca51b0ea19af1eaa/.github/workflows/version_compatible_hypo.yml</x:v>
      </x:c>
    </x:row>
    <x:row r="73" ht="170" customHeight="1">
      <x:c r="A73" s="11" t="str">
        <x:v>.github/workflows/wintest.yml</x:v>
      </x:c>
      <x:c r="B73" s="11" t="str">
        <x:v>wintest</x:v>
      </x:c>
      <x:c r="C73" s="11" t="str">
        <x:v>windows-2019</x:v>
      </x:c>
      <x:c r="D73" s="11" t="str">
        <x:v>按 workflow 触发条件</x:v>
      </x:c>
      <x:c r="E73" s="11" t="str">
        <x:v>无静态矩阵块</x:v>
      </x:c>
      <x:c r="F73" s="11" t="str">
        <x:v>无本目录脚本引用</x:v>
      </x:c>
      <x:c r="G73" s="11" t="str">
        <x:v>wget https://github.com/juicedata/winfsp/releases/download/testing_suit_20250324/winfsp-tests-x64.exe -q --show-progress -O "C:\Program Files (x86)\WinFsp\bin\winfsp-tests-x64.exe"
ls "C:\Program Files (x86)\WinFsp\bin\winfsp-tests-x64.exe"
&amp; "C:\Program Files (x86)\WinFsp\bin\winfsp-tests-x64.exe" --fuse-external --resilient --case-insensitive-cmp
- name: Run winfstest
wget https://github.com/juicedata/winfstest/releases/download/testing_20250313/TestSuite-x64-v4.zip -q --show-progress -O Z:\TestSuite-x64.zip
./run-winfstest.ps1
另 4 行见固定版本来源及 JSON 清单</x:v>
      </x:c>
      <x:c r="H73" s="11" t="str">
        <x:v>部分执行；详见主矩阵，不能把整个 job 标为通过</x:v>
      </x:c>
      <x:c r="I73" s="11" t="str">
        <x:v>https://github.com/juicedata/juicefs/blob/30190ca1094d26e85f19a979ca51b0ea19af1eaa/.github/workflows/wintest.yml</x:v>
      </x:c>
    </x:row>
    <x:row r="74" ht="42" customHeight="1">
      <x:c r="A74" s="10" t="str">
        <x:v>.github/workflows/xattr.yml</x:v>
      </x:c>
      <x:c r="B74" s="10" t="str">
        <x:v>build-matrix</x:v>
      </x:c>
      <x:c r="C74" s="10" t="str">
        <x:v>ubuntu-22.04</x:v>
      </x:c>
      <x:c r="D74" s="10" t="str">
        <x:v>按 workflow 触发条件</x:v>
      </x:c>
      <x:c r="E74" s="10" t="str">
        <x:v>无静态矩阵块</x:v>
      </x:c>
      <x:c r="F74" s="10" t="str">
        <x:v>无本目录脚本引用</x:v>
      </x:c>
      <x:c r="G74" s="10" t="str">
        <x:v>无匹配的外部工具命令</x:v>
      </x:c>
      <x:c r="H74" s="10" t="str">
        <x:v>无本项目该 job 完整执行证据</x:v>
      </x:c>
      <x:c r="I74" s="10" t="str">
        <x:v>https://github.com/juicedata/juicefs/blob/30190ca1094d26e85f19a979ca51b0ea19af1eaa/.github/workflows/xattr.yml</x:v>
      </x:c>
    </x:row>
    <x:row r="75" ht="42" customHeight="1">
      <x:c r="A75" s="11" t="str">
        <x:v>.github/workflows/xattr.yml</x:v>
      </x:c>
      <x:c r="B75" s="11" t="str">
        <x:v>xattr</x:v>
      </x:c>
      <x:c r="C75" s="11" t="str">
        <x:v>ubuntu-22.04</x:v>
      </x:c>
      <x:c r="D75" s="11" t="str">
        <x:v>按 workflow 触发条件</x:v>
      </x:c>
      <x:c r="E75" s="11" t="str">
        <x:v>meta: ${{ fromJson(needs.build-matrix.outputs.meta_matrix) }}</x:v>
      </x:c>
      <x:c r="F75" s="11" t="str">
        <x:v>.github/scripts/start_meta_engine.sh</x:v>
      </x:c>
      <x:c r="G75" s="11" t="str">
        <x:v>无匹配的外部工具命令</x:v>
      </x:c>
      <x:c r="H75" s="11" t="str">
        <x:v>无本项目该 job 完整执行证据</x:v>
      </x:c>
      <x:c r="I75" s="11" t="str">
        <x:v>https://github.com/juicedata/juicefs/blob/30190ca1094d26e85f19a979ca51b0ea19af1eaa/.github/workflows/xattr.yml</x:v>
      </x:c>
    </x:row>
    <x:row r="76" ht="42" customHeight="1">
      <x:c r="A76" s="10" t="str">
        <x:v>.github/workflows/xattr.yml</x:v>
      </x:c>
      <x:c r="B76" s="10" t="str">
        <x:v>success-all-test</x:v>
      </x:c>
      <x:c r="C76" s="10" t="str">
        <x:v>ubuntu-latest</x:v>
      </x:c>
      <x:c r="D76" s="10" t="str">
        <x:v>always()</x:v>
      </x:c>
      <x:c r="E76" s="10" t="str">
        <x:v>无静态矩阵块</x:v>
      </x:c>
      <x:c r="F76" s="10" t="str">
        <x:v>无本目录脚本引用</x:v>
      </x:c>
      <x:c r="G76" s="10" t="str">
        <x:v>无匹配的外部工具命令</x:v>
      </x:c>
      <x:c r="H76" s="10" t="str">
        <x:v>无本项目该 job 完整执行证据</x:v>
      </x:c>
      <x:c r="I76" s="10" t="str">
        <x:v>https://github.com/juicedata/juicefs/blob/30190ca1094d26e85f19a979ca51b0ea19af1eaa/.github/workflows/xattr.yml</x:v>
      </x:c>
    </x:row>
  </x:sheetData>
  <x:pageMargins left="0.7" right="0.7" top="0.75" bottom="0.75" header="0.3" footer="0.3"/>
  <x:tableParts count="1">
    <x:tablePart xmlns:r="http://schemas.openxmlformats.org/officeDocument/2006/relationships" r:id="R6f39bb4182f74d80"/>
  </x:tableParts>
</x:worksheet>
</file>